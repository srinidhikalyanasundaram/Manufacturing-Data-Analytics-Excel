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3.xml" ContentType="application/vnd.openxmlformats-officedocument.spreadsheetml.table+xml"/>
  <Override PartName="/xl/tables/table14.xml" ContentType="application/vnd.openxmlformats-officedocument.spreadsheetml.table+xml"/>
  <Override PartName="/xl/drawings/drawing4.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stha\Downloads\"/>
    </mc:Choice>
  </mc:AlternateContent>
  <xr:revisionPtr revIDLastSave="0" documentId="13_ncr:1_{6D74D5D8-616E-4820-AE28-521AFBF6EE7A}" xr6:coauthVersionLast="47" xr6:coauthVersionMax="47" xr10:uidLastSave="{00000000-0000-0000-0000-000000000000}"/>
  <bookViews>
    <workbookView xWindow="-120" yWindow="-120" windowWidth="20730" windowHeight="11040" firstSheet="2" activeTab="5" xr2:uid="{00000000-000D-0000-FFFF-FFFF00000000}"/>
  </bookViews>
  <sheets>
    <sheet name="Sheet13" sheetId="21" r:id="rId1"/>
    <sheet name="01_Manufacturing_Data" sheetId="1" r:id="rId2"/>
    <sheet name="02_Data_Dictionary" sheetId="2" r:id="rId3"/>
    <sheet name="03_Lookups" sheetId="3" r:id="rId4"/>
    <sheet name="04_Calculations" sheetId="4" r:id="rId5"/>
    <sheet name="05_Student1_Operations" sheetId="5" r:id="rId6"/>
    <sheet name="06_Student2_Quality_Cost" sheetId="6" r:id="rId7"/>
    <sheet name="07_AI_Usage_Log" sheetId="7" r:id="rId8"/>
    <sheet name="08_Management_Dashboard" sheetId="8" r:id="rId9"/>
  </sheets>
  <definedNames>
    <definedName name="_xlnm._FilterDatabase" localSheetId="1" hidden="1">'01_Manufacturing_Data'!$A$1:$AV$1001</definedName>
    <definedName name="Slicer_Machine_ID">#N/A</definedName>
    <definedName name="Slicer_Month">#N/A</definedName>
    <definedName name="Slicer_Product_Type">#N/A</definedName>
    <definedName name="Slicer_Production_Line">#N/A</definedName>
    <definedName name="Slicer_Shift">#N/A</definedName>
  </definedNames>
  <calcPr calcId="191029" iterateDelta="1E-4"/>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5" i="6" l="1"/>
  <c r="B24" i="6"/>
  <c r="B23" i="6"/>
  <c r="B22" i="6"/>
  <c r="B21" i="6"/>
  <c r="A4" i="8" l="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D28" i="8"/>
  <c r="D27" i="8"/>
  <c r="D26" i="8"/>
  <c r="D25" i="8"/>
  <c r="D24" i="8"/>
  <c r="D23" i="8"/>
  <c r="D22" i="8"/>
  <c r="D21" i="8"/>
  <c r="D20" i="8"/>
  <c r="J19" i="8"/>
  <c r="D19" i="8"/>
  <c r="J18" i="8"/>
  <c r="G18" i="8"/>
  <c r="D18" i="8"/>
  <c r="A18" i="8"/>
  <c r="J17" i="8"/>
  <c r="G17" i="8"/>
  <c r="D17" i="8"/>
  <c r="A17" i="8"/>
  <c r="J16" i="8"/>
  <c r="G16" i="8"/>
  <c r="D16" i="8"/>
  <c r="A16" i="8"/>
  <c r="J15" i="8"/>
  <c r="G15" i="8"/>
  <c r="D15" i="8"/>
  <c r="A15" i="8"/>
  <c r="J14" i="8"/>
  <c r="G14" i="8"/>
  <c r="D14" i="8"/>
  <c r="A14" i="8"/>
  <c r="A25" i="6"/>
  <c r="A24" i="6"/>
  <c r="A23" i="6"/>
  <c r="A22" i="6"/>
  <c r="A21" i="6"/>
  <c r="A34" i="5"/>
  <c r="A33" i="5"/>
  <c r="A32" i="5"/>
  <c r="A31" i="5"/>
  <c r="A30" i="5"/>
  <c r="A29" i="5"/>
  <c r="A28" i="5"/>
  <c r="A27" i="5"/>
  <c r="A26" i="5"/>
  <c r="A25" i="5"/>
  <c r="A24" i="5"/>
  <c r="A23" i="5"/>
  <c r="A22" i="5"/>
  <c r="A21" i="5"/>
  <c r="A20" i="5"/>
  <c r="G76" i="4"/>
  <c r="F76" i="4"/>
  <c r="B76" i="4"/>
  <c r="K19" i="8" s="1"/>
  <c r="G75" i="4"/>
  <c r="F75" i="4"/>
  <c r="B75" i="4"/>
  <c r="K18" i="8" s="1"/>
  <c r="G74" i="4"/>
  <c r="F74" i="4"/>
  <c r="B74" i="4"/>
  <c r="K17" i="8" s="1"/>
  <c r="G73" i="4"/>
  <c r="F73" i="4"/>
  <c r="B73" i="4"/>
  <c r="K16" i="8" s="1"/>
  <c r="G72" i="4"/>
  <c r="F72" i="4"/>
  <c r="B72" i="4"/>
  <c r="K15" i="8" s="1"/>
  <c r="G71" i="4"/>
  <c r="F71" i="4"/>
  <c r="B71" i="4"/>
  <c r="K14" i="8" s="1"/>
  <c r="H54" i="4"/>
  <c r="G54" i="4"/>
  <c r="D25" i="6" s="1"/>
  <c r="F54" i="4"/>
  <c r="E54" i="4"/>
  <c r="C25" i="6" s="1"/>
  <c r="B54" i="4"/>
  <c r="H53" i="4"/>
  <c r="G53" i="4"/>
  <c r="D24" i="6" s="1"/>
  <c r="F53" i="4"/>
  <c r="E53" i="4"/>
  <c r="C24" i="6" s="1"/>
  <c r="B53" i="4"/>
  <c r="H52" i="4"/>
  <c r="G52" i="4"/>
  <c r="D23" i="6" s="1"/>
  <c r="F52" i="4"/>
  <c r="E52" i="4"/>
  <c r="C23" i="6" s="1"/>
  <c r="B52" i="4"/>
  <c r="H51" i="4"/>
  <c r="G51" i="4"/>
  <c r="D22" i="6" s="1"/>
  <c r="F51" i="4"/>
  <c r="E51" i="4"/>
  <c r="C22" i="6" s="1"/>
  <c r="B51" i="4"/>
  <c r="H50" i="4"/>
  <c r="G50" i="4"/>
  <c r="D21" i="6" s="1"/>
  <c r="F50" i="4"/>
  <c r="E50" i="4"/>
  <c r="C21" i="6" s="1"/>
  <c r="B50" i="4"/>
  <c r="H45" i="4"/>
  <c r="G45" i="4"/>
  <c r="B45" i="4"/>
  <c r="H44" i="4"/>
  <c r="G44" i="4"/>
  <c r="B44" i="4"/>
  <c r="H43" i="4"/>
  <c r="G43" i="4"/>
  <c r="B43" i="4"/>
  <c r="I39" i="4"/>
  <c r="H39" i="4"/>
  <c r="G39" i="4"/>
  <c r="F39" i="4"/>
  <c r="B39" i="4"/>
  <c r="I38" i="4"/>
  <c r="H38" i="4"/>
  <c r="G38" i="4"/>
  <c r="F38" i="4"/>
  <c r="B38" i="4"/>
  <c r="I37" i="4"/>
  <c r="H37" i="4"/>
  <c r="G37" i="4"/>
  <c r="F37" i="4"/>
  <c r="B37" i="4"/>
  <c r="I36" i="4"/>
  <c r="H36" i="4"/>
  <c r="G36" i="4"/>
  <c r="F36" i="4"/>
  <c r="B36" i="4"/>
  <c r="I35" i="4"/>
  <c r="H35" i="4"/>
  <c r="G35" i="4"/>
  <c r="F35" i="4"/>
  <c r="B35" i="4"/>
  <c r="I34" i="4"/>
  <c r="H34" i="4"/>
  <c r="G34" i="4"/>
  <c r="F34" i="4"/>
  <c r="B34" i="4"/>
  <c r="I33" i="4"/>
  <c r="H33" i="4"/>
  <c r="G33" i="4"/>
  <c r="F33" i="4"/>
  <c r="B33" i="4"/>
  <c r="I32" i="4"/>
  <c r="H32" i="4"/>
  <c r="G32" i="4"/>
  <c r="F32" i="4"/>
  <c r="B32" i="4"/>
  <c r="I31" i="4"/>
  <c r="H31" i="4"/>
  <c r="G31" i="4"/>
  <c r="F31" i="4"/>
  <c r="B31" i="4"/>
  <c r="I30" i="4"/>
  <c r="H30" i="4"/>
  <c r="G30" i="4"/>
  <c r="F30" i="4"/>
  <c r="B30" i="4"/>
  <c r="I29" i="4"/>
  <c r="H29" i="4"/>
  <c r="G29" i="4"/>
  <c r="F29" i="4"/>
  <c r="B29" i="4"/>
  <c r="I28" i="4"/>
  <c r="H28" i="4"/>
  <c r="G28" i="4"/>
  <c r="F28" i="4"/>
  <c r="B28" i="4"/>
  <c r="I27" i="4"/>
  <c r="H27" i="4"/>
  <c r="G27" i="4"/>
  <c r="F27" i="4"/>
  <c r="B27" i="4"/>
  <c r="I26" i="4"/>
  <c r="H26" i="4"/>
  <c r="G26" i="4"/>
  <c r="F26" i="4"/>
  <c r="B26" i="4"/>
  <c r="I25" i="4"/>
  <c r="H25" i="4"/>
  <c r="G25" i="4"/>
  <c r="F25" i="4"/>
  <c r="B25" i="4"/>
  <c r="H19" i="4"/>
  <c r="G19" i="4"/>
  <c r="B19" i="4"/>
  <c r="H18" i="4"/>
  <c r="G18" i="4"/>
  <c r="B18" i="4"/>
  <c r="H17" i="4"/>
  <c r="G17" i="4"/>
  <c r="B17" i="4"/>
  <c r="H16" i="4"/>
  <c r="G16" i="4"/>
  <c r="B16" i="4"/>
  <c r="H15" i="4"/>
  <c r="G15" i="4"/>
  <c r="B15" i="4"/>
  <c r="B10" i="4"/>
  <c r="J8" i="8" s="1"/>
  <c r="B9" i="4"/>
  <c r="G8" i="8" s="1"/>
  <c r="B7" i="4"/>
  <c r="A8" i="8" s="1"/>
  <c r="B3" i="4"/>
  <c r="AT1001" i="1"/>
  <c r="AS1001" i="1"/>
  <c r="AQ1001" i="1"/>
  <c r="AO1001" i="1"/>
  <c r="AM1001" i="1"/>
  <c r="AN1001" i="1" s="1"/>
  <c r="AL1001" i="1"/>
  <c r="AK1001" i="1"/>
  <c r="AJ1001" i="1"/>
  <c r="AI1001" i="1"/>
  <c r="AH1001" i="1"/>
  <c r="AT1000" i="1"/>
  <c r="AS1000" i="1"/>
  <c r="AQ1000" i="1"/>
  <c r="AO1000" i="1"/>
  <c r="AM1000" i="1"/>
  <c r="AN1000" i="1" s="1"/>
  <c r="AL1000" i="1"/>
  <c r="AK1000" i="1"/>
  <c r="AJ1000" i="1"/>
  <c r="AI1000" i="1"/>
  <c r="AH1000" i="1"/>
  <c r="AT999" i="1"/>
  <c r="AS999" i="1"/>
  <c r="AQ999" i="1"/>
  <c r="AP999" i="1"/>
  <c r="AO999" i="1"/>
  <c r="AM999" i="1"/>
  <c r="AN999" i="1" s="1"/>
  <c r="AL999" i="1"/>
  <c r="AK999" i="1"/>
  <c r="AJ999" i="1"/>
  <c r="AI999" i="1"/>
  <c r="AH999" i="1"/>
  <c r="AT998" i="1"/>
  <c r="AS998" i="1"/>
  <c r="AQ998" i="1"/>
  <c r="AO998" i="1"/>
  <c r="AM998" i="1"/>
  <c r="AN998" i="1" s="1"/>
  <c r="AL998" i="1"/>
  <c r="AK998" i="1"/>
  <c r="AJ998" i="1"/>
  <c r="AI998" i="1"/>
  <c r="AH998" i="1"/>
  <c r="AT997" i="1"/>
  <c r="AS997" i="1"/>
  <c r="AQ997" i="1"/>
  <c r="AO997" i="1"/>
  <c r="AM997" i="1"/>
  <c r="AN997" i="1" s="1"/>
  <c r="AL997" i="1"/>
  <c r="AK997" i="1"/>
  <c r="AJ997" i="1"/>
  <c r="AI997" i="1"/>
  <c r="AH997" i="1"/>
  <c r="AT996" i="1"/>
  <c r="AS996" i="1"/>
  <c r="AQ996" i="1"/>
  <c r="AO996" i="1"/>
  <c r="AP996" i="1" s="1"/>
  <c r="AR996" i="1" s="1"/>
  <c r="AM996" i="1"/>
  <c r="AN996" i="1" s="1"/>
  <c r="AL996" i="1"/>
  <c r="AK996" i="1"/>
  <c r="AJ996" i="1"/>
  <c r="AI996" i="1"/>
  <c r="AH996" i="1"/>
  <c r="AT995" i="1"/>
  <c r="AS995" i="1"/>
  <c r="AQ995" i="1"/>
  <c r="AO995" i="1"/>
  <c r="AM995" i="1"/>
  <c r="AN995" i="1" s="1"/>
  <c r="AL995" i="1"/>
  <c r="AK995" i="1"/>
  <c r="AJ995" i="1"/>
  <c r="AI995" i="1"/>
  <c r="AH995" i="1"/>
  <c r="AT994" i="1"/>
  <c r="AS994" i="1"/>
  <c r="AQ994" i="1"/>
  <c r="AO994" i="1"/>
  <c r="AM994" i="1"/>
  <c r="AN994" i="1" s="1"/>
  <c r="AL994" i="1"/>
  <c r="AK994" i="1"/>
  <c r="AJ994" i="1"/>
  <c r="AI994" i="1"/>
  <c r="AH994" i="1"/>
  <c r="AT993" i="1"/>
  <c r="AS993" i="1"/>
  <c r="AQ993" i="1"/>
  <c r="AO993" i="1"/>
  <c r="AM993" i="1"/>
  <c r="AN993" i="1" s="1"/>
  <c r="AL993" i="1"/>
  <c r="AK993" i="1"/>
  <c r="AJ993" i="1"/>
  <c r="AI993" i="1"/>
  <c r="AH993" i="1"/>
  <c r="AT992" i="1"/>
  <c r="AS992" i="1"/>
  <c r="AQ992" i="1"/>
  <c r="AO992" i="1"/>
  <c r="AM992" i="1"/>
  <c r="AN992" i="1" s="1"/>
  <c r="AL992" i="1"/>
  <c r="AK992" i="1"/>
  <c r="AJ992" i="1"/>
  <c r="AI992" i="1"/>
  <c r="AH992" i="1"/>
  <c r="AT991" i="1"/>
  <c r="AS991" i="1"/>
  <c r="AQ991" i="1"/>
  <c r="AO991" i="1"/>
  <c r="AM991" i="1"/>
  <c r="AN991" i="1" s="1"/>
  <c r="AL991" i="1"/>
  <c r="AK991" i="1"/>
  <c r="AJ991" i="1"/>
  <c r="AI991" i="1"/>
  <c r="AH991" i="1"/>
  <c r="AT990" i="1"/>
  <c r="AS990" i="1"/>
  <c r="AQ990" i="1"/>
  <c r="AO990" i="1"/>
  <c r="AM990" i="1"/>
  <c r="AN990" i="1" s="1"/>
  <c r="AL990" i="1"/>
  <c r="AK990" i="1"/>
  <c r="AJ990" i="1"/>
  <c r="AI990" i="1"/>
  <c r="AH990" i="1"/>
  <c r="AT989" i="1"/>
  <c r="AS989" i="1"/>
  <c r="AQ989" i="1"/>
  <c r="AO989" i="1"/>
  <c r="AM989" i="1"/>
  <c r="AN989" i="1" s="1"/>
  <c r="AL989" i="1"/>
  <c r="AK989" i="1"/>
  <c r="AJ989" i="1"/>
  <c r="AI989" i="1"/>
  <c r="AH989" i="1"/>
  <c r="AT988" i="1"/>
  <c r="AS988" i="1"/>
  <c r="AQ988" i="1"/>
  <c r="AO988" i="1"/>
  <c r="AM988" i="1"/>
  <c r="AN988" i="1" s="1"/>
  <c r="AL988" i="1"/>
  <c r="AK988" i="1"/>
  <c r="AJ988" i="1"/>
  <c r="AI988" i="1"/>
  <c r="AH988" i="1"/>
  <c r="AT987" i="1"/>
  <c r="AS987" i="1"/>
  <c r="AQ987" i="1"/>
  <c r="AO987" i="1"/>
  <c r="AM987" i="1"/>
  <c r="AN987" i="1" s="1"/>
  <c r="AL987" i="1"/>
  <c r="AK987" i="1"/>
  <c r="AJ987" i="1"/>
  <c r="AI987" i="1"/>
  <c r="AH987" i="1"/>
  <c r="AT986" i="1"/>
  <c r="AS986" i="1"/>
  <c r="AQ986" i="1"/>
  <c r="AO986" i="1"/>
  <c r="AM986" i="1"/>
  <c r="AN986" i="1" s="1"/>
  <c r="AL986" i="1"/>
  <c r="AK986" i="1"/>
  <c r="AJ986" i="1"/>
  <c r="AI986" i="1"/>
  <c r="AH986" i="1"/>
  <c r="AT985" i="1"/>
  <c r="AS985" i="1"/>
  <c r="AQ985" i="1"/>
  <c r="AO985" i="1"/>
  <c r="AM985" i="1"/>
  <c r="AN985" i="1" s="1"/>
  <c r="AL985" i="1"/>
  <c r="AK985" i="1"/>
  <c r="AJ985" i="1"/>
  <c r="AI985" i="1"/>
  <c r="AH985" i="1"/>
  <c r="AT984" i="1"/>
  <c r="AS984" i="1"/>
  <c r="AQ984" i="1"/>
  <c r="AO984" i="1"/>
  <c r="AM984" i="1"/>
  <c r="AN984" i="1" s="1"/>
  <c r="AL984" i="1"/>
  <c r="AK984" i="1"/>
  <c r="AJ984" i="1"/>
  <c r="AI984" i="1"/>
  <c r="AH984" i="1"/>
  <c r="AT983" i="1"/>
  <c r="AS983" i="1"/>
  <c r="AQ983" i="1"/>
  <c r="AO983" i="1"/>
  <c r="AM983" i="1"/>
  <c r="AN983" i="1" s="1"/>
  <c r="AP983" i="1" s="1"/>
  <c r="AL983" i="1"/>
  <c r="AK983" i="1"/>
  <c r="AJ983" i="1"/>
  <c r="AI983" i="1"/>
  <c r="AH983" i="1"/>
  <c r="AT982" i="1"/>
  <c r="AS982" i="1"/>
  <c r="AQ982" i="1"/>
  <c r="AO982" i="1"/>
  <c r="AM982" i="1"/>
  <c r="AN982" i="1" s="1"/>
  <c r="AL982" i="1"/>
  <c r="AK982" i="1"/>
  <c r="AJ982" i="1"/>
  <c r="AI982" i="1"/>
  <c r="AH982" i="1"/>
  <c r="AT981" i="1"/>
  <c r="AS981" i="1"/>
  <c r="AQ981" i="1"/>
  <c r="AO981" i="1"/>
  <c r="AM981" i="1"/>
  <c r="AN981" i="1" s="1"/>
  <c r="AP981" i="1" s="1"/>
  <c r="AL981" i="1"/>
  <c r="AK981" i="1"/>
  <c r="AJ981" i="1"/>
  <c r="AI981" i="1"/>
  <c r="AH981" i="1"/>
  <c r="AT980" i="1"/>
  <c r="AS980" i="1"/>
  <c r="AQ980" i="1"/>
  <c r="AO980" i="1"/>
  <c r="AM980" i="1"/>
  <c r="AN980" i="1" s="1"/>
  <c r="AL980" i="1"/>
  <c r="AK980" i="1"/>
  <c r="AJ980" i="1"/>
  <c r="AI980" i="1"/>
  <c r="AH980" i="1"/>
  <c r="AT979" i="1"/>
  <c r="AS979" i="1"/>
  <c r="AQ979" i="1"/>
  <c r="AO979" i="1"/>
  <c r="AM979" i="1"/>
  <c r="AN979" i="1" s="1"/>
  <c r="AL979" i="1"/>
  <c r="AK979" i="1"/>
  <c r="AJ979" i="1"/>
  <c r="AI979" i="1"/>
  <c r="AH979" i="1"/>
  <c r="AT978" i="1"/>
  <c r="AS978" i="1"/>
  <c r="AQ978" i="1"/>
  <c r="AO978" i="1"/>
  <c r="AM978" i="1"/>
  <c r="AN978" i="1" s="1"/>
  <c r="AL978" i="1"/>
  <c r="AK978" i="1"/>
  <c r="AJ978" i="1"/>
  <c r="AI978" i="1"/>
  <c r="AH978" i="1"/>
  <c r="AT977" i="1"/>
  <c r="AS977" i="1"/>
  <c r="AQ977" i="1"/>
  <c r="AO977" i="1"/>
  <c r="AM977" i="1"/>
  <c r="AN977" i="1" s="1"/>
  <c r="AL977" i="1"/>
  <c r="AK977" i="1"/>
  <c r="AJ977" i="1"/>
  <c r="AI977" i="1"/>
  <c r="AH977" i="1"/>
  <c r="AT976" i="1"/>
  <c r="AS976" i="1"/>
  <c r="AQ976" i="1"/>
  <c r="AO976" i="1"/>
  <c r="AM976" i="1"/>
  <c r="AN976" i="1" s="1"/>
  <c r="AL976" i="1"/>
  <c r="AK976" i="1"/>
  <c r="AJ976" i="1"/>
  <c r="AI976" i="1"/>
  <c r="AH976" i="1"/>
  <c r="AT975" i="1"/>
  <c r="AS975" i="1"/>
  <c r="AQ975" i="1"/>
  <c r="AO975" i="1"/>
  <c r="AM975" i="1"/>
  <c r="AN975" i="1" s="1"/>
  <c r="AL975" i="1"/>
  <c r="AK975" i="1"/>
  <c r="AJ975" i="1"/>
  <c r="AI975" i="1"/>
  <c r="AH975" i="1"/>
  <c r="AT974" i="1"/>
  <c r="AS974" i="1"/>
  <c r="AQ974" i="1"/>
  <c r="AO974" i="1"/>
  <c r="AM974" i="1"/>
  <c r="AN974" i="1" s="1"/>
  <c r="AL974" i="1"/>
  <c r="AK974" i="1"/>
  <c r="AJ974" i="1"/>
  <c r="AI974" i="1"/>
  <c r="AH974" i="1"/>
  <c r="AT973" i="1"/>
  <c r="AS973" i="1"/>
  <c r="AQ973" i="1"/>
  <c r="AO973" i="1"/>
  <c r="AM973" i="1"/>
  <c r="AN973" i="1" s="1"/>
  <c r="AL973" i="1"/>
  <c r="AK973" i="1"/>
  <c r="AJ973" i="1"/>
  <c r="AI973" i="1"/>
  <c r="AH973" i="1"/>
  <c r="AT972" i="1"/>
  <c r="AS972" i="1"/>
  <c r="AQ972" i="1"/>
  <c r="AO972" i="1"/>
  <c r="AM972" i="1"/>
  <c r="AN972" i="1" s="1"/>
  <c r="AL972" i="1"/>
  <c r="AK972" i="1"/>
  <c r="AJ972" i="1"/>
  <c r="AI972" i="1"/>
  <c r="AH972" i="1"/>
  <c r="AT971" i="1"/>
  <c r="AS971" i="1"/>
  <c r="AQ971" i="1"/>
  <c r="AO971" i="1"/>
  <c r="AM971" i="1"/>
  <c r="AN971" i="1" s="1"/>
  <c r="AL971" i="1"/>
  <c r="AK971" i="1"/>
  <c r="AJ971" i="1"/>
  <c r="AI971" i="1"/>
  <c r="AH971" i="1"/>
  <c r="AT970" i="1"/>
  <c r="AS970" i="1"/>
  <c r="AQ970" i="1"/>
  <c r="AO970" i="1"/>
  <c r="AM970" i="1"/>
  <c r="AN970" i="1" s="1"/>
  <c r="AL970" i="1"/>
  <c r="AK970" i="1"/>
  <c r="AJ970" i="1"/>
  <c r="AI970" i="1"/>
  <c r="AH970" i="1"/>
  <c r="AT969" i="1"/>
  <c r="AS969" i="1"/>
  <c r="AQ969" i="1"/>
  <c r="AO969" i="1"/>
  <c r="AM969" i="1"/>
  <c r="AN969" i="1" s="1"/>
  <c r="AL969" i="1"/>
  <c r="AK969" i="1"/>
  <c r="AJ969" i="1"/>
  <c r="AI969" i="1"/>
  <c r="AH969" i="1"/>
  <c r="AT968" i="1"/>
  <c r="AS968" i="1"/>
  <c r="AQ968" i="1"/>
  <c r="AO968" i="1"/>
  <c r="AM968" i="1"/>
  <c r="AN968" i="1" s="1"/>
  <c r="AL968" i="1"/>
  <c r="AK968" i="1"/>
  <c r="AJ968" i="1"/>
  <c r="AI968" i="1"/>
  <c r="AH968" i="1"/>
  <c r="AT967" i="1"/>
  <c r="AS967" i="1"/>
  <c r="AQ967" i="1"/>
  <c r="AO967" i="1"/>
  <c r="AM967" i="1"/>
  <c r="AN967" i="1" s="1"/>
  <c r="AL967" i="1"/>
  <c r="AK967" i="1"/>
  <c r="AJ967" i="1"/>
  <c r="AI967" i="1"/>
  <c r="AH967" i="1"/>
  <c r="AT966" i="1"/>
  <c r="AS966" i="1"/>
  <c r="AQ966" i="1"/>
  <c r="AO966" i="1"/>
  <c r="AM966" i="1"/>
  <c r="AN966" i="1" s="1"/>
  <c r="AL966" i="1"/>
  <c r="AK966" i="1"/>
  <c r="AJ966" i="1"/>
  <c r="AI966" i="1"/>
  <c r="AH966" i="1"/>
  <c r="AT965" i="1"/>
  <c r="AS965" i="1"/>
  <c r="AQ965" i="1"/>
  <c r="AO965" i="1"/>
  <c r="AM965" i="1"/>
  <c r="AN965" i="1" s="1"/>
  <c r="AL965" i="1"/>
  <c r="AK965" i="1"/>
  <c r="AJ965" i="1"/>
  <c r="AI965" i="1"/>
  <c r="AH965" i="1"/>
  <c r="AT964" i="1"/>
  <c r="AS964" i="1"/>
  <c r="AQ964" i="1"/>
  <c r="AO964" i="1"/>
  <c r="AM964" i="1"/>
  <c r="AN964" i="1" s="1"/>
  <c r="AL964" i="1"/>
  <c r="AK964" i="1"/>
  <c r="AJ964" i="1"/>
  <c r="AI964" i="1"/>
  <c r="AH964" i="1"/>
  <c r="AT963" i="1"/>
  <c r="AS963" i="1"/>
  <c r="AQ963" i="1"/>
  <c r="AO963" i="1"/>
  <c r="AM963" i="1"/>
  <c r="AN963" i="1" s="1"/>
  <c r="AL963" i="1"/>
  <c r="AK963" i="1"/>
  <c r="AJ963" i="1"/>
  <c r="AI963" i="1"/>
  <c r="AH963" i="1"/>
  <c r="AT962" i="1"/>
  <c r="AS962" i="1"/>
  <c r="AQ962" i="1"/>
  <c r="AO962" i="1"/>
  <c r="AM962" i="1"/>
  <c r="AN962" i="1" s="1"/>
  <c r="AL962" i="1"/>
  <c r="AK962" i="1"/>
  <c r="AJ962" i="1"/>
  <c r="AI962" i="1"/>
  <c r="AH962" i="1"/>
  <c r="AT961" i="1"/>
  <c r="AS961" i="1"/>
  <c r="AQ961" i="1"/>
  <c r="AO961" i="1"/>
  <c r="AM961" i="1"/>
  <c r="AN961" i="1" s="1"/>
  <c r="AL961" i="1"/>
  <c r="AK961" i="1"/>
  <c r="AJ961" i="1"/>
  <c r="AI961" i="1"/>
  <c r="AH961" i="1"/>
  <c r="AT960" i="1"/>
  <c r="AS960" i="1"/>
  <c r="AQ960" i="1"/>
  <c r="AO960" i="1"/>
  <c r="AM960" i="1"/>
  <c r="AN960" i="1" s="1"/>
  <c r="AL960" i="1"/>
  <c r="AK960" i="1"/>
  <c r="AJ960" i="1"/>
  <c r="AI960" i="1"/>
  <c r="AH960" i="1"/>
  <c r="AT959" i="1"/>
  <c r="AS959" i="1"/>
  <c r="AQ959" i="1"/>
  <c r="AO959" i="1"/>
  <c r="AM959" i="1"/>
  <c r="AN959" i="1" s="1"/>
  <c r="AL959" i="1"/>
  <c r="AK959" i="1"/>
  <c r="AJ959" i="1"/>
  <c r="AI959" i="1"/>
  <c r="AH959" i="1"/>
  <c r="AT958" i="1"/>
  <c r="AS958" i="1"/>
  <c r="AQ958" i="1"/>
  <c r="AO958" i="1"/>
  <c r="AN958" i="1"/>
  <c r="AM958" i="1"/>
  <c r="AL958" i="1"/>
  <c r="AK958" i="1"/>
  <c r="AJ958" i="1"/>
  <c r="AI958" i="1"/>
  <c r="AH958" i="1"/>
  <c r="AT957" i="1"/>
  <c r="AS957" i="1"/>
  <c r="AQ957" i="1"/>
  <c r="AO957" i="1"/>
  <c r="AM957" i="1"/>
  <c r="AN957" i="1" s="1"/>
  <c r="AP957" i="1" s="1"/>
  <c r="AL957" i="1"/>
  <c r="AK957" i="1"/>
  <c r="AJ957" i="1"/>
  <c r="AI957" i="1"/>
  <c r="AH957" i="1"/>
  <c r="AT956" i="1"/>
  <c r="AS956" i="1"/>
  <c r="AQ956" i="1"/>
  <c r="AO956" i="1"/>
  <c r="AM956" i="1"/>
  <c r="AN956" i="1" s="1"/>
  <c r="AL956" i="1"/>
  <c r="AK956" i="1"/>
  <c r="AJ956" i="1"/>
  <c r="AI956" i="1"/>
  <c r="AH956" i="1"/>
  <c r="AT955" i="1"/>
  <c r="AS955" i="1"/>
  <c r="AQ955" i="1"/>
  <c r="AO955" i="1"/>
  <c r="AM955" i="1"/>
  <c r="AN955" i="1" s="1"/>
  <c r="AL955" i="1"/>
  <c r="AK955" i="1"/>
  <c r="AJ955" i="1"/>
  <c r="AI955" i="1"/>
  <c r="AH955" i="1"/>
  <c r="AT954" i="1"/>
  <c r="AS954" i="1"/>
  <c r="AQ954" i="1"/>
  <c r="AO954" i="1"/>
  <c r="AM954" i="1"/>
  <c r="AN954" i="1" s="1"/>
  <c r="AL954" i="1"/>
  <c r="AK954" i="1"/>
  <c r="AJ954" i="1"/>
  <c r="AI954" i="1"/>
  <c r="AH954" i="1"/>
  <c r="AT953" i="1"/>
  <c r="AS953" i="1"/>
  <c r="AQ953" i="1"/>
  <c r="AO953" i="1"/>
  <c r="AM953" i="1"/>
  <c r="AN953" i="1" s="1"/>
  <c r="AL953" i="1"/>
  <c r="AK953" i="1"/>
  <c r="AJ953" i="1"/>
  <c r="AI953" i="1"/>
  <c r="AH953" i="1"/>
  <c r="AT952" i="1"/>
  <c r="AS952" i="1"/>
  <c r="AQ952" i="1"/>
  <c r="AO952" i="1"/>
  <c r="AM952" i="1"/>
  <c r="AN952" i="1" s="1"/>
  <c r="AL952" i="1"/>
  <c r="AK952" i="1"/>
  <c r="AJ952" i="1"/>
  <c r="AI952" i="1"/>
  <c r="AH952" i="1"/>
  <c r="AT951" i="1"/>
  <c r="AS951" i="1"/>
  <c r="AQ951" i="1"/>
  <c r="AO951" i="1"/>
  <c r="AM951" i="1"/>
  <c r="AN951" i="1" s="1"/>
  <c r="AL951" i="1"/>
  <c r="AK951" i="1"/>
  <c r="AJ951" i="1"/>
  <c r="AI951" i="1"/>
  <c r="AH951" i="1"/>
  <c r="AT950" i="1"/>
  <c r="AS950" i="1"/>
  <c r="AQ950" i="1"/>
  <c r="AO950" i="1"/>
  <c r="AM950" i="1"/>
  <c r="AN950" i="1" s="1"/>
  <c r="AL950" i="1"/>
  <c r="AK950" i="1"/>
  <c r="AJ950" i="1"/>
  <c r="AI950" i="1"/>
  <c r="AH950" i="1"/>
  <c r="AT949" i="1"/>
  <c r="AS949" i="1"/>
  <c r="AQ949" i="1"/>
  <c r="AO949" i="1"/>
  <c r="AM949" i="1"/>
  <c r="AN949" i="1" s="1"/>
  <c r="AL949" i="1"/>
  <c r="AK949" i="1"/>
  <c r="AJ949" i="1"/>
  <c r="AI949" i="1"/>
  <c r="AH949" i="1"/>
  <c r="AT948" i="1"/>
  <c r="AS948" i="1"/>
  <c r="AQ948" i="1"/>
  <c r="AO948" i="1"/>
  <c r="AM948" i="1"/>
  <c r="AN948" i="1" s="1"/>
  <c r="AL948" i="1"/>
  <c r="AK948" i="1"/>
  <c r="AJ948" i="1"/>
  <c r="AI948" i="1"/>
  <c r="AH948" i="1"/>
  <c r="AT947" i="1"/>
  <c r="AS947" i="1"/>
  <c r="AQ947" i="1"/>
  <c r="AO947" i="1"/>
  <c r="AM947" i="1"/>
  <c r="AN947" i="1" s="1"/>
  <c r="AL947" i="1"/>
  <c r="AK947" i="1"/>
  <c r="AJ947" i="1"/>
  <c r="AI947" i="1"/>
  <c r="AH947" i="1"/>
  <c r="AT946" i="1"/>
  <c r="AS946" i="1"/>
  <c r="AQ946" i="1"/>
  <c r="AO946" i="1"/>
  <c r="AM946" i="1"/>
  <c r="AN946" i="1" s="1"/>
  <c r="AL946" i="1"/>
  <c r="AK946" i="1"/>
  <c r="AJ946" i="1"/>
  <c r="AI946" i="1"/>
  <c r="AH946" i="1"/>
  <c r="AT945" i="1"/>
  <c r="AS945" i="1"/>
  <c r="AQ945" i="1"/>
  <c r="AO945" i="1"/>
  <c r="AM945" i="1"/>
  <c r="AN945" i="1" s="1"/>
  <c r="AL945" i="1"/>
  <c r="AK945" i="1"/>
  <c r="AJ945" i="1"/>
  <c r="AI945" i="1"/>
  <c r="AH945" i="1"/>
  <c r="AT944" i="1"/>
  <c r="AS944" i="1"/>
  <c r="AQ944" i="1"/>
  <c r="AO944" i="1"/>
  <c r="AM944" i="1"/>
  <c r="AN944" i="1" s="1"/>
  <c r="AL944" i="1"/>
  <c r="AK944" i="1"/>
  <c r="AJ944" i="1"/>
  <c r="AI944" i="1"/>
  <c r="AH944" i="1"/>
  <c r="AT943" i="1"/>
  <c r="AS943" i="1"/>
  <c r="AQ943" i="1"/>
  <c r="AO943" i="1"/>
  <c r="AM943" i="1"/>
  <c r="AN943" i="1" s="1"/>
  <c r="AL943" i="1"/>
  <c r="AK943" i="1"/>
  <c r="AJ943" i="1"/>
  <c r="AI943" i="1"/>
  <c r="AH943" i="1"/>
  <c r="AT942" i="1"/>
  <c r="AS942" i="1"/>
  <c r="AQ942" i="1"/>
  <c r="AO942" i="1"/>
  <c r="AM942" i="1"/>
  <c r="AN942" i="1" s="1"/>
  <c r="AL942" i="1"/>
  <c r="AK942" i="1"/>
  <c r="AJ942" i="1"/>
  <c r="AI942" i="1"/>
  <c r="AH942" i="1"/>
  <c r="AT941" i="1"/>
  <c r="AS941" i="1"/>
  <c r="AQ941" i="1"/>
  <c r="AO941" i="1"/>
  <c r="AM941" i="1"/>
  <c r="AN941" i="1" s="1"/>
  <c r="AL941" i="1"/>
  <c r="AK941" i="1"/>
  <c r="AJ941" i="1"/>
  <c r="AI941" i="1"/>
  <c r="AH941" i="1"/>
  <c r="AT940" i="1"/>
  <c r="AS940" i="1"/>
  <c r="AQ940" i="1"/>
  <c r="AO940" i="1"/>
  <c r="AM940" i="1"/>
  <c r="AN940" i="1" s="1"/>
  <c r="AL940" i="1"/>
  <c r="AK940" i="1"/>
  <c r="AJ940" i="1"/>
  <c r="AI940" i="1"/>
  <c r="AH940" i="1"/>
  <c r="AT939" i="1"/>
  <c r="AS939" i="1"/>
  <c r="AQ939" i="1"/>
  <c r="AO939" i="1"/>
  <c r="AM939" i="1"/>
  <c r="AN939" i="1" s="1"/>
  <c r="AL939" i="1"/>
  <c r="AK939" i="1"/>
  <c r="AJ939" i="1"/>
  <c r="AI939" i="1"/>
  <c r="AH939" i="1"/>
  <c r="AT938" i="1"/>
  <c r="AS938" i="1"/>
  <c r="AQ938" i="1"/>
  <c r="AO938" i="1"/>
  <c r="AM938" i="1"/>
  <c r="AN938" i="1" s="1"/>
  <c r="AL938" i="1"/>
  <c r="AK938" i="1"/>
  <c r="AJ938" i="1"/>
  <c r="AI938" i="1"/>
  <c r="AH938" i="1"/>
  <c r="AT937" i="1"/>
  <c r="AS937" i="1"/>
  <c r="AQ937" i="1"/>
  <c r="AO937" i="1"/>
  <c r="AM937" i="1"/>
  <c r="AN937" i="1" s="1"/>
  <c r="AL937" i="1"/>
  <c r="AK937" i="1"/>
  <c r="AJ937" i="1"/>
  <c r="AI937" i="1"/>
  <c r="AH937" i="1"/>
  <c r="AT936" i="1"/>
  <c r="AS936" i="1"/>
  <c r="AQ936" i="1"/>
  <c r="AO936" i="1"/>
  <c r="AM936" i="1"/>
  <c r="AN936" i="1" s="1"/>
  <c r="AL936" i="1"/>
  <c r="AK936" i="1"/>
  <c r="AJ936" i="1"/>
  <c r="AI936" i="1"/>
  <c r="AH936" i="1"/>
  <c r="AT935" i="1"/>
  <c r="AS935" i="1"/>
  <c r="AQ935" i="1"/>
  <c r="AO935" i="1"/>
  <c r="AM935" i="1"/>
  <c r="AN935" i="1" s="1"/>
  <c r="AL935" i="1"/>
  <c r="AK935" i="1"/>
  <c r="AJ935" i="1"/>
  <c r="AI935" i="1"/>
  <c r="AH935" i="1"/>
  <c r="AT934" i="1"/>
  <c r="AS934" i="1"/>
  <c r="AQ934" i="1"/>
  <c r="AO934" i="1"/>
  <c r="AM934" i="1"/>
  <c r="AN934" i="1" s="1"/>
  <c r="AL934" i="1"/>
  <c r="AK934" i="1"/>
  <c r="AJ934" i="1"/>
  <c r="AI934" i="1"/>
  <c r="AH934" i="1"/>
  <c r="AT933" i="1"/>
  <c r="AS933" i="1"/>
  <c r="AQ933" i="1"/>
  <c r="AO933" i="1"/>
  <c r="AM933" i="1"/>
  <c r="AN933" i="1" s="1"/>
  <c r="AL933" i="1"/>
  <c r="AK933" i="1"/>
  <c r="AJ933" i="1"/>
  <c r="AI933" i="1"/>
  <c r="AH933" i="1"/>
  <c r="AT932" i="1"/>
  <c r="AS932" i="1"/>
  <c r="AQ932" i="1"/>
  <c r="AO932" i="1"/>
  <c r="AM932" i="1"/>
  <c r="AN932" i="1" s="1"/>
  <c r="AL932" i="1"/>
  <c r="AK932" i="1"/>
  <c r="AJ932" i="1"/>
  <c r="AI932" i="1"/>
  <c r="AH932" i="1"/>
  <c r="AT931" i="1"/>
  <c r="AS931" i="1"/>
  <c r="AQ931" i="1"/>
  <c r="AO931" i="1"/>
  <c r="AM931" i="1"/>
  <c r="AN931" i="1" s="1"/>
  <c r="AL931" i="1"/>
  <c r="AK931" i="1"/>
  <c r="AJ931" i="1"/>
  <c r="AI931" i="1"/>
  <c r="AH931" i="1"/>
  <c r="AT930" i="1"/>
  <c r="AS930" i="1"/>
  <c r="AQ930" i="1"/>
  <c r="AO930" i="1"/>
  <c r="AM930" i="1"/>
  <c r="AN930" i="1" s="1"/>
  <c r="AL930" i="1"/>
  <c r="AK930" i="1"/>
  <c r="AJ930" i="1"/>
  <c r="AI930" i="1"/>
  <c r="AH930" i="1"/>
  <c r="AT929" i="1"/>
  <c r="AS929" i="1"/>
  <c r="AQ929" i="1"/>
  <c r="AO929" i="1"/>
  <c r="AM929" i="1"/>
  <c r="AN929" i="1" s="1"/>
  <c r="AL929" i="1"/>
  <c r="AK929" i="1"/>
  <c r="AJ929" i="1"/>
  <c r="AI929" i="1"/>
  <c r="AH929" i="1"/>
  <c r="AT928" i="1"/>
  <c r="AS928" i="1"/>
  <c r="AQ928" i="1"/>
  <c r="AO928" i="1"/>
  <c r="AM928" i="1"/>
  <c r="AN928" i="1" s="1"/>
  <c r="AL928" i="1"/>
  <c r="AK928" i="1"/>
  <c r="AJ928" i="1"/>
  <c r="AI928" i="1"/>
  <c r="AH928" i="1"/>
  <c r="AT927" i="1"/>
  <c r="AS927" i="1"/>
  <c r="AQ927" i="1"/>
  <c r="AO927" i="1"/>
  <c r="AM927" i="1"/>
  <c r="AN927" i="1" s="1"/>
  <c r="AL927" i="1"/>
  <c r="AK927" i="1"/>
  <c r="AJ927" i="1"/>
  <c r="AI927" i="1"/>
  <c r="AH927" i="1"/>
  <c r="AT926" i="1"/>
  <c r="AS926" i="1"/>
  <c r="AQ926" i="1"/>
  <c r="AO926" i="1"/>
  <c r="AM926" i="1"/>
  <c r="AN926" i="1" s="1"/>
  <c r="AL926" i="1"/>
  <c r="AK926" i="1"/>
  <c r="AJ926" i="1"/>
  <c r="AI926" i="1"/>
  <c r="AH926" i="1"/>
  <c r="AT925" i="1"/>
  <c r="AS925" i="1"/>
  <c r="AQ925" i="1"/>
  <c r="AO925" i="1"/>
  <c r="AM925" i="1"/>
  <c r="AN925" i="1" s="1"/>
  <c r="AL925" i="1"/>
  <c r="AK925" i="1"/>
  <c r="AJ925" i="1"/>
  <c r="AI925" i="1"/>
  <c r="AH925" i="1"/>
  <c r="AT924" i="1"/>
  <c r="AS924" i="1"/>
  <c r="AQ924" i="1"/>
  <c r="AO924" i="1"/>
  <c r="AM924" i="1"/>
  <c r="AN924" i="1" s="1"/>
  <c r="AL924" i="1"/>
  <c r="AK924" i="1"/>
  <c r="AJ924" i="1"/>
  <c r="AI924" i="1"/>
  <c r="AH924" i="1"/>
  <c r="AT923" i="1"/>
  <c r="AS923" i="1"/>
  <c r="AQ923" i="1"/>
  <c r="AO923" i="1"/>
  <c r="AM923" i="1"/>
  <c r="AN923" i="1" s="1"/>
  <c r="AL923" i="1"/>
  <c r="AK923" i="1"/>
  <c r="AJ923" i="1"/>
  <c r="AI923" i="1"/>
  <c r="AH923" i="1"/>
  <c r="AT922" i="1"/>
  <c r="AS922" i="1"/>
  <c r="AQ922" i="1"/>
  <c r="AO922" i="1"/>
  <c r="AM922" i="1"/>
  <c r="AN922" i="1" s="1"/>
  <c r="AL922" i="1"/>
  <c r="AK922" i="1"/>
  <c r="AJ922" i="1"/>
  <c r="AI922" i="1"/>
  <c r="AH922" i="1"/>
  <c r="AT921" i="1"/>
  <c r="AS921" i="1"/>
  <c r="AQ921" i="1"/>
  <c r="AO921" i="1"/>
  <c r="AM921" i="1"/>
  <c r="AN921" i="1" s="1"/>
  <c r="AL921" i="1"/>
  <c r="AK921" i="1"/>
  <c r="AJ921" i="1"/>
  <c r="AI921" i="1"/>
  <c r="AH921" i="1"/>
  <c r="AT920" i="1"/>
  <c r="AS920" i="1"/>
  <c r="AQ920" i="1"/>
  <c r="AO920" i="1"/>
  <c r="AM920" i="1"/>
  <c r="AN920" i="1" s="1"/>
  <c r="AL920" i="1"/>
  <c r="AK920" i="1"/>
  <c r="AJ920" i="1"/>
  <c r="AI920" i="1"/>
  <c r="AH920" i="1"/>
  <c r="AT919" i="1"/>
  <c r="AS919" i="1"/>
  <c r="AQ919" i="1"/>
  <c r="AO919" i="1"/>
  <c r="AM919" i="1"/>
  <c r="AN919" i="1" s="1"/>
  <c r="AL919" i="1"/>
  <c r="AK919" i="1"/>
  <c r="AJ919" i="1"/>
  <c r="AI919" i="1"/>
  <c r="AH919" i="1"/>
  <c r="AT918" i="1"/>
  <c r="AS918" i="1"/>
  <c r="AQ918" i="1"/>
  <c r="AO918" i="1"/>
  <c r="AM918" i="1"/>
  <c r="AN918" i="1" s="1"/>
  <c r="AL918" i="1"/>
  <c r="AK918" i="1"/>
  <c r="AJ918" i="1"/>
  <c r="AI918" i="1"/>
  <c r="AH918" i="1"/>
  <c r="AT917" i="1"/>
  <c r="AS917" i="1"/>
  <c r="AQ917" i="1"/>
  <c r="AO917" i="1"/>
  <c r="AM917" i="1"/>
  <c r="AN917" i="1" s="1"/>
  <c r="AL917" i="1"/>
  <c r="AK917" i="1"/>
  <c r="AJ917" i="1"/>
  <c r="AI917" i="1"/>
  <c r="AH917" i="1"/>
  <c r="AT916" i="1"/>
  <c r="AS916" i="1"/>
  <c r="AQ916" i="1"/>
  <c r="AO916" i="1"/>
  <c r="AM916" i="1"/>
  <c r="AN916" i="1" s="1"/>
  <c r="AL916" i="1"/>
  <c r="AK916" i="1"/>
  <c r="AJ916" i="1"/>
  <c r="AI916" i="1"/>
  <c r="AH916" i="1"/>
  <c r="AT915" i="1"/>
  <c r="AS915" i="1"/>
  <c r="AQ915" i="1"/>
  <c r="AO915" i="1"/>
  <c r="AM915" i="1"/>
  <c r="AN915" i="1" s="1"/>
  <c r="AL915" i="1"/>
  <c r="AK915" i="1"/>
  <c r="AJ915" i="1"/>
  <c r="AI915" i="1"/>
  <c r="AH915" i="1"/>
  <c r="AT914" i="1"/>
  <c r="AS914" i="1"/>
  <c r="AQ914" i="1"/>
  <c r="AO914" i="1"/>
  <c r="AM914" i="1"/>
  <c r="AN914" i="1" s="1"/>
  <c r="AL914" i="1"/>
  <c r="AK914" i="1"/>
  <c r="AJ914" i="1"/>
  <c r="AI914" i="1"/>
  <c r="AH914" i="1"/>
  <c r="AT913" i="1"/>
  <c r="AS913" i="1"/>
  <c r="AQ913" i="1"/>
  <c r="AO913" i="1"/>
  <c r="AM913" i="1"/>
  <c r="AN913" i="1" s="1"/>
  <c r="AL913" i="1"/>
  <c r="AK913" i="1"/>
  <c r="AJ913" i="1"/>
  <c r="AI913" i="1"/>
  <c r="AH913" i="1"/>
  <c r="AT912" i="1"/>
  <c r="AS912" i="1"/>
  <c r="AQ912" i="1"/>
  <c r="AO912" i="1"/>
  <c r="AM912" i="1"/>
  <c r="AN912" i="1" s="1"/>
  <c r="AL912" i="1"/>
  <c r="AK912" i="1"/>
  <c r="AJ912" i="1"/>
  <c r="AI912" i="1"/>
  <c r="AH912" i="1"/>
  <c r="AT911" i="1"/>
  <c r="AS911" i="1"/>
  <c r="AQ911" i="1"/>
  <c r="AO911" i="1"/>
  <c r="AM911" i="1"/>
  <c r="AN911" i="1" s="1"/>
  <c r="AL911" i="1"/>
  <c r="AK911" i="1"/>
  <c r="AJ911" i="1"/>
  <c r="AI911" i="1"/>
  <c r="AH911" i="1"/>
  <c r="AT910" i="1"/>
  <c r="AS910" i="1"/>
  <c r="AQ910" i="1"/>
  <c r="AO910" i="1"/>
  <c r="AM910" i="1"/>
  <c r="AN910" i="1" s="1"/>
  <c r="AL910" i="1"/>
  <c r="AK910" i="1"/>
  <c r="AJ910" i="1"/>
  <c r="AI910" i="1"/>
  <c r="AH910" i="1"/>
  <c r="AT909" i="1"/>
  <c r="AS909" i="1"/>
  <c r="AQ909" i="1"/>
  <c r="AO909" i="1"/>
  <c r="AM909" i="1"/>
  <c r="AN909" i="1" s="1"/>
  <c r="AL909" i="1"/>
  <c r="AK909" i="1"/>
  <c r="AJ909" i="1"/>
  <c r="AI909" i="1"/>
  <c r="AH909" i="1"/>
  <c r="AT908" i="1"/>
  <c r="AS908" i="1"/>
  <c r="AQ908" i="1"/>
  <c r="AO908" i="1"/>
  <c r="AM908" i="1"/>
  <c r="AN908" i="1" s="1"/>
  <c r="AL908" i="1"/>
  <c r="AK908" i="1"/>
  <c r="AJ908" i="1"/>
  <c r="AI908" i="1"/>
  <c r="AH908" i="1"/>
  <c r="AT907" i="1"/>
  <c r="AS907" i="1"/>
  <c r="AQ907" i="1"/>
  <c r="AO907" i="1"/>
  <c r="AM907" i="1"/>
  <c r="AN907" i="1" s="1"/>
  <c r="AL907" i="1"/>
  <c r="AK907" i="1"/>
  <c r="AJ907" i="1"/>
  <c r="AI907" i="1"/>
  <c r="AH907" i="1"/>
  <c r="AT906" i="1"/>
  <c r="AS906" i="1"/>
  <c r="AQ906" i="1"/>
  <c r="AO906" i="1"/>
  <c r="AM906" i="1"/>
  <c r="AN906" i="1" s="1"/>
  <c r="AL906" i="1"/>
  <c r="AK906" i="1"/>
  <c r="AJ906" i="1"/>
  <c r="AI906" i="1"/>
  <c r="AH906" i="1"/>
  <c r="AT905" i="1"/>
  <c r="AS905" i="1"/>
  <c r="AQ905" i="1"/>
  <c r="AO905" i="1"/>
  <c r="AM905" i="1"/>
  <c r="AN905" i="1" s="1"/>
  <c r="AL905" i="1"/>
  <c r="AK905" i="1"/>
  <c r="AJ905" i="1"/>
  <c r="AI905" i="1"/>
  <c r="AH905" i="1"/>
  <c r="AT904" i="1"/>
  <c r="AS904" i="1"/>
  <c r="AQ904" i="1"/>
  <c r="AO904" i="1"/>
  <c r="AM904" i="1"/>
  <c r="AN904" i="1" s="1"/>
  <c r="AL904" i="1"/>
  <c r="AK904" i="1"/>
  <c r="AJ904" i="1"/>
  <c r="AI904" i="1"/>
  <c r="AH904" i="1"/>
  <c r="AT903" i="1"/>
  <c r="AS903" i="1"/>
  <c r="AQ903" i="1"/>
  <c r="AO903" i="1"/>
  <c r="AM903" i="1"/>
  <c r="AN903" i="1" s="1"/>
  <c r="AP903" i="1" s="1"/>
  <c r="AL903" i="1"/>
  <c r="AK903" i="1"/>
  <c r="AJ903" i="1"/>
  <c r="AI903" i="1"/>
  <c r="AH903" i="1"/>
  <c r="AT902" i="1"/>
  <c r="AS902" i="1"/>
  <c r="AQ902" i="1"/>
  <c r="AO902" i="1"/>
  <c r="AM902" i="1"/>
  <c r="AN902" i="1" s="1"/>
  <c r="AL902" i="1"/>
  <c r="AK902" i="1"/>
  <c r="AJ902" i="1"/>
  <c r="AI902" i="1"/>
  <c r="AH902" i="1"/>
  <c r="AT901" i="1"/>
  <c r="AS901" i="1"/>
  <c r="AQ901" i="1"/>
  <c r="AO901" i="1"/>
  <c r="AM901" i="1"/>
  <c r="AN901" i="1" s="1"/>
  <c r="AL901" i="1"/>
  <c r="AK901" i="1"/>
  <c r="AJ901" i="1"/>
  <c r="AI901" i="1"/>
  <c r="AH901" i="1"/>
  <c r="AT900" i="1"/>
  <c r="AS900" i="1"/>
  <c r="AQ900" i="1"/>
  <c r="AO900" i="1"/>
  <c r="AM900" i="1"/>
  <c r="AN900" i="1" s="1"/>
  <c r="AL900" i="1"/>
  <c r="AK900" i="1"/>
  <c r="AJ900" i="1"/>
  <c r="AI900" i="1"/>
  <c r="AH900" i="1"/>
  <c r="AT899" i="1"/>
  <c r="AS899" i="1"/>
  <c r="AQ899" i="1"/>
  <c r="AO899" i="1"/>
  <c r="AM899" i="1"/>
  <c r="AN899" i="1" s="1"/>
  <c r="AL899" i="1"/>
  <c r="AK899" i="1"/>
  <c r="AJ899" i="1"/>
  <c r="AI899" i="1"/>
  <c r="AH899" i="1"/>
  <c r="AT898" i="1"/>
  <c r="AS898" i="1"/>
  <c r="AQ898" i="1"/>
  <c r="AO898" i="1"/>
  <c r="AM898" i="1"/>
  <c r="AN898" i="1" s="1"/>
  <c r="AL898" i="1"/>
  <c r="AK898" i="1"/>
  <c r="AJ898" i="1"/>
  <c r="AI898" i="1"/>
  <c r="AH898" i="1"/>
  <c r="AT897" i="1"/>
  <c r="AS897" i="1"/>
  <c r="AQ897" i="1"/>
  <c r="AO897" i="1"/>
  <c r="AM897" i="1"/>
  <c r="AN897" i="1" s="1"/>
  <c r="AL897" i="1"/>
  <c r="AK897" i="1"/>
  <c r="AJ897" i="1"/>
  <c r="AI897" i="1"/>
  <c r="AH897" i="1"/>
  <c r="AT896" i="1"/>
  <c r="AS896" i="1"/>
  <c r="AQ896" i="1"/>
  <c r="AO896" i="1"/>
  <c r="AM896" i="1"/>
  <c r="AN896" i="1" s="1"/>
  <c r="AL896" i="1"/>
  <c r="AK896" i="1"/>
  <c r="AJ896" i="1"/>
  <c r="AI896" i="1"/>
  <c r="AH896" i="1"/>
  <c r="AT895" i="1"/>
  <c r="AS895" i="1"/>
  <c r="AQ895" i="1"/>
  <c r="AO895" i="1"/>
  <c r="AM895" i="1"/>
  <c r="AN895" i="1" s="1"/>
  <c r="AL895" i="1"/>
  <c r="AK895" i="1"/>
  <c r="AJ895" i="1"/>
  <c r="AI895" i="1"/>
  <c r="AH895" i="1"/>
  <c r="AT894" i="1"/>
  <c r="AS894" i="1"/>
  <c r="AQ894" i="1"/>
  <c r="AO894" i="1"/>
  <c r="AM894" i="1"/>
  <c r="AN894" i="1" s="1"/>
  <c r="AL894" i="1"/>
  <c r="AK894" i="1"/>
  <c r="AJ894" i="1"/>
  <c r="AI894" i="1"/>
  <c r="AH894" i="1"/>
  <c r="AT893" i="1"/>
  <c r="AS893" i="1"/>
  <c r="AQ893" i="1"/>
  <c r="AO893" i="1"/>
  <c r="AM893" i="1"/>
  <c r="AN893" i="1" s="1"/>
  <c r="AL893" i="1"/>
  <c r="AK893" i="1"/>
  <c r="AJ893" i="1"/>
  <c r="AI893" i="1"/>
  <c r="AH893" i="1"/>
  <c r="AT892" i="1"/>
  <c r="AS892" i="1"/>
  <c r="AQ892" i="1"/>
  <c r="AO892" i="1"/>
  <c r="AM892" i="1"/>
  <c r="AN892" i="1" s="1"/>
  <c r="AL892" i="1"/>
  <c r="AK892" i="1"/>
  <c r="AJ892" i="1"/>
  <c r="AI892" i="1"/>
  <c r="AH892" i="1"/>
  <c r="AT891" i="1"/>
  <c r="AS891" i="1"/>
  <c r="AQ891" i="1"/>
  <c r="AO891" i="1"/>
  <c r="AM891" i="1"/>
  <c r="AN891" i="1" s="1"/>
  <c r="AL891" i="1"/>
  <c r="AK891" i="1"/>
  <c r="AJ891" i="1"/>
  <c r="AI891" i="1"/>
  <c r="AH891" i="1"/>
  <c r="AT890" i="1"/>
  <c r="AS890" i="1"/>
  <c r="AQ890" i="1"/>
  <c r="AO890" i="1"/>
  <c r="AM890" i="1"/>
  <c r="AN890" i="1" s="1"/>
  <c r="AL890" i="1"/>
  <c r="AK890" i="1"/>
  <c r="AJ890" i="1"/>
  <c r="AI890" i="1"/>
  <c r="AH890" i="1"/>
  <c r="AT889" i="1"/>
  <c r="AS889" i="1"/>
  <c r="AQ889" i="1"/>
  <c r="AO889" i="1"/>
  <c r="AM889" i="1"/>
  <c r="AN889" i="1" s="1"/>
  <c r="AL889" i="1"/>
  <c r="AK889" i="1"/>
  <c r="AJ889" i="1"/>
  <c r="AI889" i="1"/>
  <c r="AH889" i="1"/>
  <c r="AT888" i="1"/>
  <c r="AS888" i="1"/>
  <c r="AQ888" i="1"/>
  <c r="AO888" i="1"/>
  <c r="AM888" i="1"/>
  <c r="AN888" i="1" s="1"/>
  <c r="AL888" i="1"/>
  <c r="AK888" i="1"/>
  <c r="AJ888" i="1"/>
  <c r="AI888" i="1"/>
  <c r="AH888" i="1"/>
  <c r="AT887" i="1"/>
  <c r="AS887" i="1"/>
  <c r="AQ887" i="1"/>
  <c r="AO887" i="1"/>
  <c r="AM887" i="1"/>
  <c r="AN887" i="1" s="1"/>
  <c r="AL887" i="1"/>
  <c r="AK887" i="1"/>
  <c r="AJ887" i="1"/>
  <c r="AI887" i="1"/>
  <c r="AH887" i="1"/>
  <c r="AT886" i="1"/>
  <c r="AS886" i="1"/>
  <c r="AQ886" i="1"/>
  <c r="AO886" i="1"/>
  <c r="AM886" i="1"/>
  <c r="AN886" i="1" s="1"/>
  <c r="AL886" i="1"/>
  <c r="AK886" i="1"/>
  <c r="AJ886" i="1"/>
  <c r="AI886" i="1"/>
  <c r="AH886" i="1"/>
  <c r="AT885" i="1"/>
  <c r="AS885" i="1"/>
  <c r="AQ885" i="1"/>
  <c r="AO885" i="1"/>
  <c r="AM885" i="1"/>
  <c r="AN885" i="1" s="1"/>
  <c r="AL885" i="1"/>
  <c r="AK885" i="1"/>
  <c r="AJ885" i="1"/>
  <c r="AI885" i="1"/>
  <c r="AH885" i="1"/>
  <c r="AT884" i="1"/>
  <c r="AS884" i="1"/>
  <c r="AQ884" i="1"/>
  <c r="AO884" i="1"/>
  <c r="AM884" i="1"/>
  <c r="AN884" i="1" s="1"/>
  <c r="AL884" i="1"/>
  <c r="AK884" i="1"/>
  <c r="AJ884" i="1"/>
  <c r="AI884" i="1"/>
  <c r="AH884" i="1"/>
  <c r="AT883" i="1"/>
  <c r="AS883" i="1"/>
  <c r="AQ883" i="1"/>
  <c r="AO883" i="1"/>
  <c r="AM883" i="1"/>
  <c r="AN883" i="1" s="1"/>
  <c r="AL883" i="1"/>
  <c r="AK883" i="1"/>
  <c r="AJ883" i="1"/>
  <c r="AI883" i="1"/>
  <c r="AH883" i="1"/>
  <c r="AT882" i="1"/>
  <c r="AS882" i="1"/>
  <c r="AQ882" i="1"/>
  <c r="AO882" i="1"/>
  <c r="AM882" i="1"/>
  <c r="AN882" i="1" s="1"/>
  <c r="AL882" i="1"/>
  <c r="AK882" i="1"/>
  <c r="AJ882" i="1"/>
  <c r="AI882" i="1"/>
  <c r="AH882" i="1"/>
  <c r="AT881" i="1"/>
  <c r="AS881" i="1"/>
  <c r="AQ881" i="1"/>
  <c r="AO881" i="1"/>
  <c r="AM881" i="1"/>
  <c r="AN881" i="1" s="1"/>
  <c r="AL881" i="1"/>
  <c r="AK881" i="1"/>
  <c r="AJ881" i="1"/>
  <c r="AI881" i="1"/>
  <c r="AH881" i="1"/>
  <c r="AT880" i="1"/>
  <c r="AS880" i="1"/>
  <c r="AQ880" i="1"/>
  <c r="AO880" i="1"/>
  <c r="AM880" i="1"/>
  <c r="AN880" i="1" s="1"/>
  <c r="AL880" i="1"/>
  <c r="AK880" i="1"/>
  <c r="AJ880" i="1"/>
  <c r="AI880" i="1"/>
  <c r="AH880" i="1"/>
  <c r="AT879" i="1"/>
  <c r="AS879" i="1"/>
  <c r="AQ879" i="1"/>
  <c r="AO879" i="1"/>
  <c r="AM879" i="1"/>
  <c r="AN879" i="1" s="1"/>
  <c r="AL879" i="1"/>
  <c r="AK879" i="1"/>
  <c r="AJ879" i="1"/>
  <c r="AI879" i="1"/>
  <c r="AH879" i="1"/>
  <c r="AT878" i="1"/>
  <c r="AS878" i="1"/>
  <c r="AQ878" i="1"/>
  <c r="AO878" i="1"/>
  <c r="AM878" i="1"/>
  <c r="AN878" i="1" s="1"/>
  <c r="AL878" i="1"/>
  <c r="AK878" i="1"/>
  <c r="AJ878" i="1"/>
  <c r="AI878" i="1"/>
  <c r="AH878" i="1"/>
  <c r="AT877" i="1"/>
  <c r="AS877" i="1"/>
  <c r="AQ877" i="1"/>
  <c r="AO877" i="1"/>
  <c r="AM877" i="1"/>
  <c r="AN877" i="1" s="1"/>
  <c r="AL877" i="1"/>
  <c r="AK877" i="1"/>
  <c r="AJ877" i="1"/>
  <c r="AI877" i="1"/>
  <c r="AH877" i="1"/>
  <c r="AT876" i="1"/>
  <c r="AS876" i="1"/>
  <c r="AQ876" i="1"/>
  <c r="AO876" i="1"/>
  <c r="AM876" i="1"/>
  <c r="AN876" i="1" s="1"/>
  <c r="AL876" i="1"/>
  <c r="AK876" i="1"/>
  <c r="AJ876" i="1"/>
  <c r="AI876" i="1"/>
  <c r="AH876" i="1"/>
  <c r="AT875" i="1"/>
  <c r="AS875" i="1"/>
  <c r="AQ875" i="1"/>
  <c r="AO875" i="1"/>
  <c r="AM875" i="1"/>
  <c r="AN875" i="1" s="1"/>
  <c r="AL875" i="1"/>
  <c r="AK875" i="1"/>
  <c r="AJ875" i="1"/>
  <c r="AI875" i="1"/>
  <c r="AH875" i="1"/>
  <c r="AT874" i="1"/>
  <c r="AS874" i="1"/>
  <c r="AQ874" i="1"/>
  <c r="AO874" i="1"/>
  <c r="AM874" i="1"/>
  <c r="AN874" i="1" s="1"/>
  <c r="AL874" i="1"/>
  <c r="AK874" i="1"/>
  <c r="AJ874" i="1"/>
  <c r="AI874" i="1"/>
  <c r="AH874" i="1"/>
  <c r="AT873" i="1"/>
  <c r="AS873" i="1"/>
  <c r="AQ873" i="1"/>
  <c r="AO873" i="1"/>
  <c r="AM873" i="1"/>
  <c r="AN873" i="1" s="1"/>
  <c r="AL873" i="1"/>
  <c r="AK873" i="1"/>
  <c r="AJ873" i="1"/>
  <c r="AI873" i="1"/>
  <c r="AH873" i="1"/>
  <c r="AT872" i="1"/>
  <c r="AS872" i="1"/>
  <c r="AQ872" i="1"/>
  <c r="AO872" i="1"/>
  <c r="AM872" i="1"/>
  <c r="AN872" i="1" s="1"/>
  <c r="AL872" i="1"/>
  <c r="AK872" i="1"/>
  <c r="AJ872" i="1"/>
  <c r="AI872" i="1"/>
  <c r="AH872" i="1"/>
  <c r="AT871" i="1"/>
  <c r="AS871" i="1"/>
  <c r="AQ871" i="1"/>
  <c r="AO871" i="1"/>
  <c r="AM871" i="1"/>
  <c r="AN871" i="1" s="1"/>
  <c r="AL871" i="1"/>
  <c r="AK871" i="1"/>
  <c r="AJ871" i="1"/>
  <c r="AI871" i="1"/>
  <c r="AH871" i="1"/>
  <c r="AT870" i="1"/>
  <c r="AS870" i="1"/>
  <c r="AQ870" i="1"/>
  <c r="AO870" i="1"/>
  <c r="AM870" i="1"/>
  <c r="AN870" i="1" s="1"/>
  <c r="AL870" i="1"/>
  <c r="AK870" i="1"/>
  <c r="AJ870" i="1"/>
  <c r="AI870" i="1"/>
  <c r="AH870" i="1"/>
  <c r="AT869" i="1"/>
  <c r="AS869" i="1"/>
  <c r="AQ869" i="1"/>
  <c r="AO869" i="1"/>
  <c r="AM869" i="1"/>
  <c r="AN869" i="1" s="1"/>
  <c r="AL869" i="1"/>
  <c r="AK869" i="1"/>
  <c r="AJ869" i="1"/>
  <c r="AI869" i="1"/>
  <c r="AH869" i="1"/>
  <c r="AT868" i="1"/>
  <c r="AS868" i="1"/>
  <c r="AQ868" i="1"/>
  <c r="AO868" i="1"/>
  <c r="AM868" i="1"/>
  <c r="AN868" i="1" s="1"/>
  <c r="AL868" i="1"/>
  <c r="AK868" i="1"/>
  <c r="AJ868" i="1"/>
  <c r="AI868" i="1"/>
  <c r="AH868" i="1"/>
  <c r="AT867" i="1"/>
  <c r="AS867" i="1"/>
  <c r="AQ867" i="1"/>
  <c r="AO867" i="1"/>
  <c r="AM867" i="1"/>
  <c r="AN867" i="1" s="1"/>
  <c r="AL867" i="1"/>
  <c r="AK867" i="1"/>
  <c r="AJ867" i="1"/>
  <c r="AI867" i="1"/>
  <c r="AH867" i="1"/>
  <c r="AT866" i="1"/>
  <c r="AS866" i="1"/>
  <c r="AQ866" i="1"/>
  <c r="AO866" i="1"/>
  <c r="AM866" i="1"/>
  <c r="AN866" i="1" s="1"/>
  <c r="AL866" i="1"/>
  <c r="AK866" i="1"/>
  <c r="AJ866" i="1"/>
  <c r="AI866" i="1"/>
  <c r="AH866" i="1"/>
  <c r="AT865" i="1"/>
  <c r="AS865" i="1"/>
  <c r="AQ865" i="1"/>
  <c r="AO865" i="1"/>
  <c r="AM865" i="1"/>
  <c r="AN865" i="1" s="1"/>
  <c r="AL865" i="1"/>
  <c r="AK865" i="1"/>
  <c r="AJ865" i="1"/>
  <c r="AI865" i="1"/>
  <c r="AH865" i="1"/>
  <c r="AT864" i="1"/>
  <c r="AS864" i="1"/>
  <c r="AQ864" i="1"/>
  <c r="AO864" i="1"/>
  <c r="AM864" i="1"/>
  <c r="AN864" i="1" s="1"/>
  <c r="AL864" i="1"/>
  <c r="AK864" i="1"/>
  <c r="AJ864" i="1"/>
  <c r="AI864" i="1"/>
  <c r="AH864" i="1"/>
  <c r="AT863" i="1"/>
  <c r="AS863" i="1"/>
  <c r="AQ863" i="1"/>
  <c r="AO863" i="1"/>
  <c r="AM863" i="1"/>
  <c r="AN863" i="1" s="1"/>
  <c r="AL863" i="1"/>
  <c r="AK863" i="1"/>
  <c r="AJ863" i="1"/>
  <c r="AI863" i="1"/>
  <c r="AH863" i="1"/>
  <c r="AT862" i="1"/>
  <c r="AS862" i="1"/>
  <c r="AQ862" i="1"/>
  <c r="AO862" i="1"/>
  <c r="AM862" i="1"/>
  <c r="AN862" i="1" s="1"/>
  <c r="AL862" i="1"/>
  <c r="AK862" i="1"/>
  <c r="AJ862" i="1"/>
  <c r="AI862" i="1"/>
  <c r="AH862" i="1"/>
  <c r="AT861" i="1"/>
  <c r="AS861" i="1"/>
  <c r="AQ861" i="1"/>
  <c r="AO861" i="1"/>
  <c r="AM861" i="1"/>
  <c r="AN861" i="1" s="1"/>
  <c r="AL861" i="1"/>
  <c r="AK861" i="1"/>
  <c r="AJ861" i="1"/>
  <c r="AI861" i="1"/>
  <c r="AH861" i="1"/>
  <c r="AT860" i="1"/>
  <c r="AS860" i="1"/>
  <c r="AQ860" i="1"/>
  <c r="AO860" i="1"/>
  <c r="AM860" i="1"/>
  <c r="AN860" i="1" s="1"/>
  <c r="AL860" i="1"/>
  <c r="AK860" i="1"/>
  <c r="AJ860" i="1"/>
  <c r="AI860" i="1"/>
  <c r="AH860" i="1"/>
  <c r="AT859" i="1"/>
  <c r="AS859" i="1"/>
  <c r="AQ859" i="1"/>
  <c r="AO859" i="1"/>
  <c r="AM859" i="1"/>
  <c r="AN859" i="1" s="1"/>
  <c r="AL859" i="1"/>
  <c r="AK859" i="1"/>
  <c r="AJ859" i="1"/>
  <c r="AI859" i="1"/>
  <c r="AH859" i="1"/>
  <c r="AT858" i="1"/>
  <c r="AS858" i="1"/>
  <c r="AQ858" i="1"/>
  <c r="AO858" i="1"/>
  <c r="AM858" i="1"/>
  <c r="AN858" i="1" s="1"/>
  <c r="AL858" i="1"/>
  <c r="AK858" i="1"/>
  <c r="AJ858" i="1"/>
  <c r="AI858" i="1"/>
  <c r="AH858" i="1"/>
  <c r="AT857" i="1"/>
  <c r="AS857" i="1"/>
  <c r="AQ857" i="1"/>
  <c r="AO857" i="1"/>
  <c r="AM857" i="1"/>
  <c r="AN857" i="1" s="1"/>
  <c r="AL857" i="1"/>
  <c r="AK857" i="1"/>
  <c r="AJ857" i="1"/>
  <c r="AI857" i="1"/>
  <c r="AH857" i="1"/>
  <c r="AT856" i="1"/>
  <c r="AS856" i="1"/>
  <c r="AQ856" i="1"/>
  <c r="AO856" i="1"/>
  <c r="AM856" i="1"/>
  <c r="AN856" i="1" s="1"/>
  <c r="AL856" i="1"/>
  <c r="AK856" i="1"/>
  <c r="AJ856" i="1"/>
  <c r="AI856" i="1"/>
  <c r="AH856" i="1"/>
  <c r="AT855" i="1"/>
  <c r="AS855" i="1"/>
  <c r="AQ855" i="1"/>
  <c r="AO855" i="1"/>
  <c r="AM855" i="1"/>
  <c r="AN855" i="1" s="1"/>
  <c r="AL855" i="1"/>
  <c r="AK855" i="1"/>
  <c r="AJ855" i="1"/>
  <c r="AI855" i="1"/>
  <c r="AH855" i="1"/>
  <c r="AT854" i="1"/>
  <c r="AS854" i="1"/>
  <c r="AQ854" i="1"/>
  <c r="AO854" i="1"/>
  <c r="AM854" i="1"/>
  <c r="AN854" i="1" s="1"/>
  <c r="AL854" i="1"/>
  <c r="AK854" i="1"/>
  <c r="AJ854" i="1"/>
  <c r="AI854" i="1"/>
  <c r="AH854" i="1"/>
  <c r="AT853" i="1"/>
  <c r="AS853" i="1"/>
  <c r="AQ853" i="1"/>
  <c r="AO853" i="1"/>
  <c r="AM853" i="1"/>
  <c r="AN853" i="1" s="1"/>
  <c r="AL853" i="1"/>
  <c r="AK853" i="1"/>
  <c r="AJ853" i="1"/>
  <c r="AI853" i="1"/>
  <c r="AH853" i="1"/>
  <c r="AT852" i="1"/>
  <c r="AS852" i="1"/>
  <c r="AQ852" i="1"/>
  <c r="AO852" i="1"/>
  <c r="AM852" i="1"/>
  <c r="AN852" i="1" s="1"/>
  <c r="AL852" i="1"/>
  <c r="AK852" i="1"/>
  <c r="AJ852" i="1"/>
  <c r="AI852" i="1"/>
  <c r="AH852" i="1"/>
  <c r="AT851" i="1"/>
  <c r="AS851" i="1"/>
  <c r="AQ851" i="1"/>
  <c r="AO851" i="1"/>
  <c r="AM851" i="1"/>
  <c r="AN851" i="1" s="1"/>
  <c r="AL851" i="1"/>
  <c r="AK851" i="1"/>
  <c r="AJ851" i="1"/>
  <c r="AI851" i="1"/>
  <c r="AH851" i="1"/>
  <c r="AT850" i="1"/>
  <c r="AS850" i="1"/>
  <c r="AQ850" i="1"/>
  <c r="AO850" i="1"/>
  <c r="AM850" i="1"/>
  <c r="AN850" i="1" s="1"/>
  <c r="AL850" i="1"/>
  <c r="AK850" i="1"/>
  <c r="AJ850" i="1"/>
  <c r="AI850" i="1"/>
  <c r="AH850" i="1"/>
  <c r="AT849" i="1"/>
  <c r="AS849" i="1"/>
  <c r="AQ849" i="1"/>
  <c r="AO849" i="1"/>
  <c r="AM849" i="1"/>
  <c r="AN849" i="1" s="1"/>
  <c r="AL849" i="1"/>
  <c r="AK849" i="1"/>
  <c r="AJ849" i="1"/>
  <c r="AI849" i="1"/>
  <c r="AH849" i="1"/>
  <c r="AT848" i="1"/>
  <c r="AS848" i="1"/>
  <c r="AQ848" i="1"/>
  <c r="AO848" i="1"/>
  <c r="AM848" i="1"/>
  <c r="AN848" i="1" s="1"/>
  <c r="AL848" i="1"/>
  <c r="AK848" i="1"/>
  <c r="AJ848" i="1"/>
  <c r="AI848" i="1"/>
  <c r="AH848" i="1"/>
  <c r="AT847" i="1"/>
  <c r="AS847" i="1"/>
  <c r="AQ847" i="1"/>
  <c r="AO847" i="1"/>
  <c r="AM847" i="1"/>
  <c r="AN847" i="1" s="1"/>
  <c r="AL847" i="1"/>
  <c r="AK847" i="1"/>
  <c r="AJ847" i="1"/>
  <c r="AI847" i="1"/>
  <c r="AH847" i="1"/>
  <c r="AT846" i="1"/>
  <c r="AS846" i="1"/>
  <c r="AQ846" i="1"/>
  <c r="AO846" i="1"/>
  <c r="AM846" i="1"/>
  <c r="AN846" i="1" s="1"/>
  <c r="AL846" i="1"/>
  <c r="AK846" i="1"/>
  <c r="AJ846" i="1"/>
  <c r="AI846" i="1"/>
  <c r="AH846" i="1"/>
  <c r="AT845" i="1"/>
  <c r="AS845" i="1"/>
  <c r="AQ845" i="1"/>
  <c r="AO845" i="1"/>
  <c r="AM845" i="1"/>
  <c r="AN845" i="1" s="1"/>
  <c r="AL845" i="1"/>
  <c r="AK845" i="1"/>
  <c r="AJ845" i="1"/>
  <c r="AI845" i="1"/>
  <c r="AH845" i="1"/>
  <c r="AT844" i="1"/>
  <c r="AS844" i="1"/>
  <c r="AQ844" i="1"/>
  <c r="AO844" i="1"/>
  <c r="AM844" i="1"/>
  <c r="AN844" i="1" s="1"/>
  <c r="AL844" i="1"/>
  <c r="AK844" i="1"/>
  <c r="AJ844" i="1"/>
  <c r="AI844" i="1"/>
  <c r="AH844" i="1"/>
  <c r="AT843" i="1"/>
  <c r="AS843" i="1"/>
  <c r="AQ843" i="1"/>
  <c r="AO843" i="1"/>
  <c r="AM843" i="1"/>
  <c r="AN843" i="1" s="1"/>
  <c r="AL843" i="1"/>
  <c r="AK843" i="1"/>
  <c r="AJ843" i="1"/>
  <c r="AI843" i="1"/>
  <c r="AH843" i="1"/>
  <c r="AT842" i="1"/>
  <c r="AS842" i="1"/>
  <c r="AQ842" i="1"/>
  <c r="AO842" i="1"/>
  <c r="AM842" i="1"/>
  <c r="AN842" i="1" s="1"/>
  <c r="AL842" i="1"/>
  <c r="AK842" i="1"/>
  <c r="AJ842" i="1"/>
  <c r="AI842" i="1"/>
  <c r="AH842" i="1"/>
  <c r="AT841" i="1"/>
  <c r="AS841" i="1"/>
  <c r="AQ841" i="1"/>
  <c r="AO841" i="1"/>
  <c r="AM841" i="1"/>
  <c r="AN841" i="1" s="1"/>
  <c r="AL841" i="1"/>
  <c r="AK841" i="1"/>
  <c r="AJ841" i="1"/>
  <c r="AI841" i="1"/>
  <c r="AH841" i="1"/>
  <c r="AT840" i="1"/>
  <c r="AS840" i="1"/>
  <c r="AQ840" i="1"/>
  <c r="AO840" i="1"/>
  <c r="AM840" i="1"/>
  <c r="AN840" i="1" s="1"/>
  <c r="AL840" i="1"/>
  <c r="AK840" i="1"/>
  <c r="AJ840" i="1"/>
  <c r="AI840" i="1"/>
  <c r="AH840" i="1"/>
  <c r="AT839" i="1"/>
  <c r="AS839" i="1"/>
  <c r="AQ839" i="1"/>
  <c r="AO839" i="1"/>
  <c r="AM839" i="1"/>
  <c r="AN839" i="1" s="1"/>
  <c r="AL839" i="1"/>
  <c r="AK839" i="1"/>
  <c r="AJ839" i="1"/>
  <c r="AI839" i="1"/>
  <c r="AH839" i="1"/>
  <c r="AT838" i="1"/>
  <c r="AS838" i="1"/>
  <c r="AQ838" i="1"/>
  <c r="AO838" i="1"/>
  <c r="AN838" i="1"/>
  <c r="AM838" i="1"/>
  <c r="AL838" i="1"/>
  <c r="AK838" i="1"/>
  <c r="AJ838" i="1"/>
  <c r="AI838" i="1"/>
  <c r="AH838" i="1"/>
  <c r="AT837" i="1"/>
  <c r="AS837" i="1"/>
  <c r="AQ837" i="1"/>
  <c r="AO837" i="1"/>
  <c r="AM837" i="1"/>
  <c r="AN837" i="1" s="1"/>
  <c r="AL837" i="1"/>
  <c r="AK837" i="1"/>
  <c r="AJ837" i="1"/>
  <c r="AI837" i="1"/>
  <c r="AH837" i="1"/>
  <c r="AT836" i="1"/>
  <c r="AS836" i="1"/>
  <c r="AQ836" i="1"/>
  <c r="AO836" i="1"/>
  <c r="AM836" i="1"/>
  <c r="AN836" i="1" s="1"/>
  <c r="AL836" i="1"/>
  <c r="AK836" i="1"/>
  <c r="AJ836" i="1"/>
  <c r="AI836" i="1"/>
  <c r="AH836" i="1"/>
  <c r="AT835" i="1"/>
  <c r="AS835" i="1"/>
  <c r="AQ835" i="1"/>
  <c r="AO835" i="1"/>
  <c r="AM835" i="1"/>
  <c r="AN835" i="1" s="1"/>
  <c r="AP835" i="1" s="1"/>
  <c r="AL835" i="1"/>
  <c r="AK835" i="1"/>
  <c r="AJ835" i="1"/>
  <c r="AI835" i="1"/>
  <c r="AH835" i="1"/>
  <c r="AT834" i="1"/>
  <c r="AS834" i="1"/>
  <c r="AQ834" i="1"/>
  <c r="AO834" i="1"/>
  <c r="AM834" i="1"/>
  <c r="AN834" i="1" s="1"/>
  <c r="AL834" i="1"/>
  <c r="AK834" i="1"/>
  <c r="AJ834" i="1"/>
  <c r="AI834" i="1"/>
  <c r="AH834" i="1"/>
  <c r="AT833" i="1"/>
  <c r="AS833" i="1"/>
  <c r="AQ833" i="1"/>
  <c r="AO833" i="1"/>
  <c r="AM833" i="1"/>
  <c r="AN833" i="1" s="1"/>
  <c r="AL833" i="1"/>
  <c r="AK833" i="1"/>
  <c r="AJ833" i="1"/>
  <c r="AI833" i="1"/>
  <c r="AH833" i="1"/>
  <c r="AT832" i="1"/>
  <c r="AS832" i="1"/>
  <c r="AQ832" i="1"/>
  <c r="AO832" i="1"/>
  <c r="AM832" i="1"/>
  <c r="AN832" i="1" s="1"/>
  <c r="AL832" i="1"/>
  <c r="AK832" i="1"/>
  <c r="AJ832" i="1"/>
  <c r="AI832" i="1"/>
  <c r="AH832" i="1"/>
  <c r="AT831" i="1"/>
  <c r="AS831" i="1"/>
  <c r="AQ831" i="1"/>
  <c r="AO831" i="1"/>
  <c r="AM831" i="1"/>
  <c r="AN831" i="1" s="1"/>
  <c r="AL831" i="1"/>
  <c r="AK831" i="1"/>
  <c r="AJ831" i="1"/>
  <c r="AI831" i="1"/>
  <c r="AH831" i="1"/>
  <c r="AT830" i="1"/>
  <c r="AS830" i="1"/>
  <c r="AQ830" i="1"/>
  <c r="AO830" i="1"/>
  <c r="AM830" i="1"/>
  <c r="AN830" i="1" s="1"/>
  <c r="AL830" i="1"/>
  <c r="AK830" i="1"/>
  <c r="AJ830" i="1"/>
  <c r="AI830" i="1"/>
  <c r="AH830" i="1"/>
  <c r="AT829" i="1"/>
  <c r="AS829" i="1"/>
  <c r="AQ829" i="1"/>
  <c r="AO829" i="1"/>
  <c r="AM829" i="1"/>
  <c r="AN829" i="1" s="1"/>
  <c r="AL829" i="1"/>
  <c r="AK829" i="1"/>
  <c r="AJ829" i="1"/>
  <c r="AI829" i="1"/>
  <c r="AH829" i="1"/>
  <c r="AT828" i="1"/>
  <c r="AS828" i="1"/>
  <c r="AQ828" i="1"/>
  <c r="AO828" i="1"/>
  <c r="AM828" i="1"/>
  <c r="AN828" i="1" s="1"/>
  <c r="AL828" i="1"/>
  <c r="AK828" i="1"/>
  <c r="AJ828" i="1"/>
  <c r="AI828" i="1"/>
  <c r="AH828" i="1"/>
  <c r="AT827" i="1"/>
  <c r="AS827" i="1"/>
  <c r="AQ827" i="1"/>
  <c r="AO827" i="1"/>
  <c r="AM827" i="1"/>
  <c r="AN827" i="1" s="1"/>
  <c r="AL827" i="1"/>
  <c r="AK827" i="1"/>
  <c r="AJ827" i="1"/>
  <c r="AI827" i="1"/>
  <c r="AH827" i="1"/>
  <c r="AT826" i="1"/>
  <c r="AS826" i="1"/>
  <c r="AQ826" i="1"/>
  <c r="AO826" i="1"/>
  <c r="AM826" i="1"/>
  <c r="AN826" i="1" s="1"/>
  <c r="AL826" i="1"/>
  <c r="AK826" i="1"/>
  <c r="AJ826" i="1"/>
  <c r="AI826" i="1"/>
  <c r="AH826" i="1"/>
  <c r="AT825" i="1"/>
  <c r="AS825" i="1"/>
  <c r="AQ825" i="1"/>
  <c r="AO825" i="1"/>
  <c r="AM825" i="1"/>
  <c r="AN825" i="1" s="1"/>
  <c r="AL825" i="1"/>
  <c r="AK825" i="1"/>
  <c r="AJ825" i="1"/>
  <c r="AI825" i="1"/>
  <c r="AH825" i="1"/>
  <c r="AT824" i="1"/>
  <c r="AS824" i="1"/>
  <c r="AQ824" i="1"/>
  <c r="AO824" i="1"/>
  <c r="AM824" i="1"/>
  <c r="AN824" i="1" s="1"/>
  <c r="AL824" i="1"/>
  <c r="AK824" i="1"/>
  <c r="AJ824" i="1"/>
  <c r="AI824" i="1"/>
  <c r="AH824" i="1"/>
  <c r="AT823" i="1"/>
  <c r="AS823" i="1"/>
  <c r="AQ823" i="1"/>
  <c r="AO823" i="1"/>
  <c r="AM823" i="1"/>
  <c r="AN823" i="1" s="1"/>
  <c r="AL823" i="1"/>
  <c r="AK823" i="1"/>
  <c r="AJ823" i="1"/>
  <c r="AI823" i="1"/>
  <c r="AH823" i="1"/>
  <c r="AT822" i="1"/>
  <c r="AS822" i="1"/>
  <c r="AQ822" i="1"/>
  <c r="AO822" i="1"/>
  <c r="AM822" i="1"/>
  <c r="AN822" i="1" s="1"/>
  <c r="AL822" i="1"/>
  <c r="AK822" i="1"/>
  <c r="AJ822" i="1"/>
  <c r="AI822" i="1"/>
  <c r="AH822" i="1"/>
  <c r="AT821" i="1"/>
  <c r="AS821" i="1"/>
  <c r="AQ821" i="1"/>
  <c r="AO821" i="1"/>
  <c r="AM821" i="1"/>
  <c r="AN821" i="1" s="1"/>
  <c r="AL821" i="1"/>
  <c r="AK821" i="1"/>
  <c r="AJ821" i="1"/>
  <c r="AI821" i="1"/>
  <c r="AH821" i="1"/>
  <c r="AT820" i="1"/>
  <c r="AS820" i="1"/>
  <c r="AQ820" i="1"/>
  <c r="AO820" i="1"/>
  <c r="AM820" i="1"/>
  <c r="AN820" i="1" s="1"/>
  <c r="AL820" i="1"/>
  <c r="AK820" i="1"/>
  <c r="AJ820" i="1"/>
  <c r="AI820" i="1"/>
  <c r="AH820" i="1"/>
  <c r="AT819" i="1"/>
  <c r="AS819" i="1"/>
  <c r="AQ819" i="1"/>
  <c r="AO819" i="1"/>
  <c r="AM819" i="1"/>
  <c r="AN819" i="1" s="1"/>
  <c r="AL819" i="1"/>
  <c r="AK819" i="1"/>
  <c r="AJ819" i="1"/>
  <c r="AI819" i="1"/>
  <c r="AH819" i="1"/>
  <c r="AT818" i="1"/>
  <c r="AS818" i="1"/>
  <c r="AQ818" i="1"/>
  <c r="AO818" i="1"/>
  <c r="AM818" i="1"/>
  <c r="AN818" i="1" s="1"/>
  <c r="AL818" i="1"/>
  <c r="AK818" i="1"/>
  <c r="AJ818" i="1"/>
  <c r="AI818" i="1"/>
  <c r="AH818" i="1"/>
  <c r="AT817" i="1"/>
  <c r="AS817" i="1"/>
  <c r="AQ817" i="1"/>
  <c r="AO817" i="1"/>
  <c r="AM817" i="1"/>
  <c r="AN817" i="1" s="1"/>
  <c r="AL817" i="1"/>
  <c r="AK817" i="1"/>
  <c r="AJ817" i="1"/>
  <c r="AI817" i="1"/>
  <c r="AH817" i="1"/>
  <c r="AT816" i="1"/>
  <c r="AS816" i="1"/>
  <c r="AQ816" i="1"/>
  <c r="AO816" i="1"/>
  <c r="AM816" i="1"/>
  <c r="AN816" i="1" s="1"/>
  <c r="AL816" i="1"/>
  <c r="AK816" i="1"/>
  <c r="AJ816" i="1"/>
  <c r="AI816" i="1"/>
  <c r="AH816" i="1"/>
  <c r="AT815" i="1"/>
  <c r="AS815" i="1"/>
  <c r="AQ815" i="1"/>
  <c r="AO815" i="1"/>
  <c r="AM815" i="1"/>
  <c r="AN815" i="1" s="1"/>
  <c r="AL815" i="1"/>
  <c r="AK815" i="1"/>
  <c r="AJ815" i="1"/>
  <c r="AI815" i="1"/>
  <c r="AH815" i="1"/>
  <c r="AT814" i="1"/>
  <c r="AS814" i="1"/>
  <c r="AQ814" i="1"/>
  <c r="AO814" i="1"/>
  <c r="AM814" i="1"/>
  <c r="AN814" i="1" s="1"/>
  <c r="AL814" i="1"/>
  <c r="AK814" i="1"/>
  <c r="AJ814" i="1"/>
  <c r="AI814" i="1"/>
  <c r="AH814" i="1"/>
  <c r="AT813" i="1"/>
  <c r="AS813" i="1"/>
  <c r="AQ813" i="1"/>
  <c r="AO813" i="1"/>
  <c r="AM813" i="1"/>
  <c r="AN813" i="1" s="1"/>
  <c r="AL813" i="1"/>
  <c r="AK813" i="1"/>
  <c r="AJ813" i="1"/>
  <c r="AI813" i="1"/>
  <c r="AH813" i="1"/>
  <c r="AT812" i="1"/>
  <c r="AS812" i="1"/>
  <c r="AQ812" i="1"/>
  <c r="AO812" i="1"/>
  <c r="AM812" i="1"/>
  <c r="AN812" i="1" s="1"/>
  <c r="AL812" i="1"/>
  <c r="AK812" i="1"/>
  <c r="AJ812" i="1"/>
  <c r="AI812" i="1"/>
  <c r="AH812" i="1"/>
  <c r="AT811" i="1"/>
  <c r="AS811" i="1"/>
  <c r="AQ811" i="1"/>
  <c r="AO811" i="1"/>
  <c r="AM811" i="1"/>
  <c r="AN811" i="1" s="1"/>
  <c r="AL811" i="1"/>
  <c r="AK811" i="1"/>
  <c r="AJ811" i="1"/>
  <c r="AI811" i="1"/>
  <c r="AH811" i="1"/>
  <c r="AT810" i="1"/>
  <c r="AS810" i="1"/>
  <c r="AQ810" i="1"/>
  <c r="AO810" i="1"/>
  <c r="AM810" i="1"/>
  <c r="AN810" i="1" s="1"/>
  <c r="AL810" i="1"/>
  <c r="AK810" i="1"/>
  <c r="AJ810" i="1"/>
  <c r="AI810" i="1"/>
  <c r="AH810" i="1"/>
  <c r="AT809" i="1"/>
  <c r="AS809" i="1"/>
  <c r="AQ809" i="1"/>
  <c r="AO809" i="1"/>
  <c r="AM809" i="1"/>
  <c r="AN809" i="1" s="1"/>
  <c r="AL809" i="1"/>
  <c r="AK809" i="1"/>
  <c r="AJ809" i="1"/>
  <c r="AI809" i="1"/>
  <c r="AH809" i="1"/>
  <c r="AT808" i="1"/>
  <c r="AS808" i="1"/>
  <c r="AQ808" i="1"/>
  <c r="AO808" i="1"/>
  <c r="AM808" i="1"/>
  <c r="AN808" i="1" s="1"/>
  <c r="AL808" i="1"/>
  <c r="AK808" i="1"/>
  <c r="AJ808" i="1"/>
  <c r="AI808" i="1"/>
  <c r="AH808" i="1"/>
  <c r="AT807" i="1"/>
  <c r="AS807" i="1"/>
  <c r="AQ807" i="1"/>
  <c r="AO807" i="1"/>
  <c r="AM807" i="1"/>
  <c r="AN807" i="1" s="1"/>
  <c r="AL807" i="1"/>
  <c r="AK807" i="1"/>
  <c r="AJ807" i="1"/>
  <c r="AI807" i="1"/>
  <c r="AH807" i="1"/>
  <c r="AT806" i="1"/>
  <c r="AS806" i="1"/>
  <c r="AQ806" i="1"/>
  <c r="AO806" i="1"/>
  <c r="AM806" i="1"/>
  <c r="AN806" i="1" s="1"/>
  <c r="AL806" i="1"/>
  <c r="AK806" i="1"/>
  <c r="AJ806" i="1"/>
  <c r="AI806" i="1"/>
  <c r="AH806" i="1"/>
  <c r="AT805" i="1"/>
  <c r="AS805" i="1"/>
  <c r="AQ805" i="1"/>
  <c r="AO805" i="1"/>
  <c r="AM805" i="1"/>
  <c r="AN805" i="1" s="1"/>
  <c r="AL805" i="1"/>
  <c r="AK805" i="1"/>
  <c r="AJ805" i="1"/>
  <c r="AI805" i="1"/>
  <c r="AH805" i="1"/>
  <c r="AT804" i="1"/>
  <c r="AS804" i="1"/>
  <c r="AQ804" i="1"/>
  <c r="AO804" i="1"/>
  <c r="AM804" i="1"/>
  <c r="AN804" i="1" s="1"/>
  <c r="AL804" i="1"/>
  <c r="AK804" i="1"/>
  <c r="AJ804" i="1"/>
  <c r="AI804" i="1"/>
  <c r="AH804" i="1"/>
  <c r="AT803" i="1"/>
  <c r="AS803" i="1"/>
  <c r="AQ803" i="1"/>
  <c r="AO803" i="1"/>
  <c r="AM803" i="1"/>
  <c r="AN803" i="1" s="1"/>
  <c r="AL803" i="1"/>
  <c r="AK803" i="1"/>
  <c r="AJ803" i="1"/>
  <c r="AI803" i="1"/>
  <c r="AH803" i="1"/>
  <c r="AT802" i="1"/>
  <c r="AS802" i="1"/>
  <c r="AQ802" i="1"/>
  <c r="AO802" i="1"/>
  <c r="AM802" i="1"/>
  <c r="AN802" i="1" s="1"/>
  <c r="AL802" i="1"/>
  <c r="AK802" i="1"/>
  <c r="AJ802" i="1"/>
  <c r="AI802" i="1"/>
  <c r="AH802" i="1"/>
  <c r="AT801" i="1"/>
  <c r="AS801" i="1"/>
  <c r="AQ801" i="1"/>
  <c r="AO801" i="1"/>
  <c r="AM801" i="1"/>
  <c r="AN801" i="1" s="1"/>
  <c r="AL801" i="1"/>
  <c r="AK801" i="1"/>
  <c r="AJ801" i="1"/>
  <c r="AI801" i="1"/>
  <c r="AH801" i="1"/>
  <c r="AT800" i="1"/>
  <c r="AS800" i="1"/>
  <c r="AQ800" i="1"/>
  <c r="AO800" i="1"/>
  <c r="AM800" i="1"/>
  <c r="AN800" i="1" s="1"/>
  <c r="AL800" i="1"/>
  <c r="AK800" i="1"/>
  <c r="AJ800" i="1"/>
  <c r="AI800" i="1"/>
  <c r="AH800" i="1"/>
  <c r="AT799" i="1"/>
  <c r="AS799" i="1"/>
  <c r="AQ799" i="1"/>
  <c r="AO799" i="1"/>
  <c r="AM799" i="1"/>
  <c r="AN799" i="1" s="1"/>
  <c r="AL799" i="1"/>
  <c r="AK799" i="1"/>
  <c r="AJ799" i="1"/>
  <c r="AI799" i="1"/>
  <c r="AH799" i="1"/>
  <c r="AT798" i="1"/>
  <c r="AS798" i="1"/>
  <c r="AQ798" i="1"/>
  <c r="AO798" i="1"/>
  <c r="AM798" i="1"/>
  <c r="AN798" i="1" s="1"/>
  <c r="AL798" i="1"/>
  <c r="AK798" i="1"/>
  <c r="AJ798" i="1"/>
  <c r="AI798" i="1"/>
  <c r="AH798" i="1"/>
  <c r="AT797" i="1"/>
  <c r="AS797" i="1"/>
  <c r="AQ797" i="1"/>
  <c r="AO797" i="1"/>
  <c r="AM797" i="1"/>
  <c r="AN797" i="1" s="1"/>
  <c r="AL797" i="1"/>
  <c r="AK797" i="1"/>
  <c r="AJ797" i="1"/>
  <c r="AI797" i="1"/>
  <c r="AH797" i="1"/>
  <c r="AT796" i="1"/>
  <c r="AS796" i="1"/>
  <c r="AQ796" i="1"/>
  <c r="AO796" i="1"/>
  <c r="AM796" i="1"/>
  <c r="AN796" i="1" s="1"/>
  <c r="AL796" i="1"/>
  <c r="AK796" i="1"/>
  <c r="AJ796" i="1"/>
  <c r="AI796" i="1"/>
  <c r="AH796" i="1"/>
  <c r="AT795" i="1"/>
  <c r="AS795" i="1"/>
  <c r="AQ795" i="1"/>
  <c r="AO795" i="1"/>
  <c r="AM795" i="1"/>
  <c r="AN795" i="1" s="1"/>
  <c r="AL795" i="1"/>
  <c r="AK795" i="1"/>
  <c r="AJ795" i="1"/>
  <c r="AI795" i="1"/>
  <c r="AH795" i="1"/>
  <c r="AT794" i="1"/>
  <c r="AS794" i="1"/>
  <c r="AQ794" i="1"/>
  <c r="AO794" i="1"/>
  <c r="AM794" i="1"/>
  <c r="AN794" i="1" s="1"/>
  <c r="AL794" i="1"/>
  <c r="AK794" i="1"/>
  <c r="AJ794" i="1"/>
  <c r="AI794" i="1"/>
  <c r="AH794" i="1"/>
  <c r="AT793" i="1"/>
  <c r="AS793" i="1"/>
  <c r="AQ793" i="1"/>
  <c r="AO793" i="1"/>
  <c r="AM793" i="1"/>
  <c r="AN793" i="1" s="1"/>
  <c r="AL793" i="1"/>
  <c r="AK793" i="1"/>
  <c r="AJ793" i="1"/>
  <c r="AI793" i="1"/>
  <c r="AH793" i="1"/>
  <c r="AT792" i="1"/>
  <c r="AS792" i="1"/>
  <c r="AQ792" i="1"/>
  <c r="AO792" i="1"/>
  <c r="AM792" i="1"/>
  <c r="AN792" i="1" s="1"/>
  <c r="AL792" i="1"/>
  <c r="AK792" i="1"/>
  <c r="AJ792" i="1"/>
  <c r="AI792" i="1"/>
  <c r="AH792" i="1"/>
  <c r="AT791" i="1"/>
  <c r="AS791" i="1"/>
  <c r="AQ791" i="1"/>
  <c r="AO791" i="1"/>
  <c r="AM791" i="1"/>
  <c r="AN791" i="1" s="1"/>
  <c r="AL791" i="1"/>
  <c r="AK791" i="1"/>
  <c r="AJ791" i="1"/>
  <c r="AI791" i="1"/>
  <c r="AH791" i="1"/>
  <c r="AT790" i="1"/>
  <c r="AS790" i="1"/>
  <c r="AQ790" i="1"/>
  <c r="AO790" i="1"/>
  <c r="AM790" i="1"/>
  <c r="AN790" i="1" s="1"/>
  <c r="AL790" i="1"/>
  <c r="AK790" i="1"/>
  <c r="AJ790" i="1"/>
  <c r="AI790" i="1"/>
  <c r="AH790" i="1"/>
  <c r="AT789" i="1"/>
  <c r="AS789" i="1"/>
  <c r="AQ789" i="1"/>
  <c r="AO789" i="1"/>
  <c r="AM789" i="1"/>
  <c r="AN789" i="1" s="1"/>
  <c r="AL789" i="1"/>
  <c r="AK789" i="1"/>
  <c r="AJ789" i="1"/>
  <c r="AI789" i="1"/>
  <c r="AH789" i="1"/>
  <c r="AT788" i="1"/>
  <c r="AS788" i="1"/>
  <c r="AQ788" i="1"/>
  <c r="AO788" i="1"/>
  <c r="AM788" i="1"/>
  <c r="AN788" i="1" s="1"/>
  <c r="AL788" i="1"/>
  <c r="AK788" i="1"/>
  <c r="AJ788" i="1"/>
  <c r="AI788" i="1"/>
  <c r="AH788" i="1"/>
  <c r="AT787" i="1"/>
  <c r="AS787" i="1"/>
  <c r="AQ787" i="1"/>
  <c r="AO787" i="1"/>
  <c r="AM787" i="1"/>
  <c r="AN787" i="1" s="1"/>
  <c r="AL787" i="1"/>
  <c r="AK787" i="1"/>
  <c r="AJ787" i="1"/>
  <c r="AI787" i="1"/>
  <c r="AH787" i="1"/>
  <c r="AT786" i="1"/>
  <c r="AS786" i="1"/>
  <c r="AQ786" i="1"/>
  <c r="AO786" i="1"/>
  <c r="AM786" i="1"/>
  <c r="AN786" i="1" s="1"/>
  <c r="AL786" i="1"/>
  <c r="AK786" i="1"/>
  <c r="AJ786" i="1"/>
  <c r="AI786" i="1"/>
  <c r="AH786" i="1"/>
  <c r="AT785" i="1"/>
  <c r="AS785" i="1"/>
  <c r="AQ785" i="1"/>
  <c r="AO785" i="1"/>
  <c r="AM785" i="1"/>
  <c r="AN785" i="1" s="1"/>
  <c r="AL785" i="1"/>
  <c r="AK785" i="1"/>
  <c r="AJ785" i="1"/>
  <c r="AI785" i="1"/>
  <c r="AH785" i="1"/>
  <c r="AT784" i="1"/>
  <c r="AS784" i="1"/>
  <c r="AQ784" i="1"/>
  <c r="AO784" i="1"/>
  <c r="AM784" i="1"/>
  <c r="AN784" i="1" s="1"/>
  <c r="AL784" i="1"/>
  <c r="AK784" i="1"/>
  <c r="AJ784" i="1"/>
  <c r="AI784" i="1"/>
  <c r="AH784" i="1"/>
  <c r="AT783" i="1"/>
  <c r="AS783" i="1"/>
  <c r="AQ783" i="1"/>
  <c r="AO783" i="1"/>
  <c r="AM783" i="1"/>
  <c r="AN783" i="1" s="1"/>
  <c r="AL783" i="1"/>
  <c r="AK783" i="1"/>
  <c r="AJ783" i="1"/>
  <c r="AI783" i="1"/>
  <c r="AH783" i="1"/>
  <c r="AT782" i="1"/>
  <c r="AS782" i="1"/>
  <c r="AQ782" i="1"/>
  <c r="AO782" i="1"/>
  <c r="AM782" i="1"/>
  <c r="AN782" i="1" s="1"/>
  <c r="AL782" i="1"/>
  <c r="AK782" i="1"/>
  <c r="AJ782" i="1"/>
  <c r="AI782" i="1"/>
  <c r="AH782" i="1"/>
  <c r="AT781" i="1"/>
  <c r="AS781" i="1"/>
  <c r="AQ781" i="1"/>
  <c r="AO781" i="1"/>
  <c r="AM781" i="1"/>
  <c r="AN781" i="1" s="1"/>
  <c r="AL781" i="1"/>
  <c r="AK781" i="1"/>
  <c r="AJ781" i="1"/>
  <c r="AI781" i="1"/>
  <c r="AH781" i="1"/>
  <c r="AT780" i="1"/>
  <c r="AS780" i="1"/>
  <c r="AQ780" i="1"/>
  <c r="AO780" i="1"/>
  <c r="AM780" i="1"/>
  <c r="AN780" i="1" s="1"/>
  <c r="AL780" i="1"/>
  <c r="AK780" i="1"/>
  <c r="AJ780" i="1"/>
  <c r="AI780" i="1"/>
  <c r="AH780" i="1"/>
  <c r="AT779" i="1"/>
  <c r="AS779" i="1"/>
  <c r="AQ779" i="1"/>
  <c r="AO779" i="1"/>
  <c r="AM779" i="1"/>
  <c r="AN779" i="1" s="1"/>
  <c r="AL779" i="1"/>
  <c r="AK779" i="1"/>
  <c r="AJ779" i="1"/>
  <c r="AI779" i="1"/>
  <c r="AH779" i="1"/>
  <c r="AT778" i="1"/>
  <c r="AS778" i="1"/>
  <c r="AQ778" i="1"/>
  <c r="AO778" i="1"/>
  <c r="AM778" i="1"/>
  <c r="AN778" i="1" s="1"/>
  <c r="AL778" i="1"/>
  <c r="AK778" i="1"/>
  <c r="AJ778" i="1"/>
  <c r="AI778" i="1"/>
  <c r="AH778" i="1"/>
  <c r="AT777" i="1"/>
  <c r="AS777" i="1"/>
  <c r="AQ777" i="1"/>
  <c r="AO777" i="1"/>
  <c r="AM777" i="1"/>
  <c r="AN777" i="1" s="1"/>
  <c r="AL777" i="1"/>
  <c r="AK777" i="1"/>
  <c r="AJ777" i="1"/>
  <c r="AI777" i="1"/>
  <c r="AH777" i="1"/>
  <c r="AT776" i="1"/>
  <c r="AS776" i="1"/>
  <c r="AQ776" i="1"/>
  <c r="AO776" i="1"/>
  <c r="AM776" i="1"/>
  <c r="AN776" i="1" s="1"/>
  <c r="AL776" i="1"/>
  <c r="AK776" i="1"/>
  <c r="AJ776" i="1"/>
  <c r="AI776" i="1"/>
  <c r="AH776" i="1"/>
  <c r="AT775" i="1"/>
  <c r="AS775" i="1"/>
  <c r="AQ775" i="1"/>
  <c r="AO775" i="1"/>
  <c r="AM775" i="1"/>
  <c r="AN775" i="1" s="1"/>
  <c r="AL775" i="1"/>
  <c r="AK775" i="1"/>
  <c r="AJ775" i="1"/>
  <c r="AI775" i="1"/>
  <c r="AH775" i="1"/>
  <c r="AT774" i="1"/>
  <c r="AS774" i="1"/>
  <c r="AQ774" i="1"/>
  <c r="AO774" i="1"/>
  <c r="AM774" i="1"/>
  <c r="AN774" i="1" s="1"/>
  <c r="AL774" i="1"/>
  <c r="AK774" i="1"/>
  <c r="AJ774" i="1"/>
  <c r="AI774" i="1"/>
  <c r="AH774" i="1"/>
  <c r="AT773" i="1"/>
  <c r="AS773" i="1"/>
  <c r="AQ773" i="1"/>
  <c r="AO773" i="1"/>
  <c r="AM773" i="1"/>
  <c r="AN773" i="1" s="1"/>
  <c r="AL773" i="1"/>
  <c r="AK773" i="1"/>
  <c r="AJ773" i="1"/>
  <c r="AI773" i="1"/>
  <c r="AH773" i="1"/>
  <c r="AT772" i="1"/>
  <c r="AS772" i="1"/>
  <c r="AQ772" i="1"/>
  <c r="AO772" i="1"/>
  <c r="AM772" i="1"/>
  <c r="AN772" i="1" s="1"/>
  <c r="AL772" i="1"/>
  <c r="AK772" i="1"/>
  <c r="AJ772" i="1"/>
  <c r="AI772" i="1"/>
  <c r="AH772" i="1"/>
  <c r="AT771" i="1"/>
  <c r="AS771" i="1"/>
  <c r="AQ771" i="1"/>
  <c r="AO771" i="1"/>
  <c r="AM771" i="1"/>
  <c r="AN771" i="1" s="1"/>
  <c r="AL771" i="1"/>
  <c r="AK771" i="1"/>
  <c r="AJ771" i="1"/>
  <c r="AI771" i="1"/>
  <c r="AH771" i="1"/>
  <c r="AT770" i="1"/>
  <c r="AS770" i="1"/>
  <c r="AQ770" i="1"/>
  <c r="AO770" i="1"/>
  <c r="AM770" i="1"/>
  <c r="AN770" i="1" s="1"/>
  <c r="AL770" i="1"/>
  <c r="AK770" i="1"/>
  <c r="AJ770" i="1"/>
  <c r="AI770" i="1"/>
  <c r="AH770" i="1"/>
  <c r="AT769" i="1"/>
  <c r="AS769" i="1"/>
  <c r="AQ769" i="1"/>
  <c r="AO769" i="1"/>
  <c r="AM769" i="1"/>
  <c r="AN769" i="1" s="1"/>
  <c r="AL769" i="1"/>
  <c r="AK769" i="1"/>
  <c r="AJ769" i="1"/>
  <c r="AI769" i="1"/>
  <c r="AH769" i="1"/>
  <c r="AT768" i="1"/>
  <c r="AS768" i="1"/>
  <c r="AQ768" i="1"/>
  <c r="AO768" i="1"/>
  <c r="AM768" i="1"/>
  <c r="AN768" i="1" s="1"/>
  <c r="AL768" i="1"/>
  <c r="AK768" i="1"/>
  <c r="AJ768" i="1"/>
  <c r="AI768" i="1"/>
  <c r="AH768" i="1"/>
  <c r="AT767" i="1"/>
  <c r="AS767" i="1"/>
  <c r="AQ767" i="1"/>
  <c r="AO767" i="1"/>
  <c r="AM767" i="1"/>
  <c r="AN767" i="1" s="1"/>
  <c r="AL767" i="1"/>
  <c r="AK767" i="1"/>
  <c r="AJ767" i="1"/>
  <c r="AI767" i="1"/>
  <c r="AH767" i="1"/>
  <c r="AT766" i="1"/>
  <c r="AS766" i="1"/>
  <c r="AQ766" i="1"/>
  <c r="AO766" i="1"/>
  <c r="AM766" i="1"/>
  <c r="AN766" i="1" s="1"/>
  <c r="AL766" i="1"/>
  <c r="AK766" i="1"/>
  <c r="AJ766" i="1"/>
  <c r="AI766" i="1"/>
  <c r="AH766" i="1"/>
  <c r="AT765" i="1"/>
  <c r="AS765" i="1"/>
  <c r="AQ765" i="1"/>
  <c r="AO765" i="1"/>
  <c r="AM765" i="1"/>
  <c r="AN765" i="1" s="1"/>
  <c r="AL765" i="1"/>
  <c r="AK765" i="1"/>
  <c r="AJ765" i="1"/>
  <c r="AI765" i="1"/>
  <c r="AH765" i="1"/>
  <c r="AT764" i="1"/>
  <c r="AS764" i="1"/>
  <c r="AQ764" i="1"/>
  <c r="AO764" i="1"/>
  <c r="AM764" i="1"/>
  <c r="AN764" i="1" s="1"/>
  <c r="AL764" i="1"/>
  <c r="AK764" i="1"/>
  <c r="AJ764" i="1"/>
  <c r="AI764" i="1"/>
  <c r="AH764" i="1"/>
  <c r="AT763" i="1"/>
  <c r="AS763" i="1"/>
  <c r="AQ763" i="1"/>
  <c r="AO763" i="1"/>
  <c r="AM763" i="1"/>
  <c r="AN763" i="1" s="1"/>
  <c r="AL763" i="1"/>
  <c r="AK763" i="1"/>
  <c r="AJ763" i="1"/>
  <c r="AI763" i="1"/>
  <c r="AH763" i="1"/>
  <c r="AT762" i="1"/>
  <c r="AS762" i="1"/>
  <c r="AQ762" i="1"/>
  <c r="AO762" i="1"/>
  <c r="AM762" i="1"/>
  <c r="AN762" i="1" s="1"/>
  <c r="AL762" i="1"/>
  <c r="AK762" i="1"/>
  <c r="AJ762" i="1"/>
  <c r="AI762" i="1"/>
  <c r="AH762" i="1"/>
  <c r="AT761" i="1"/>
  <c r="AS761" i="1"/>
  <c r="AQ761" i="1"/>
  <c r="AO761" i="1"/>
  <c r="AM761" i="1"/>
  <c r="AN761" i="1" s="1"/>
  <c r="AL761" i="1"/>
  <c r="AK761" i="1"/>
  <c r="AJ761" i="1"/>
  <c r="AI761" i="1"/>
  <c r="AH761" i="1"/>
  <c r="AT760" i="1"/>
  <c r="AS760" i="1"/>
  <c r="AQ760" i="1"/>
  <c r="AO760" i="1"/>
  <c r="AM760" i="1"/>
  <c r="AN760" i="1" s="1"/>
  <c r="AL760" i="1"/>
  <c r="AK760" i="1"/>
  <c r="AJ760" i="1"/>
  <c r="AI760" i="1"/>
  <c r="AH760" i="1"/>
  <c r="AT759" i="1"/>
  <c r="AS759" i="1"/>
  <c r="AQ759" i="1"/>
  <c r="AO759" i="1"/>
  <c r="AM759" i="1"/>
  <c r="AN759" i="1" s="1"/>
  <c r="AL759" i="1"/>
  <c r="AK759" i="1"/>
  <c r="AJ759" i="1"/>
  <c r="AI759" i="1"/>
  <c r="AH759" i="1"/>
  <c r="AT758" i="1"/>
  <c r="AS758" i="1"/>
  <c r="AQ758" i="1"/>
  <c r="AO758" i="1"/>
  <c r="AM758" i="1"/>
  <c r="AN758" i="1" s="1"/>
  <c r="AL758" i="1"/>
  <c r="AK758" i="1"/>
  <c r="AJ758" i="1"/>
  <c r="AI758" i="1"/>
  <c r="AH758" i="1"/>
  <c r="AT757" i="1"/>
  <c r="AS757" i="1"/>
  <c r="AQ757" i="1"/>
  <c r="AO757" i="1"/>
  <c r="AM757" i="1"/>
  <c r="AN757" i="1" s="1"/>
  <c r="AL757" i="1"/>
  <c r="AK757" i="1"/>
  <c r="AJ757" i="1"/>
  <c r="AI757" i="1"/>
  <c r="AH757" i="1"/>
  <c r="AT756" i="1"/>
  <c r="AS756" i="1"/>
  <c r="AQ756" i="1"/>
  <c r="AO756" i="1"/>
  <c r="AM756" i="1"/>
  <c r="AN756" i="1" s="1"/>
  <c r="AL756" i="1"/>
  <c r="AK756" i="1"/>
  <c r="AJ756" i="1"/>
  <c r="AI756" i="1"/>
  <c r="AH756" i="1"/>
  <c r="AT755" i="1"/>
  <c r="AS755" i="1"/>
  <c r="AQ755" i="1"/>
  <c r="AO755" i="1"/>
  <c r="AM755" i="1"/>
  <c r="AN755" i="1" s="1"/>
  <c r="AL755" i="1"/>
  <c r="AK755" i="1"/>
  <c r="AJ755" i="1"/>
  <c r="AI755" i="1"/>
  <c r="AH755" i="1"/>
  <c r="AT754" i="1"/>
  <c r="AS754" i="1"/>
  <c r="AQ754" i="1"/>
  <c r="AO754" i="1"/>
  <c r="AM754" i="1"/>
  <c r="AN754" i="1" s="1"/>
  <c r="AL754" i="1"/>
  <c r="AK754" i="1"/>
  <c r="AJ754" i="1"/>
  <c r="AI754" i="1"/>
  <c r="AH754" i="1"/>
  <c r="AT753" i="1"/>
  <c r="AS753" i="1"/>
  <c r="AQ753" i="1"/>
  <c r="AO753" i="1"/>
  <c r="AM753" i="1"/>
  <c r="AN753" i="1" s="1"/>
  <c r="AL753" i="1"/>
  <c r="AK753" i="1"/>
  <c r="AJ753" i="1"/>
  <c r="AI753" i="1"/>
  <c r="AH753" i="1"/>
  <c r="AT752" i="1"/>
  <c r="AS752" i="1"/>
  <c r="AQ752" i="1"/>
  <c r="AO752" i="1"/>
  <c r="AM752" i="1"/>
  <c r="AN752" i="1" s="1"/>
  <c r="AL752" i="1"/>
  <c r="AK752" i="1"/>
  <c r="AJ752" i="1"/>
  <c r="AI752" i="1"/>
  <c r="AH752" i="1"/>
  <c r="AT751" i="1"/>
  <c r="AS751" i="1"/>
  <c r="AQ751" i="1"/>
  <c r="AO751" i="1"/>
  <c r="AM751" i="1"/>
  <c r="AN751" i="1" s="1"/>
  <c r="AL751" i="1"/>
  <c r="AK751" i="1"/>
  <c r="AJ751" i="1"/>
  <c r="AI751" i="1"/>
  <c r="AH751" i="1"/>
  <c r="AT750" i="1"/>
  <c r="AS750" i="1"/>
  <c r="AQ750" i="1"/>
  <c r="AO750" i="1"/>
  <c r="AM750" i="1"/>
  <c r="AN750" i="1" s="1"/>
  <c r="AL750" i="1"/>
  <c r="AK750" i="1"/>
  <c r="AJ750" i="1"/>
  <c r="AI750" i="1"/>
  <c r="AH750" i="1"/>
  <c r="AT749" i="1"/>
  <c r="AS749" i="1"/>
  <c r="AQ749" i="1"/>
  <c r="AO749" i="1"/>
  <c r="AM749" i="1"/>
  <c r="AN749" i="1" s="1"/>
  <c r="AL749" i="1"/>
  <c r="AK749" i="1"/>
  <c r="AJ749" i="1"/>
  <c r="AI749" i="1"/>
  <c r="AH749" i="1"/>
  <c r="AT748" i="1"/>
  <c r="AS748" i="1"/>
  <c r="AQ748" i="1"/>
  <c r="AO748" i="1"/>
  <c r="AM748" i="1"/>
  <c r="AN748" i="1" s="1"/>
  <c r="AL748" i="1"/>
  <c r="AK748" i="1"/>
  <c r="AJ748" i="1"/>
  <c r="AI748" i="1"/>
  <c r="AH748" i="1"/>
  <c r="AT747" i="1"/>
  <c r="AS747" i="1"/>
  <c r="AQ747" i="1"/>
  <c r="AO747" i="1"/>
  <c r="AM747" i="1"/>
  <c r="AN747" i="1" s="1"/>
  <c r="AL747" i="1"/>
  <c r="AK747" i="1"/>
  <c r="AJ747" i="1"/>
  <c r="AI747" i="1"/>
  <c r="AH747" i="1"/>
  <c r="AT746" i="1"/>
  <c r="AS746" i="1"/>
  <c r="AQ746" i="1"/>
  <c r="AO746" i="1"/>
  <c r="AM746" i="1"/>
  <c r="AN746" i="1" s="1"/>
  <c r="AL746" i="1"/>
  <c r="AK746" i="1"/>
  <c r="AJ746" i="1"/>
  <c r="AI746" i="1"/>
  <c r="AH746" i="1"/>
  <c r="AT745" i="1"/>
  <c r="AS745" i="1"/>
  <c r="AQ745" i="1"/>
  <c r="AO745" i="1"/>
  <c r="AM745" i="1"/>
  <c r="AN745" i="1" s="1"/>
  <c r="AL745" i="1"/>
  <c r="AK745" i="1"/>
  <c r="AJ745" i="1"/>
  <c r="AI745" i="1"/>
  <c r="AH745" i="1"/>
  <c r="AT744" i="1"/>
  <c r="AS744" i="1"/>
  <c r="AQ744" i="1"/>
  <c r="AO744" i="1"/>
  <c r="AM744" i="1"/>
  <c r="AN744" i="1" s="1"/>
  <c r="AL744" i="1"/>
  <c r="AK744" i="1"/>
  <c r="AJ744" i="1"/>
  <c r="AI744" i="1"/>
  <c r="AH744" i="1"/>
  <c r="AT743" i="1"/>
  <c r="AS743" i="1"/>
  <c r="AQ743" i="1"/>
  <c r="AO743" i="1"/>
  <c r="AM743" i="1"/>
  <c r="AN743" i="1" s="1"/>
  <c r="AL743" i="1"/>
  <c r="AK743" i="1"/>
  <c r="AJ743" i="1"/>
  <c r="AI743" i="1"/>
  <c r="AH743" i="1"/>
  <c r="AT742" i="1"/>
  <c r="AS742" i="1"/>
  <c r="AQ742" i="1"/>
  <c r="AO742" i="1"/>
  <c r="AM742" i="1"/>
  <c r="AN742" i="1" s="1"/>
  <c r="AL742" i="1"/>
  <c r="AK742" i="1"/>
  <c r="AJ742" i="1"/>
  <c r="AI742" i="1"/>
  <c r="AH742" i="1"/>
  <c r="AT741" i="1"/>
  <c r="AS741" i="1"/>
  <c r="AQ741" i="1"/>
  <c r="AO741" i="1"/>
  <c r="AM741" i="1"/>
  <c r="AN741" i="1" s="1"/>
  <c r="AL741" i="1"/>
  <c r="AK741" i="1"/>
  <c r="AJ741" i="1"/>
  <c r="AI741" i="1"/>
  <c r="AH741" i="1"/>
  <c r="AT740" i="1"/>
  <c r="AS740" i="1"/>
  <c r="AQ740" i="1"/>
  <c r="AO740" i="1"/>
  <c r="AM740" i="1"/>
  <c r="AN740" i="1" s="1"/>
  <c r="AL740" i="1"/>
  <c r="AK740" i="1"/>
  <c r="AJ740" i="1"/>
  <c r="AI740" i="1"/>
  <c r="AH740" i="1"/>
  <c r="AT739" i="1"/>
  <c r="AS739" i="1"/>
  <c r="AQ739" i="1"/>
  <c r="AO739" i="1"/>
  <c r="AM739" i="1"/>
  <c r="AN739" i="1" s="1"/>
  <c r="AL739" i="1"/>
  <c r="AK739" i="1"/>
  <c r="AJ739" i="1"/>
  <c r="AI739" i="1"/>
  <c r="AH739" i="1"/>
  <c r="AT738" i="1"/>
  <c r="AS738" i="1"/>
  <c r="AQ738" i="1"/>
  <c r="AO738" i="1"/>
  <c r="AM738" i="1"/>
  <c r="AN738" i="1" s="1"/>
  <c r="AL738" i="1"/>
  <c r="AK738" i="1"/>
  <c r="AJ738" i="1"/>
  <c r="AI738" i="1"/>
  <c r="AH738" i="1"/>
  <c r="AT737" i="1"/>
  <c r="AS737" i="1"/>
  <c r="AQ737" i="1"/>
  <c r="AO737" i="1"/>
  <c r="AM737" i="1"/>
  <c r="AN737" i="1" s="1"/>
  <c r="AL737" i="1"/>
  <c r="AK737" i="1"/>
  <c r="AJ737" i="1"/>
  <c r="AI737" i="1"/>
  <c r="AH737" i="1"/>
  <c r="AT736" i="1"/>
  <c r="AS736" i="1"/>
  <c r="AQ736" i="1"/>
  <c r="AO736" i="1"/>
  <c r="AM736" i="1"/>
  <c r="AN736" i="1" s="1"/>
  <c r="AL736" i="1"/>
  <c r="AK736" i="1"/>
  <c r="AJ736" i="1"/>
  <c r="AI736" i="1"/>
  <c r="AH736" i="1"/>
  <c r="AT735" i="1"/>
  <c r="AS735" i="1"/>
  <c r="AQ735" i="1"/>
  <c r="AO735" i="1"/>
  <c r="AM735" i="1"/>
  <c r="AN735" i="1" s="1"/>
  <c r="AL735" i="1"/>
  <c r="AK735" i="1"/>
  <c r="AJ735" i="1"/>
  <c r="AI735" i="1"/>
  <c r="AH735" i="1"/>
  <c r="AT734" i="1"/>
  <c r="AS734" i="1"/>
  <c r="AQ734" i="1"/>
  <c r="AO734" i="1"/>
  <c r="AM734" i="1"/>
  <c r="AN734" i="1" s="1"/>
  <c r="AL734" i="1"/>
  <c r="AK734" i="1"/>
  <c r="AJ734" i="1"/>
  <c r="AI734" i="1"/>
  <c r="AH734" i="1"/>
  <c r="AT733" i="1"/>
  <c r="AS733" i="1"/>
  <c r="AQ733" i="1"/>
  <c r="AO733" i="1"/>
  <c r="AM733" i="1"/>
  <c r="AN733" i="1" s="1"/>
  <c r="AL733" i="1"/>
  <c r="AK733" i="1"/>
  <c r="AJ733" i="1"/>
  <c r="AI733" i="1"/>
  <c r="AH733" i="1"/>
  <c r="AT732" i="1"/>
  <c r="AS732" i="1"/>
  <c r="AQ732" i="1"/>
  <c r="AO732" i="1"/>
  <c r="AM732" i="1"/>
  <c r="AN732" i="1" s="1"/>
  <c r="AL732" i="1"/>
  <c r="AK732" i="1"/>
  <c r="AJ732" i="1"/>
  <c r="AI732" i="1"/>
  <c r="AH732" i="1"/>
  <c r="AT731" i="1"/>
  <c r="AS731" i="1"/>
  <c r="AQ731" i="1"/>
  <c r="AO731" i="1"/>
  <c r="AM731" i="1"/>
  <c r="AN731" i="1" s="1"/>
  <c r="AL731" i="1"/>
  <c r="AK731" i="1"/>
  <c r="AJ731" i="1"/>
  <c r="AI731" i="1"/>
  <c r="AH731" i="1"/>
  <c r="AT730" i="1"/>
  <c r="AS730" i="1"/>
  <c r="AQ730" i="1"/>
  <c r="AO730" i="1"/>
  <c r="AN730" i="1"/>
  <c r="AM730" i="1"/>
  <c r="AL730" i="1"/>
  <c r="AK730" i="1"/>
  <c r="AJ730" i="1"/>
  <c r="AI730" i="1"/>
  <c r="AH730" i="1"/>
  <c r="AT729" i="1"/>
  <c r="AS729" i="1"/>
  <c r="AQ729" i="1"/>
  <c r="AO729" i="1"/>
  <c r="AM729" i="1"/>
  <c r="AN729" i="1" s="1"/>
  <c r="AL729" i="1"/>
  <c r="AK729" i="1"/>
  <c r="AJ729" i="1"/>
  <c r="AI729" i="1"/>
  <c r="AH729" i="1"/>
  <c r="AT728" i="1"/>
  <c r="AS728" i="1"/>
  <c r="AQ728" i="1"/>
  <c r="AO728" i="1"/>
  <c r="AM728" i="1"/>
  <c r="AN728" i="1" s="1"/>
  <c r="AL728" i="1"/>
  <c r="AK728" i="1"/>
  <c r="AJ728" i="1"/>
  <c r="AI728" i="1"/>
  <c r="AH728" i="1"/>
  <c r="AT727" i="1"/>
  <c r="AS727" i="1"/>
  <c r="AQ727" i="1"/>
  <c r="AO727" i="1"/>
  <c r="AM727" i="1"/>
  <c r="AN727" i="1" s="1"/>
  <c r="AL727" i="1"/>
  <c r="AK727" i="1"/>
  <c r="AJ727" i="1"/>
  <c r="AI727" i="1"/>
  <c r="AH727" i="1"/>
  <c r="AT726" i="1"/>
  <c r="AS726" i="1"/>
  <c r="AQ726" i="1"/>
  <c r="AO726" i="1"/>
  <c r="AM726" i="1"/>
  <c r="AN726" i="1" s="1"/>
  <c r="AL726" i="1"/>
  <c r="AK726" i="1"/>
  <c r="AJ726" i="1"/>
  <c r="AI726" i="1"/>
  <c r="AH726" i="1"/>
  <c r="AT725" i="1"/>
  <c r="AS725" i="1"/>
  <c r="AQ725" i="1"/>
  <c r="AO725" i="1"/>
  <c r="AM725" i="1"/>
  <c r="AN725" i="1" s="1"/>
  <c r="AL725" i="1"/>
  <c r="AK725" i="1"/>
  <c r="AJ725" i="1"/>
  <c r="AI725" i="1"/>
  <c r="AH725" i="1"/>
  <c r="AT724" i="1"/>
  <c r="AS724" i="1"/>
  <c r="AQ724" i="1"/>
  <c r="AO724" i="1"/>
  <c r="AM724" i="1"/>
  <c r="AN724" i="1" s="1"/>
  <c r="AL724" i="1"/>
  <c r="AK724" i="1"/>
  <c r="AJ724" i="1"/>
  <c r="AI724" i="1"/>
  <c r="AH724" i="1"/>
  <c r="AT723" i="1"/>
  <c r="AS723" i="1"/>
  <c r="AQ723" i="1"/>
  <c r="AO723" i="1"/>
  <c r="AM723" i="1"/>
  <c r="AN723" i="1" s="1"/>
  <c r="AL723" i="1"/>
  <c r="AK723" i="1"/>
  <c r="AJ723" i="1"/>
  <c r="AI723" i="1"/>
  <c r="AH723" i="1"/>
  <c r="AT722" i="1"/>
  <c r="AS722" i="1"/>
  <c r="AQ722" i="1"/>
  <c r="AO722" i="1"/>
  <c r="AM722" i="1"/>
  <c r="AN722" i="1" s="1"/>
  <c r="AL722" i="1"/>
  <c r="AK722" i="1"/>
  <c r="AJ722" i="1"/>
  <c r="AI722" i="1"/>
  <c r="AH722" i="1"/>
  <c r="AT721" i="1"/>
  <c r="AS721" i="1"/>
  <c r="AQ721" i="1"/>
  <c r="AO721" i="1"/>
  <c r="AM721" i="1"/>
  <c r="AN721" i="1" s="1"/>
  <c r="AL721" i="1"/>
  <c r="AK721" i="1"/>
  <c r="AJ721" i="1"/>
  <c r="AI721" i="1"/>
  <c r="AH721" i="1"/>
  <c r="AT720" i="1"/>
  <c r="AS720" i="1"/>
  <c r="AQ720" i="1"/>
  <c r="AO720" i="1"/>
  <c r="AM720" i="1"/>
  <c r="AN720" i="1" s="1"/>
  <c r="AL720" i="1"/>
  <c r="AK720" i="1"/>
  <c r="AJ720" i="1"/>
  <c r="AI720" i="1"/>
  <c r="AH720" i="1"/>
  <c r="AT719" i="1"/>
  <c r="AS719" i="1"/>
  <c r="AQ719" i="1"/>
  <c r="AO719" i="1"/>
  <c r="AM719" i="1"/>
  <c r="AN719" i="1" s="1"/>
  <c r="AL719" i="1"/>
  <c r="AK719" i="1"/>
  <c r="AJ719" i="1"/>
  <c r="AI719" i="1"/>
  <c r="AH719" i="1"/>
  <c r="AT718" i="1"/>
  <c r="AS718" i="1"/>
  <c r="AQ718" i="1"/>
  <c r="AO718" i="1"/>
  <c r="AM718" i="1"/>
  <c r="AN718" i="1" s="1"/>
  <c r="AL718" i="1"/>
  <c r="AK718" i="1"/>
  <c r="AJ718" i="1"/>
  <c r="AI718" i="1"/>
  <c r="AH718" i="1"/>
  <c r="AT717" i="1"/>
  <c r="AS717" i="1"/>
  <c r="AQ717" i="1"/>
  <c r="AO717" i="1"/>
  <c r="AM717" i="1"/>
  <c r="AN717" i="1" s="1"/>
  <c r="AL717" i="1"/>
  <c r="AK717" i="1"/>
  <c r="AJ717" i="1"/>
  <c r="AI717" i="1"/>
  <c r="AH717" i="1"/>
  <c r="AT716" i="1"/>
  <c r="AS716" i="1"/>
  <c r="AQ716" i="1"/>
  <c r="AO716" i="1"/>
  <c r="AM716" i="1"/>
  <c r="AN716" i="1" s="1"/>
  <c r="AL716" i="1"/>
  <c r="AK716" i="1"/>
  <c r="AJ716" i="1"/>
  <c r="AI716" i="1"/>
  <c r="AH716" i="1"/>
  <c r="AT715" i="1"/>
  <c r="AS715" i="1"/>
  <c r="AQ715" i="1"/>
  <c r="AO715" i="1"/>
  <c r="AM715" i="1"/>
  <c r="AN715" i="1" s="1"/>
  <c r="AL715" i="1"/>
  <c r="AK715" i="1"/>
  <c r="AJ715" i="1"/>
  <c r="AI715" i="1"/>
  <c r="AH715" i="1"/>
  <c r="AT714" i="1"/>
  <c r="AS714" i="1"/>
  <c r="AQ714" i="1"/>
  <c r="AO714" i="1"/>
  <c r="AM714" i="1"/>
  <c r="AN714" i="1" s="1"/>
  <c r="AL714" i="1"/>
  <c r="AK714" i="1"/>
  <c r="AJ714" i="1"/>
  <c r="AI714" i="1"/>
  <c r="AH714" i="1"/>
  <c r="AT713" i="1"/>
  <c r="AS713" i="1"/>
  <c r="AQ713" i="1"/>
  <c r="AO713" i="1"/>
  <c r="AM713" i="1"/>
  <c r="AN713" i="1" s="1"/>
  <c r="AL713" i="1"/>
  <c r="AK713" i="1"/>
  <c r="AJ713" i="1"/>
  <c r="AI713" i="1"/>
  <c r="AH713" i="1"/>
  <c r="AT712" i="1"/>
  <c r="AS712" i="1"/>
  <c r="AQ712" i="1"/>
  <c r="AO712" i="1"/>
  <c r="AM712" i="1"/>
  <c r="AN712" i="1" s="1"/>
  <c r="AL712" i="1"/>
  <c r="AK712" i="1"/>
  <c r="AJ712" i="1"/>
  <c r="AI712" i="1"/>
  <c r="AH712" i="1"/>
  <c r="AT711" i="1"/>
  <c r="AS711" i="1"/>
  <c r="AQ711" i="1"/>
  <c r="AO711" i="1"/>
  <c r="AM711" i="1"/>
  <c r="AN711" i="1" s="1"/>
  <c r="AL711" i="1"/>
  <c r="AK711" i="1"/>
  <c r="AJ711" i="1"/>
  <c r="AI711" i="1"/>
  <c r="AH711" i="1"/>
  <c r="AT710" i="1"/>
  <c r="AS710" i="1"/>
  <c r="AQ710" i="1"/>
  <c r="AO710" i="1"/>
  <c r="AM710" i="1"/>
  <c r="AN710" i="1" s="1"/>
  <c r="AL710" i="1"/>
  <c r="AK710" i="1"/>
  <c r="AJ710" i="1"/>
  <c r="AI710" i="1"/>
  <c r="AH710" i="1"/>
  <c r="AT709" i="1"/>
  <c r="AS709" i="1"/>
  <c r="AQ709" i="1"/>
  <c r="AO709" i="1"/>
  <c r="AM709" i="1"/>
  <c r="AN709" i="1" s="1"/>
  <c r="AL709" i="1"/>
  <c r="AK709" i="1"/>
  <c r="AJ709" i="1"/>
  <c r="AI709" i="1"/>
  <c r="AH709" i="1"/>
  <c r="AT708" i="1"/>
  <c r="AS708" i="1"/>
  <c r="AQ708" i="1"/>
  <c r="AO708" i="1"/>
  <c r="AM708" i="1"/>
  <c r="AN708" i="1" s="1"/>
  <c r="AL708" i="1"/>
  <c r="AK708" i="1"/>
  <c r="AJ708" i="1"/>
  <c r="AI708" i="1"/>
  <c r="AH708" i="1"/>
  <c r="AT707" i="1"/>
  <c r="AS707" i="1"/>
  <c r="AQ707" i="1"/>
  <c r="AO707" i="1"/>
  <c r="AM707" i="1"/>
  <c r="AN707" i="1" s="1"/>
  <c r="AL707" i="1"/>
  <c r="AK707" i="1"/>
  <c r="AJ707" i="1"/>
  <c r="AI707" i="1"/>
  <c r="AH707" i="1"/>
  <c r="AT706" i="1"/>
  <c r="AS706" i="1"/>
  <c r="AQ706" i="1"/>
  <c r="AO706" i="1"/>
  <c r="AM706" i="1"/>
  <c r="AN706" i="1" s="1"/>
  <c r="AL706" i="1"/>
  <c r="AK706" i="1"/>
  <c r="AJ706" i="1"/>
  <c r="AI706" i="1"/>
  <c r="AH706" i="1"/>
  <c r="AT705" i="1"/>
  <c r="AS705" i="1"/>
  <c r="AQ705" i="1"/>
  <c r="AO705" i="1"/>
  <c r="AM705" i="1"/>
  <c r="AN705" i="1" s="1"/>
  <c r="AL705" i="1"/>
  <c r="AK705" i="1"/>
  <c r="AJ705" i="1"/>
  <c r="AI705" i="1"/>
  <c r="AH705" i="1"/>
  <c r="AT704" i="1"/>
  <c r="AS704" i="1"/>
  <c r="AQ704" i="1"/>
  <c r="AO704" i="1"/>
  <c r="AM704" i="1"/>
  <c r="AN704" i="1" s="1"/>
  <c r="AL704" i="1"/>
  <c r="AK704" i="1"/>
  <c r="AJ704" i="1"/>
  <c r="AI704" i="1"/>
  <c r="AH704" i="1"/>
  <c r="AT703" i="1"/>
  <c r="AS703" i="1"/>
  <c r="AQ703" i="1"/>
  <c r="AO703" i="1"/>
  <c r="AM703" i="1"/>
  <c r="AN703" i="1" s="1"/>
  <c r="AL703" i="1"/>
  <c r="AK703" i="1"/>
  <c r="AJ703" i="1"/>
  <c r="AI703" i="1"/>
  <c r="AH703" i="1"/>
  <c r="AT702" i="1"/>
  <c r="AS702" i="1"/>
  <c r="AQ702" i="1"/>
  <c r="AO702" i="1"/>
  <c r="AM702" i="1"/>
  <c r="AN702" i="1" s="1"/>
  <c r="AL702" i="1"/>
  <c r="AK702" i="1"/>
  <c r="AJ702" i="1"/>
  <c r="AI702" i="1"/>
  <c r="AH702" i="1"/>
  <c r="AT701" i="1"/>
  <c r="AS701" i="1"/>
  <c r="AQ701" i="1"/>
  <c r="AO701" i="1"/>
  <c r="AM701" i="1"/>
  <c r="AN701" i="1" s="1"/>
  <c r="AL701" i="1"/>
  <c r="AK701" i="1"/>
  <c r="AJ701" i="1"/>
  <c r="AI701" i="1"/>
  <c r="AH701" i="1"/>
  <c r="AT700" i="1"/>
  <c r="AS700" i="1"/>
  <c r="AQ700" i="1"/>
  <c r="AO700" i="1"/>
  <c r="AM700" i="1"/>
  <c r="AN700" i="1" s="1"/>
  <c r="AL700" i="1"/>
  <c r="AK700" i="1"/>
  <c r="AJ700" i="1"/>
  <c r="AI700" i="1"/>
  <c r="AH700" i="1"/>
  <c r="AT699" i="1"/>
  <c r="AS699" i="1"/>
  <c r="AQ699" i="1"/>
  <c r="AO699" i="1"/>
  <c r="AM699" i="1"/>
  <c r="AN699" i="1" s="1"/>
  <c r="AL699" i="1"/>
  <c r="AK699" i="1"/>
  <c r="AJ699" i="1"/>
  <c r="AI699" i="1"/>
  <c r="AH699" i="1"/>
  <c r="AT698" i="1"/>
  <c r="AS698" i="1"/>
  <c r="AQ698" i="1"/>
  <c r="AO698" i="1"/>
  <c r="AM698" i="1"/>
  <c r="AN698" i="1" s="1"/>
  <c r="AL698" i="1"/>
  <c r="AK698" i="1"/>
  <c r="AJ698" i="1"/>
  <c r="AI698" i="1"/>
  <c r="AH698" i="1"/>
  <c r="AT697" i="1"/>
  <c r="AS697" i="1"/>
  <c r="AQ697" i="1"/>
  <c r="AO697" i="1"/>
  <c r="AM697" i="1"/>
  <c r="AN697" i="1" s="1"/>
  <c r="AL697" i="1"/>
  <c r="AK697" i="1"/>
  <c r="AJ697" i="1"/>
  <c r="AI697" i="1"/>
  <c r="AH697" i="1"/>
  <c r="AT696" i="1"/>
  <c r="AS696" i="1"/>
  <c r="AQ696" i="1"/>
  <c r="AO696" i="1"/>
  <c r="AM696" i="1"/>
  <c r="AN696" i="1" s="1"/>
  <c r="AL696" i="1"/>
  <c r="AK696" i="1"/>
  <c r="AJ696" i="1"/>
  <c r="AI696" i="1"/>
  <c r="AH696" i="1"/>
  <c r="AT695" i="1"/>
  <c r="AS695" i="1"/>
  <c r="AQ695" i="1"/>
  <c r="AO695" i="1"/>
  <c r="AM695" i="1"/>
  <c r="AN695" i="1" s="1"/>
  <c r="AL695" i="1"/>
  <c r="AK695" i="1"/>
  <c r="AJ695" i="1"/>
  <c r="AI695" i="1"/>
  <c r="AH695" i="1"/>
  <c r="AT694" i="1"/>
  <c r="AS694" i="1"/>
  <c r="AQ694" i="1"/>
  <c r="AO694" i="1"/>
  <c r="AM694" i="1"/>
  <c r="AN694" i="1" s="1"/>
  <c r="AL694" i="1"/>
  <c r="AK694" i="1"/>
  <c r="AJ694" i="1"/>
  <c r="AI694" i="1"/>
  <c r="AH694" i="1"/>
  <c r="AT693" i="1"/>
  <c r="AS693" i="1"/>
  <c r="AQ693" i="1"/>
  <c r="AO693" i="1"/>
  <c r="AM693" i="1"/>
  <c r="AN693" i="1" s="1"/>
  <c r="AL693" i="1"/>
  <c r="AK693" i="1"/>
  <c r="AJ693" i="1"/>
  <c r="AI693" i="1"/>
  <c r="AH693" i="1"/>
  <c r="AT692" i="1"/>
  <c r="AS692" i="1"/>
  <c r="AQ692" i="1"/>
  <c r="AO692" i="1"/>
  <c r="AM692" i="1"/>
  <c r="AN692" i="1" s="1"/>
  <c r="AL692" i="1"/>
  <c r="AK692" i="1"/>
  <c r="AJ692" i="1"/>
  <c r="AI692" i="1"/>
  <c r="AH692" i="1"/>
  <c r="AT691" i="1"/>
  <c r="AS691" i="1"/>
  <c r="AQ691" i="1"/>
  <c r="AO691" i="1"/>
  <c r="AM691" i="1"/>
  <c r="AN691" i="1" s="1"/>
  <c r="AL691" i="1"/>
  <c r="AK691" i="1"/>
  <c r="AJ691" i="1"/>
  <c r="AI691" i="1"/>
  <c r="AH691" i="1"/>
  <c r="AT690" i="1"/>
  <c r="AS690" i="1"/>
  <c r="AQ690" i="1"/>
  <c r="AO690" i="1"/>
  <c r="AM690" i="1"/>
  <c r="AN690" i="1" s="1"/>
  <c r="AL690" i="1"/>
  <c r="AK690" i="1"/>
  <c r="AJ690" i="1"/>
  <c r="AI690" i="1"/>
  <c r="AH690" i="1"/>
  <c r="AT689" i="1"/>
  <c r="AS689" i="1"/>
  <c r="AQ689" i="1"/>
  <c r="AO689" i="1"/>
  <c r="AM689" i="1"/>
  <c r="AN689" i="1" s="1"/>
  <c r="AL689" i="1"/>
  <c r="AK689" i="1"/>
  <c r="AJ689" i="1"/>
  <c r="AI689" i="1"/>
  <c r="AH689" i="1"/>
  <c r="AT688" i="1"/>
  <c r="AS688" i="1"/>
  <c r="AQ688" i="1"/>
  <c r="AO688" i="1"/>
  <c r="AM688" i="1"/>
  <c r="AN688" i="1" s="1"/>
  <c r="AL688" i="1"/>
  <c r="AK688" i="1"/>
  <c r="AJ688" i="1"/>
  <c r="AI688" i="1"/>
  <c r="AH688" i="1"/>
  <c r="AT687" i="1"/>
  <c r="AS687" i="1"/>
  <c r="AQ687" i="1"/>
  <c r="AO687" i="1"/>
  <c r="AM687" i="1"/>
  <c r="AN687" i="1" s="1"/>
  <c r="AL687" i="1"/>
  <c r="AK687" i="1"/>
  <c r="AJ687" i="1"/>
  <c r="AI687" i="1"/>
  <c r="AH687" i="1"/>
  <c r="AT686" i="1"/>
  <c r="AS686" i="1"/>
  <c r="AQ686" i="1"/>
  <c r="AO686" i="1"/>
  <c r="AM686" i="1"/>
  <c r="AN686" i="1" s="1"/>
  <c r="AL686" i="1"/>
  <c r="AK686" i="1"/>
  <c r="AJ686" i="1"/>
  <c r="AI686" i="1"/>
  <c r="AH686" i="1"/>
  <c r="AT685" i="1"/>
  <c r="AS685" i="1"/>
  <c r="AQ685" i="1"/>
  <c r="AO685" i="1"/>
  <c r="AM685" i="1"/>
  <c r="AN685" i="1" s="1"/>
  <c r="AL685" i="1"/>
  <c r="AK685" i="1"/>
  <c r="AJ685" i="1"/>
  <c r="AI685" i="1"/>
  <c r="AH685" i="1"/>
  <c r="AT684" i="1"/>
  <c r="AS684" i="1"/>
  <c r="AQ684" i="1"/>
  <c r="AO684" i="1"/>
  <c r="AM684" i="1"/>
  <c r="AN684" i="1" s="1"/>
  <c r="AL684" i="1"/>
  <c r="AK684" i="1"/>
  <c r="AJ684" i="1"/>
  <c r="AI684" i="1"/>
  <c r="AH684" i="1"/>
  <c r="AT683" i="1"/>
  <c r="AS683" i="1"/>
  <c r="AQ683" i="1"/>
  <c r="AO683" i="1"/>
  <c r="AM683" i="1"/>
  <c r="AN683" i="1" s="1"/>
  <c r="AL683" i="1"/>
  <c r="AK683" i="1"/>
  <c r="AJ683" i="1"/>
  <c r="AI683" i="1"/>
  <c r="AH683" i="1"/>
  <c r="AT682" i="1"/>
  <c r="AS682" i="1"/>
  <c r="AQ682" i="1"/>
  <c r="AO682" i="1"/>
  <c r="AM682" i="1"/>
  <c r="AN682" i="1" s="1"/>
  <c r="AL682" i="1"/>
  <c r="AK682" i="1"/>
  <c r="AJ682" i="1"/>
  <c r="AI682" i="1"/>
  <c r="AH682" i="1"/>
  <c r="AT681" i="1"/>
  <c r="AS681" i="1"/>
  <c r="AQ681" i="1"/>
  <c r="AO681" i="1"/>
  <c r="AM681" i="1"/>
  <c r="AN681" i="1" s="1"/>
  <c r="AL681" i="1"/>
  <c r="AK681" i="1"/>
  <c r="AJ681" i="1"/>
  <c r="AI681" i="1"/>
  <c r="AH681" i="1"/>
  <c r="AT680" i="1"/>
  <c r="AS680" i="1"/>
  <c r="AQ680" i="1"/>
  <c r="AO680" i="1"/>
  <c r="AM680" i="1"/>
  <c r="AN680" i="1" s="1"/>
  <c r="AL680" i="1"/>
  <c r="AK680" i="1"/>
  <c r="AJ680" i="1"/>
  <c r="AI680" i="1"/>
  <c r="AH680" i="1"/>
  <c r="AT679" i="1"/>
  <c r="AS679" i="1"/>
  <c r="AQ679" i="1"/>
  <c r="AO679" i="1"/>
  <c r="AM679" i="1"/>
  <c r="AN679" i="1" s="1"/>
  <c r="AL679" i="1"/>
  <c r="AK679" i="1"/>
  <c r="AJ679" i="1"/>
  <c r="AI679" i="1"/>
  <c r="AH679" i="1"/>
  <c r="AT678" i="1"/>
  <c r="AS678" i="1"/>
  <c r="AQ678" i="1"/>
  <c r="AO678" i="1"/>
  <c r="AM678" i="1"/>
  <c r="AN678" i="1" s="1"/>
  <c r="AL678" i="1"/>
  <c r="AK678" i="1"/>
  <c r="AJ678" i="1"/>
  <c r="AI678" i="1"/>
  <c r="AH678" i="1"/>
  <c r="AT677" i="1"/>
  <c r="AS677" i="1"/>
  <c r="AQ677" i="1"/>
  <c r="AO677" i="1"/>
  <c r="AM677" i="1"/>
  <c r="AN677" i="1" s="1"/>
  <c r="AL677" i="1"/>
  <c r="AK677" i="1"/>
  <c r="AJ677" i="1"/>
  <c r="AI677" i="1"/>
  <c r="AH677" i="1"/>
  <c r="AT676" i="1"/>
  <c r="AS676" i="1"/>
  <c r="AQ676" i="1"/>
  <c r="AO676" i="1"/>
  <c r="AM676" i="1"/>
  <c r="AN676" i="1" s="1"/>
  <c r="AL676" i="1"/>
  <c r="AK676" i="1"/>
  <c r="AJ676" i="1"/>
  <c r="AI676" i="1"/>
  <c r="AH676" i="1"/>
  <c r="AT675" i="1"/>
  <c r="AS675" i="1"/>
  <c r="AQ675" i="1"/>
  <c r="AO675" i="1"/>
  <c r="AM675" i="1"/>
  <c r="AN675" i="1" s="1"/>
  <c r="AL675" i="1"/>
  <c r="AK675" i="1"/>
  <c r="AJ675" i="1"/>
  <c r="AI675" i="1"/>
  <c r="AH675" i="1"/>
  <c r="AT674" i="1"/>
  <c r="AS674" i="1"/>
  <c r="AQ674" i="1"/>
  <c r="AO674" i="1"/>
  <c r="AM674" i="1"/>
  <c r="AN674" i="1" s="1"/>
  <c r="AL674" i="1"/>
  <c r="AK674" i="1"/>
  <c r="AJ674" i="1"/>
  <c r="AI674" i="1"/>
  <c r="AH674" i="1"/>
  <c r="AT673" i="1"/>
  <c r="AS673" i="1"/>
  <c r="AQ673" i="1"/>
  <c r="AO673" i="1"/>
  <c r="AM673" i="1"/>
  <c r="AN673" i="1" s="1"/>
  <c r="AL673" i="1"/>
  <c r="AK673" i="1"/>
  <c r="AJ673" i="1"/>
  <c r="AI673" i="1"/>
  <c r="AH673" i="1"/>
  <c r="AT672" i="1"/>
  <c r="AS672" i="1"/>
  <c r="AQ672" i="1"/>
  <c r="AO672" i="1"/>
  <c r="AM672" i="1"/>
  <c r="AN672" i="1" s="1"/>
  <c r="AL672" i="1"/>
  <c r="AK672" i="1"/>
  <c r="AJ672" i="1"/>
  <c r="AI672" i="1"/>
  <c r="AH672" i="1"/>
  <c r="AT671" i="1"/>
  <c r="AS671" i="1"/>
  <c r="AQ671" i="1"/>
  <c r="AO671" i="1"/>
  <c r="AM671" i="1"/>
  <c r="AN671" i="1" s="1"/>
  <c r="AL671" i="1"/>
  <c r="AK671" i="1"/>
  <c r="AJ671" i="1"/>
  <c r="AI671" i="1"/>
  <c r="AH671" i="1"/>
  <c r="AT670" i="1"/>
  <c r="AS670" i="1"/>
  <c r="AQ670" i="1"/>
  <c r="AO670" i="1"/>
  <c r="AM670" i="1"/>
  <c r="AN670" i="1" s="1"/>
  <c r="AL670" i="1"/>
  <c r="AK670" i="1"/>
  <c r="AJ670" i="1"/>
  <c r="AI670" i="1"/>
  <c r="AH670" i="1"/>
  <c r="AT669" i="1"/>
  <c r="AS669" i="1"/>
  <c r="AQ669" i="1"/>
  <c r="AO669" i="1"/>
  <c r="AM669" i="1"/>
  <c r="AN669" i="1" s="1"/>
  <c r="AL669" i="1"/>
  <c r="AK669" i="1"/>
  <c r="AJ669" i="1"/>
  <c r="AI669" i="1"/>
  <c r="AH669" i="1"/>
  <c r="AT668" i="1"/>
  <c r="AS668" i="1"/>
  <c r="AQ668" i="1"/>
  <c r="AO668" i="1"/>
  <c r="AM668" i="1"/>
  <c r="AN668" i="1" s="1"/>
  <c r="AL668" i="1"/>
  <c r="AK668" i="1"/>
  <c r="AJ668" i="1"/>
  <c r="AI668" i="1"/>
  <c r="AH668" i="1"/>
  <c r="AT667" i="1"/>
  <c r="AS667" i="1"/>
  <c r="AQ667" i="1"/>
  <c r="AO667" i="1"/>
  <c r="AM667" i="1"/>
  <c r="AN667" i="1" s="1"/>
  <c r="AL667" i="1"/>
  <c r="AK667" i="1"/>
  <c r="AJ667" i="1"/>
  <c r="AI667" i="1"/>
  <c r="AH667" i="1"/>
  <c r="AT666" i="1"/>
  <c r="AS666" i="1"/>
  <c r="AQ666" i="1"/>
  <c r="AO666" i="1"/>
  <c r="AM666" i="1"/>
  <c r="AN666" i="1" s="1"/>
  <c r="AL666" i="1"/>
  <c r="AK666" i="1"/>
  <c r="AJ666" i="1"/>
  <c r="AI666" i="1"/>
  <c r="AH666" i="1"/>
  <c r="AT665" i="1"/>
  <c r="AS665" i="1"/>
  <c r="AQ665" i="1"/>
  <c r="AO665" i="1"/>
  <c r="AM665" i="1"/>
  <c r="AN665" i="1" s="1"/>
  <c r="AL665" i="1"/>
  <c r="AK665" i="1"/>
  <c r="AJ665" i="1"/>
  <c r="AI665" i="1"/>
  <c r="AH665" i="1"/>
  <c r="AT664" i="1"/>
  <c r="AS664" i="1"/>
  <c r="AQ664" i="1"/>
  <c r="AO664" i="1"/>
  <c r="AM664" i="1"/>
  <c r="AN664" i="1" s="1"/>
  <c r="AL664" i="1"/>
  <c r="AK664" i="1"/>
  <c r="AJ664" i="1"/>
  <c r="AI664" i="1"/>
  <c r="AH664" i="1"/>
  <c r="AT663" i="1"/>
  <c r="AS663" i="1"/>
  <c r="AQ663" i="1"/>
  <c r="AO663" i="1"/>
  <c r="AM663" i="1"/>
  <c r="AN663" i="1" s="1"/>
  <c r="AL663" i="1"/>
  <c r="AK663" i="1"/>
  <c r="AJ663" i="1"/>
  <c r="AI663" i="1"/>
  <c r="AH663" i="1"/>
  <c r="AT662" i="1"/>
  <c r="AS662" i="1"/>
  <c r="AQ662" i="1"/>
  <c r="AO662" i="1"/>
  <c r="AM662" i="1"/>
  <c r="AN662" i="1" s="1"/>
  <c r="AL662" i="1"/>
  <c r="AK662" i="1"/>
  <c r="AJ662" i="1"/>
  <c r="AI662" i="1"/>
  <c r="AH662" i="1"/>
  <c r="AT661" i="1"/>
  <c r="AS661" i="1"/>
  <c r="AQ661" i="1"/>
  <c r="AO661" i="1"/>
  <c r="AM661" i="1"/>
  <c r="AN661" i="1" s="1"/>
  <c r="AL661" i="1"/>
  <c r="AK661" i="1"/>
  <c r="AJ661" i="1"/>
  <c r="AI661" i="1"/>
  <c r="AH661" i="1"/>
  <c r="AT660" i="1"/>
  <c r="AS660" i="1"/>
  <c r="AQ660" i="1"/>
  <c r="AO660" i="1"/>
  <c r="AM660" i="1"/>
  <c r="AN660" i="1" s="1"/>
  <c r="AL660" i="1"/>
  <c r="AK660" i="1"/>
  <c r="AJ660" i="1"/>
  <c r="AI660" i="1"/>
  <c r="AH660" i="1"/>
  <c r="AT659" i="1"/>
  <c r="AS659" i="1"/>
  <c r="AQ659" i="1"/>
  <c r="AO659" i="1"/>
  <c r="AM659" i="1"/>
  <c r="AN659" i="1" s="1"/>
  <c r="AL659" i="1"/>
  <c r="AK659" i="1"/>
  <c r="AJ659" i="1"/>
  <c r="AI659" i="1"/>
  <c r="AH659" i="1"/>
  <c r="AT658" i="1"/>
  <c r="AS658" i="1"/>
  <c r="AQ658" i="1"/>
  <c r="AO658" i="1"/>
  <c r="AM658" i="1"/>
  <c r="AN658" i="1" s="1"/>
  <c r="AL658" i="1"/>
  <c r="AK658" i="1"/>
  <c r="AJ658" i="1"/>
  <c r="AI658" i="1"/>
  <c r="AH658" i="1"/>
  <c r="AT657" i="1"/>
  <c r="AS657" i="1"/>
  <c r="AQ657" i="1"/>
  <c r="AO657" i="1"/>
  <c r="AM657" i="1"/>
  <c r="AN657" i="1" s="1"/>
  <c r="AL657" i="1"/>
  <c r="AK657" i="1"/>
  <c r="AJ657" i="1"/>
  <c r="AI657" i="1"/>
  <c r="AH657" i="1"/>
  <c r="AT656" i="1"/>
  <c r="AS656" i="1"/>
  <c r="AQ656" i="1"/>
  <c r="AO656" i="1"/>
  <c r="AM656" i="1"/>
  <c r="AN656" i="1" s="1"/>
  <c r="AL656" i="1"/>
  <c r="AK656" i="1"/>
  <c r="AJ656" i="1"/>
  <c r="AI656" i="1"/>
  <c r="AH656" i="1"/>
  <c r="AT655" i="1"/>
  <c r="AS655" i="1"/>
  <c r="AQ655" i="1"/>
  <c r="AO655" i="1"/>
  <c r="AM655" i="1"/>
  <c r="AN655" i="1" s="1"/>
  <c r="AL655" i="1"/>
  <c r="AK655" i="1"/>
  <c r="AJ655" i="1"/>
  <c r="AI655" i="1"/>
  <c r="AH655" i="1"/>
  <c r="AT654" i="1"/>
  <c r="AS654" i="1"/>
  <c r="AQ654" i="1"/>
  <c r="AO654" i="1"/>
  <c r="AM654" i="1"/>
  <c r="AN654" i="1" s="1"/>
  <c r="AL654" i="1"/>
  <c r="AK654" i="1"/>
  <c r="AJ654" i="1"/>
  <c r="AI654" i="1"/>
  <c r="AH654" i="1"/>
  <c r="AT653" i="1"/>
  <c r="AS653" i="1"/>
  <c r="AQ653" i="1"/>
  <c r="AO653" i="1"/>
  <c r="AM653" i="1"/>
  <c r="AN653" i="1" s="1"/>
  <c r="AL653" i="1"/>
  <c r="AK653" i="1"/>
  <c r="AJ653" i="1"/>
  <c r="AI653" i="1"/>
  <c r="AH653" i="1"/>
  <c r="AT652" i="1"/>
  <c r="AS652" i="1"/>
  <c r="AQ652" i="1"/>
  <c r="AO652" i="1"/>
  <c r="AM652" i="1"/>
  <c r="AN652" i="1" s="1"/>
  <c r="AL652" i="1"/>
  <c r="AK652" i="1"/>
  <c r="AJ652" i="1"/>
  <c r="AI652" i="1"/>
  <c r="AH652" i="1"/>
  <c r="AT651" i="1"/>
  <c r="AS651" i="1"/>
  <c r="AQ651" i="1"/>
  <c r="AO651" i="1"/>
  <c r="AN651" i="1"/>
  <c r="AM651" i="1"/>
  <c r="AL651" i="1"/>
  <c r="AK651" i="1"/>
  <c r="AJ651" i="1"/>
  <c r="AI651" i="1"/>
  <c r="AH651" i="1"/>
  <c r="AT650" i="1"/>
  <c r="AS650" i="1"/>
  <c r="AQ650" i="1"/>
  <c r="AO650" i="1"/>
  <c r="AM650" i="1"/>
  <c r="AN650" i="1" s="1"/>
  <c r="AL650" i="1"/>
  <c r="AK650" i="1"/>
  <c r="AJ650" i="1"/>
  <c r="AI650" i="1"/>
  <c r="AH650" i="1"/>
  <c r="AT649" i="1"/>
  <c r="AS649" i="1"/>
  <c r="AQ649" i="1"/>
  <c r="AO649" i="1"/>
  <c r="AM649" i="1"/>
  <c r="AN649" i="1" s="1"/>
  <c r="AL649" i="1"/>
  <c r="AK649" i="1"/>
  <c r="AJ649" i="1"/>
  <c r="AI649" i="1"/>
  <c r="AH649" i="1"/>
  <c r="AT648" i="1"/>
  <c r="AS648" i="1"/>
  <c r="AQ648" i="1"/>
  <c r="AO648" i="1"/>
  <c r="AM648" i="1"/>
  <c r="AN648" i="1" s="1"/>
  <c r="AL648" i="1"/>
  <c r="AK648" i="1"/>
  <c r="AJ648" i="1"/>
  <c r="AI648" i="1"/>
  <c r="AH648" i="1"/>
  <c r="AT647" i="1"/>
  <c r="AS647" i="1"/>
  <c r="AQ647" i="1"/>
  <c r="AO647" i="1"/>
  <c r="AM647" i="1"/>
  <c r="AN647" i="1" s="1"/>
  <c r="AL647" i="1"/>
  <c r="AK647" i="1"/>
  <c r="AJ647" i="1"/>
  <c r="AI647" i="1"/>
  <c r="AH647" i="1"/>
  <c r="AT646" i="1"/>
  <c r="AS646" i="1"/>
  <c r="AQ646" i="1"/>
  <c r="AO646" i="1"/>
  <c r="AM646" i="1"/>
  <c r="AN646" i="1" s="1"/>
  <c r="AL646" i="1"/>
  <c r="AK646" i="1"/>
  <c r="AJ646" i="1"/>
  <c r="AI646" i="1"/>
  <c r="AH646" i="1"/>
  <c r="AT645" i="1"/>
  <c r="AS645" i="1"/>
  <c r="AQ645" i="1"/>
  <c r="AO645" i="1"/>
  <c r="AM645" i="1"/>
  <c r="AN645" i="1" s="1"/>
  <c r="AL645" i="1"/>
  <c r="AK645" i="1"/>
  <c r="AJ645" i="1"/>
  <c r="AI645" i="1"/>
  <c r="AH645" i="1"/>
  <c r="AT644" i="1"/>
  <c r="AS644" i="1"/>
  <c r="AQ644" i="1"/>
  <c r="AO644" i="1"/>
  <c r="AM644" i="1"/>
  <c r="AN644" i="1" s="1"/>
  <c r="AL644" i="1"/>
  <c r="AK644" i="1"/>
  <c r="AJ644" i="1"/>
  <c r="AI644" i="1"/>
  <c r="AH644" i="1"/>
  <c r="AT643" i="1"/>
  <c r="AS643" i="1"/>
  <c r="AQ643" i="1"/>
  <c r="AO643" i="1"/>
  <c r="AM643" i="1"/>
  <c r="AN643" i="1" s="1"/>
  <c r="AL643" i="1"/>
  <c r="AK643" i="1"/>
  <c r="AJ643" i="1"/>
  <c r="AI643" i="1"/>
  <c r="AH643" i="1"/>
  <c r="AT642" i="1"/>
  <c r="AS642" i="1"/>
  <c r="AQ642" i="1"/>
  <c r="AO642" i="1"/>
  <c r="AM642" i="1"/>
  <c r="AN642" i="1" s="1"/>
  <c r="AL642" i="1"/>
  <c r="AK642" i="1"/>
  <c r="AJ642" i="1"/>
  <c r="AI642" i="1"/>
  <c r="AH642" i="1"/>
  <c r="AT641" i="1"/>
  <c r="AS641" i="1"/>
  <c r="AQ641" i="1"/>
  <c r="AO641" i="1"/>
  <c r="AM641" i="1"/>
  <c r="AN641" i="1" s="1"/>
  <c r="AL641" i="1"/>
  <c r="AK641" i="1"/>
  <c r="AJ641" i="1"/>
  <c r="AI641" i="1"/>
  <c r="AH641" i="1"/>
  <c r="AT640" i="1"/>
  <c r="AS640" i="1"/>
  <c r="AQ640" i="1"/>
  <c r="AO640" i="1"/>
  <c r="AM640" i="1"/>
  <c r="AN640" i="1" s="1"/>
  <c r="AP640" i="1" s="1"/>
  <c r="AR640" i="1" s="1"/>
  <c r="AL640" i="1"/>
  <c r="AK640" i="1"/>
  <c r="AJ640" i="1"/>
  <c r="AI640" i="1"/>
  <c r="AH640" i="1"/>
  <c r="AT639" i="1"/>
  <c r="AS639" i="1"/>
  <c r="AQ639" i="1"/>
  <c r="AO639" i="1"/>
  <c r="AM639" i="1"/>
  <c r="AN639" i="1" s="1"/>
  <c r="AL639" i="1"/>
  <c r="AK639" i="1"/>
  <c r="AJ639" i="1"/>
  <c r="AI639" i="1"/>
  <c r="AH639" i="1"/>
  <c r="AT638" i="1"/>
  <c r="AS638" i="1"/>
  <c r="AQ638" i="1"/>
  <c r="AO638" i="1"/>
  <c r="AM638" i="1"/>
  <c r="AN638" i="1" s="1"/>
  <c r="AL638" i="1"/>
  <c r="AK638" i="1"/>
  <c r="AJ638" i="1"/>
  <c r="AI638" i="1"/>
  <c r="AH638" i="1"/>
  <c r="AT637" i="1"/>
  <c r="AS637" i="1"/>
  <c r="AQ637" i="1"/>
  <c r="AO637" i="1"/>
  <c r="AM637" i="1"/>
  <c r="AN637" i="1" s="1"/>
  <c r="AL637" i="1"/>
  <c r="AK637" i="1"/>
  <c r="AJ637" i="1"/>
  <c r="AI637" i="1"/>
  <c r="AH637" i="1"/>
  <c r="AT636" i="1"/>
  <c r="AS636" i="1"/>
  <c r="AQ636" i="1"/>
  <c r="AO636" i="1"/>
  <c r="AM636" i="1"/>
  <c r="AN636" i="1" s="1"/>
  <c r="AL636" i="1"/>
  <c r="AK636" i="1"/>
  <c r="AJ636" i="1"/>
  <c r="AI636" i="1"/>
  <c r="AH636" i="1"/>
  <c r="AT635" i="1"/>
  <c r="AS635" i="1"/>
  <c r="AQ635" i="1"/>
  <c r="AO635" i="1"/>
  <c r="AM635" i="1"/>
  <c r="AN635" i="1" s="1"/>
  <c r="AL635" i="1"/>
  <c r="AK635" i="1"/>
  <c r="AJ635" i="1"/>
  <c r="AI635" i="1"/>
  <c r="AH635" i="1"/>
  <c r="AT634" i="1"/>
  <c r="AS634" i="1"/>
  <c r="AQ634" i="1"/>
  <c r="AO634" i="1"/>
  <c r="AM634" i="1"/>
  <c r="AN634" i="1" s="1"/>
  <c r="AL634" i="1"/>
  <c r="AK634" i="1"/>
  <c r="AJ634" i="1"/>
  <c r="AI634" i="1"/>
  <c r="AH634" i="1"/>
  <c r="AT633" i="1"/>
  <c r="AS633" i="1"/>
  <c r="AQ633" i="1"/>
  <c r="AO633" i="1"/>
  <c r="AM633" i="1"/>
  <c r="AN633" i="1" s="1"/>
  <c r="AL633" i="1"/>
  <c r="AK633" i="1"/>
  <c r="AJ633" i="1"/>
  <c r="AI633" i="1"/>
  <c r="AH633" i="1"/>
  <c r="AT632" i="1"/>
  <c r="AS632" i="1"/>
  <c r="AQ632" i="1"/>
  <c r="AO632" i="1"/>
  <c r="AM632" i="1"/>
  <c r="AN632" i="1" s="1"/>
  <c r="AL632" i="1"/>
  <c r="AK632" i="1"/>
  <c r="AJ632" i="1"/>
  <c r="AI632" i="1"/>
  <c r="AH632" i="1"/>
  <c r="AT631" i="1"/>
  <c r="AS631" i="1"/>
  <c r="AQ631" i="1"/>
  <c r="AO631" i="1"/>
  <c r="AM631" i="1"/>
  <c r="AN631" i="1" s="1"/>
  <c r="AL631" i="1"/>
  <c r="AK631" i="1"/>
  <c r="AJ631" i="1"/>
  <c r="AI631" i="1"/>
  <c r="AH631" i="1"/>
  <c r="AT630" i="1"/>
  <c r="AS630" i="1"/>
  <c r="AQ630" i="1"/>
  <c r="AO630" i="1"/>
  <c r="AM630" i="1"/>
  <c r="AN630" i="1" s="1"/>
  <c r="AL630" i="1"/>
  <c r="AK630" i="1"/>
  <c r="AJ630" i="1"/>
  <c r="AI630" i="1"/>
  <c r="AH630" i="1"/>
  <c r="AT629" i="1"/>
  <c r="AS629" i="1"/>
  <c r="AQ629" i="1"/>
  <c r="AO629" i="1"/>
  <c r="AM629" i="1"/>
  <c r="AN629" i="1" s="1"/>
  <c r="AL629" i="1"/>
  <c r="AK629" i="1"/>
  <c r="AJ629" i="1"/>
  <c r="AI629" i="1"/>
  <c r="AH629" i="1"/>
  <c r="AT628" i="1"/>
  <c r="AS628" i="1"/>
  <c r="AQ628" i="1"/>
  <c r="AO628" i="1"/>
  <c r="AM628" i="1"/>
  <c r="AN628" i="1" s="1"/>
  <c r="AL628" i="1"/>
  <c r="AK628" i="1"/>
  <c r="AJ628" i="1"/>
  <c r="AI628" i="1"/>
  <c r="AH628" i="1"/>
  <c r="AT627" i="1"/>
  <c r="AS627" i="1"/>
  <c r="AQ627" i="1"/>
  <c r="AO627" i="1"/>
  <c r="AM627" i="1"/>
  <c r="AN627" i="1" s="1"/>
  <c r="AL627" i="1"/>
  <c r="AK627" i="1"/>
  <c r="AJ627" i="1"/>
  <c r="AI627" i="1"/>
  <c r="AH627" i="1"/>
  <c r="AT626" i="1"/>
  <c r="AS626" i="1"/>
  <c r="AQ626" i="1"/>
  <c r="AO626" i="1"/>
  <c r="AM626" i="1"/>
  <c r="AN626" i="1" s="1"/>
  <c r="AL626" i="1"/>
  <c r="AK626" i="1"/>
  <c r="AJ626" i="1"/>
  <c r="AI626" i="1"/>
  <c r="AH626" i="1"/>
  <c r="AT625" i="1"/>
  <c r="AS625" i="1"/>
  <c r="AQ625" i="1"/>
  <c r="AO625" i="1"/>
  <c r="AM625" i="1"/>
  <c r="AN625" i="1" s="1"/>
  <c r="AL625" i="1"/>
  <c r="AK625" i="1"/>
  <c r="AJ625" i="1"/>
  <c r="AI625" i="1"/>
  <c r="AH625" i="1"/>
  <c r="AT624" i="1"/>
  <c r="AS624" i="1"/>
  <c r="AQ624" i="1"/>
  <c r="AO624" i="1"/>
  <c r="AM624" i="1"/>
  <c r="AN624" i="1" s="1"/>
  <c r="AL624" i="1"/>
  <c r="AK624" i="1"/>
  <c r="AJ624" i="1"/>
  <c r="AI624" i="1"/>
  <c r="AH624" i="1"/>
  <c r="AT623" i="1"/>
  <c r="AS623" i="1"/>
  <c r="AQ623" i="1"/>
  <c r="AO623" i="1"/>
  <c r="AM623" i="1"/>
  <c r="AN623" i="1" s="1"/>
  <c r="AL623" i="1"/>
  <c r="AK623" i="1"/>
  <c r="AJ623" i="1"/>
  <c r="AI623" i="1"/>
  <c r="AH623" i="1"/>
  <c r="AT622" i="1"/>
  <c r="AS622" i="1"/>
  <c r="AQ622" i="1"/>
  <c r="AO622" i="1"/>
  <c r="AM622" i="1"/>
  <c r="AN622" i="1" s="1"/>
  <c r="AL622" i="1"/>
  <c r="AK622" i="1"/>
  <c r="AJ622" i="1"/>
  <c r="AI622" i="1"/>
  <c r="AH622" i="1"/>
  <c r="AT621" i="1"/>
  <c r="AS621" i="1"/>
  <c r="AQ621" i="1"/>
  <c r="AO621" i="1"/>
  <c r="AM621" i="1"/>
  <c r="AN621" i="1" s="1"/>
  <c r="AL621" i="1"/>
  <c r="AK621" i="1"/>
  <c r="AJ621" i="1"/>
  <c r="AI621" i="1"/>
  <c r="AH621" i="1"/>
  <c r="AT620" i="1"/>
  <c r="AS620" i="1"/>
  <c r="AQ620" i="1"/>
  <c r="AO620" i="1"/>
  <c r="AM620" i="1"/>
  <c r="AN620" i="1" s="1"/>
  <c r="AP620" i="1" s="1"/>
  <c r="AL620" i="1"/>
  <c r="AK620" i="1"/>
  <c r="AJ620" i="1"/>
  <c r="AI620" i="1"/>
  <c r="AH620" i="1"/>
  <c r="AT619" i="1"/>
  <c r="AS619" i="1"/>
  <c r="AQ619" i="1"/>
  <c r="AO619" i="1"/>
  <c r="AM619" i="1"/>
  <c r="AN619" i="1" s="1"/>
  <c r="AL619" i="1"/>
  <c r="AK619" i="1"/>
  <c r="AJ619" i="1"/>
  <c r="AI619" i="1"/>
  <c r="AH619" i="1"/>
  <c r="AT618" i="1"/>
  <c r="AS618" i="1"/>
  <c r="AQ618" i="1"/>
  <c r="AO618" i="1"/>
  <c r="AM618" i="1"/>
  <c r="AN618" i="1" s="1"/>
  <c r="AL618" i="1"/>
  <c r="AK618" i="1"/>
  <c r="AJ618" i="1"/>
  <c r="AI618" i="1"/>
  <c r="AH618" i="1"/>
  <c r="AT617" i="1"/>
  <c r="AS617" i="1"/>
  <c r="AQ617" i="1"/>
  <c r="AO617" i="1"/>
  <c r="AM617" i="1"/>
  <c r="AN617" i="1" s="1"/>
  <c r="AL617" i="1"/>
  <c r="AK617" i="1"/>
  <c r="AJ617" i="1"/>
  <c r="AI617" i="1"/>
  <c r="AH617" i="1"/>
  <c r="AT616" i="1"/>
  <c r="AS616" i="1"/>
  <c r="AQ616" i="1"/>
  <c r="AO616" i="1"/>
  <c r="AM616" i="1"/>
  <c r="AN616" i="1" s="1"/>
  <c r="AL616" i="1"/>
  <c r="AK616" i="1"/>
  <c r="AJ616" i="1"/>
  <c r="AI616" i="1"/>
  <c r="AH616" i="1"/>
  <c r="AT615" i="1"/>
  <c r="AS615" i="1"/>
  <c r="AQ615" i="1"/>
  <c r="AO615" i="1"/>
  <c r="AM615" i="1"/>
  <c r="AN615" i="1" s="1"/>
  <c r="AL615" i="1"/>
  <c r="AK615" i="1"/>
  <c r="AJ615" i="1"/>
  <c r="AI615" i="1"/>
  <c r="AH615" i="1"/>
  <c r="AT614" i="1"/>
  <c r="AS614" i="1"/>
  <c r="AQ614" i="1"/>
  <c r="AO614" i="1"/>
  <c r="AM614" i="1"/>
  <c r="AN614" i="1" s="1"/>
  <c r="AL614" i="1"/>
  <c r="AK614" i="1"/>
  <c r="AJ614" i="1"/>
  <c r="AI614" i="1"/>
  <c r="AH614" i="1"/>
  <c r="AT613" i="1"/>
  <c r="AS613" i="1"/>
  <c r="AQ613" i="1"/>
  <c r="AO613" i="1"/>
  <c r="AM613" i="1"/>
  <c r="AN613" i="1" s="1"/>
  <c r="AL613" i="1"/>
  <c r="AK613" i="1"/>
  <c r="AJ613" i="1"/>
  <c r="AI613" i="1"/>
  <c r="AH613" i="1"/>
  <c r="AT612" i="1"/>
  <c r="AS612" i="1"/>
  <c r="AQ612" i="1"/>
  <c r="AO612" i="1"/>
  <c r="AM612" i="1"/>
  <c r="AN612" i="1" s="1"/>
  <c r="AL612" i="1"/>
  <c r="AK612" i="1"/>
  <c r="AJ612" i="1"/>
  <c r="AI612" i="1"/>
  <c r="AH612" i="1"/>
  <c r="AT611" i="1"/>
  <c r="AS611" i="1"/>
  <c r="AQ611" i="1"/>
  <c r="AO611" i="1"/>
  <c r="AM611" i="1"/>
  <c r="AN611" i="1" s="1"/>
  <c r="AL611" i="1"/>
  <c r="AK611" i="1"/>
  <c r="AJ611" i="1"/>
  <c r="AI611" i="1"/>
  <c r="AH611" i="1"/>
  <c r="AT610" i="1"/>
  <c r="AS610" i="1"/>
  <c r="AQ610" i="1"/>
  <c r="AO610" i="1"/>
  <c r="AM610" i="1"/>
  <c r="AN610" i="1" s="1"/>
  <c r="AL610" i="1"/>
  <c r="AK610" i="1"/>
  <c r="AJ610" i="1"/>
  <c r="AI610" i="1"/>
  <c r="AH610" i="1"/>
  <c r="AT609" i="1"/>
  <c r="AS609" i="1"/>
  <c r="AQ609" i="1"/>
  <c r="AO609" i="1"/>
  <c r="AM609" i="1"/>
  <c r="AN609" i="1" s="1"/>
  <c r="AL609" i="1"/>
  <c r="AK609" i="1"/>
  <c r="AJ609" i="1"/>
  <c r="AI609" i="1"/>
  <c r="AH609" i="1"/>
  <c r="AT608" i="1"/>
  <c r="AS608" i="1"/>
  <c r="AQ608" i="1"/>
  <c r="AO608" i="1"/>
  <c r="AM608" i="1"/>
  <c r="AN608" i="1" s="1"/>
  <c r="AL608" i="1"/>
  <c r="AK608" i="1"/>
  <c r="AJ608" i="1"/>
  <c r="AI608" i="1"/>
  <c r="AH608" i="1"/>
  <c r="AT607" i="1"/>
  <c r="AS607" i="1"/>
  <c r="AQ607" i="1"/>
  <c r="AO607" i="1"/>
  <c r="AM607" i="1"/>
  <c r="AN607" i="1" s="1"/>
  <c r="AL607" i="1"/>
  <c r="AK607" i="1"/>
  <c r="AJ607" i="1"/>
  <c r="AI607" i="1"/>
  <c r="AH607" i="1"/>
  <c r="AT606" i="1"/>
  <c r="AS606" i="1"/>
  <c r="AQ606" i="1"/>
  <c r="AO606" i="1"/>
  <c r="AM606" i="1"/>
  <c r="AN606" i="1" s="1"/>
  <c r="AL606" i="1"/>
  <c r="AK606" i="1"/>
  <c r="AJ606" i="1"/>
  <c r="AI606" i="1"/>
  <c r="AH606" i="1"/>
  <c r="AT605" i="1"/>
  <c r="AS605" i="1"/>
  <c r="AQ605" i="1"/>
  <c r="AO605" i="1"/>
  <c r="AM605" i="1"/>
  <c r="AN605" i="1" s="1"/>
  <c r="AL605" i="1"/>
  <c r="AK605" i="1"/>
  <c r="AJ605" i="1"/>
  <c r="AI605" i="1"/>
  <c r="AH605" i="1"/>
  <c r="AT604" i="1"/>
  <c r="AS604" i="1"/>
  <c r="AQ604" i="1"/>
  <c r="AO604" i="1"/>
  <c r="AM604" i="1"/>
  <c r="AN604" i="1" s="1"/>
  <c r="AL604" i="1"/>
  <c r="AK604" i="1"/>
  <c r="AJ604" i="1"/>
  <c r="AI604" i="1"/>
  <c r="AH604" i="1"/>
  <c r="AT603" i="1"/>
  <c r="AS603" i="1"/>
  <c r="AQ603" i="1"/>
  <c r="AO603" i="1"/>
  <c r="AM603" i="1"/>
  <c r="AN603" i="1" s="1"/>
  <c r="AL603" i="1"/>
  <c r="AK603" i="1"/>
  <c r="AJ603" i="1"/>
  <c r="AI603" i="1"/>
  <c r="AH603" i="1"/>
  <c r="AT602" i="1"/>
  <c r="AS602" i="1"/>
  <c r="AQ602" i="1"/>
  <c r="AO602" i="1"/>
  <c r="AM602" i="1"/>
  <c r="AN602" i="1" s="1"/>
  <c r="AL602" i="1"/>
  <c r="AK602" i="1"/>
  <c r="AJ602" i="1"/>
  <c r="AI602" i="1"/>
  <c r="AH602" i="1"/>
  <c r="AT601" i="1"/>
  <c r="AS601" i="1"/>
  <c r="AQ601" i="1"/>
  <c r="AO601" i="1"/>
  <c r="AM601" i="1"/>
  <c r="AN601" i="1" s="1"/>
  <c r="AL601" i="1"/>
  <c r="AK601" i="1"/>
  <c r="AJ601" i="1"/>
  <c r="AI601" i="1"/>
  <c r="AH601" i="1"/>
  <c r="AT600" i="1"/>
  <c r="AS600" i="1"/>
  <c r="AQ600" i="1"/>
  <c r="AO600" i="1"/>
  <c r="AM600" i="1"/>
  <c r="AN600" i="1" s="1"/>
  <c r="AL600" i="1"/>
  <c r="AK600" i="1"/>
  <c r="AJ600" i="1"/>
  <c r="AI600" i="1"/>
  <c r="AH600" i="1"/>
  <c r="AT599" i="1"/>
  <c r="AS599" i="1"/>
  <c r="AQ599" i="1"/>
  <c r="AO599" i="1"/>
  <c r="AM599" i="1"/>
  <c r="AN599" i="1" s="1"/>
  <c r="AL599" i="1"/>
  <c r="AK599" i="1"/>
  <c r="AJ599" i="1"/>
  <c r="AI599" i="1"/>
  <c r="AH599" i="1"/>
  <c r="AT598" i="1"/>
  <c r="AS598" i="1"/>
  <c r="AQ598" i="1"/>
  <c r="AO598" i="1"/>
  <c r="AM598" i="1"/>
  <c r="AN598" i="1" s="1"/>
  <c r="AL598" i="1"/>
  <c r="AK598" i="1"/>
  <c r="AJ598" i="1"/>
  <c r="AI598" i="1"/>
  <c r="AH598" i="1"/>
  <c r="AT597" i="1"/>
  <c r="AS597" i="1"/>
  <c r="AQ597" i="1"/>
  <c r="AO597" i="1"/>
  <c r="AM597" i="1"/>
  <c r="AN597" i="1" s="1"/>
  <c r="AL597" i="1"/>
  <c r="AK597" i="1"/>
  <c r="AJ597" i="1"/>
  <c r="AI597" i="1"/>
  <c r="AH597" i="1"/>
  <c r="AT596" i="1"/>
  <c r="AS596" i="1"/>
  <c r="AQ596" i="1"/>
  <c r="AO596" i="1"/>
  <c r="AM596" i="1"/>
  <c r="AN596" i="1" s="1"/>
  <c r="AL596" i="1"/>
  <c r="AK596" i="1"/>
  <c r="AJ596" i="1"/>
  <c r="AI596" i="1"/>
  <c r="AH596" i="1"/>
  <c r="AT595" i="1"/>
  <c r="AS595" i="1"/>
  <c r="AQ595" i="1"/>
  <c r="AO595" i="1"/>
  <c r="AM595" i="1"/>
  <c r="AN595" i="1" s="1"/>
  <c r="AL595" i="1"/>
  <c r="AK595" i="1"/>
  <c r="AJ595" i="1"/>
  <c r="AI595" i="1"/>
  <c r="AH595" i="1"/>
  <c r="AT594" i="1"/>
  <c r="AS594" i="1"/>
  <c r="AQ594" i="1"/>
  <c r="AO594" i="1"/>
  <c r="AM594" i="1"/>
  <c r="AN594" i="1" s="1"/>
  <c r="AL594" i="1"/>
  <c r="AK594" i="1"/>
  <c r="AJ594" i="1"/>
  <c r="AI594" i="1"/>
  <c r="AH594" i="1"/>
  <c r="AT593" i="1"/>
  <c r="AS593" i="1"/>
  <c r="AQ593" i="1"/>
  <c r="AO593" i="1"/>
  <c r="AM593" i="1"/>
  <c r="AN593" i="1" s="1"/>
  <c r="AL593" i="1"/>
  <c r="AK593" i="1"/>
  <c r="AJ593" i="1"/>
  <c r="AI593" i="1"/>
  <c r="AH593" i="1"/>
  <c r="AT592" i="1"/>
  <c r="AS592" i="1"/>
  <c r="AQ592" i="1"/>
  <c r="AO592" i="1"/>
  <c r="AM592" i="1"/>
  <c r="AN592" i="1" s="1"/>
  <c r="AL592" i="1"/>
  <c r="AK592" i="1"/>
  <c r="AJ592" i="1"/>
  <c r="AI592" i="1"/>
  <c r="AH592" i="1"/>
  <c r="AT591" i="1"/>
  <c r="AS591" i="1"/>
  <c r="AQ591" i="1"/>
  <c r="AO591" i="1"/>
  <c r="AM591" i="1"/>
  <c r="AN591" i="1" s="1"/>
  <c r="AL591" i="1"/>
  <c r="AK591" i="1"/>
  <c r="AJ591" i="1"/>
  <c r="AI591" i="1"/>
  <c r="AH591" i="1"/>
  <c r="AT590" i="1"/>
  <c r="AS590" i="1"/>
  <c r="AQ590" i="1"/>
  <c r="AO590" i="1"/>
  <c r="AM590" i="1"/>
  <c r="AN590" i="1" s="1"/>
  <c r="AL590" i="1"/>
  <c r="AK590" i="1"/>
  <c r="AJ590" i="1"/>
  <c r="AI590" i="1"/>
  <c r="AH590" i="1"/>
  <c r="AT589" i="1"/>
  <c r="AS589" i="1"/>
  <c r="AQ589" i="1"/>
  <c r="AO589" i="1"/>
  <c r="AN589" i="1"/>
  <c r="AM589" i="1"/>
  <c r="AL589" i="1"/>
  <c r="AK589" i="1"/>
  <c r="AJ589" i="1"/>
  <c r="AI589" i="1"/>
  <c r="AH589" i="1"/>
  <c r="AT588" i="1"/>
  <c r="AS588" i="1"/>
  <c r="AQ588" i="1"/>
  <c r="AO588" i="1"/>
  <c r="AM588" i="1"/>
  <c r="AN588" i="1" s="1"/>
  <c r="AL588" i="1"/>
  <c r="AK588" i="1"/>
  <c r="AJ588" i="1"/>
  <c r="AI588" i="1"/>
  <c r="AH588" i="1"/>
  <c r="AT587" i="1"/>
  <c r="AS587" i="1"/>
  <c r="AQ587" i="1"/>
  <c r="AO587" i="1"/>
  <c r="AM587" i="1"/>
  <c r="AN587" i="1" s="1"/>
  <c r="AL587" i="1"/>
  <c r="AK587" i="1"/>
  <c r="AJ587" i="1"/>
  <c r="AI587" i="1"/>
  <c r="AH587" i="1"/>
  <c r="AT586" i="1"/>
  <c r="AS586" i="1"/>
  <c r="AQ586" i="1"/>
  <c r="AO586" i="1"/>
  <c r="AM586" i="1"/>
  <c r="AN586" i="1" s="1"/>
  <c r="AL586" i="1"/>
  <c r="AK586" i="1"/>
  <c r="AJ586" i="1"/>
  <c r="AI586" i="1"/>
  <c r="AH586" i="1"/>
  <c r="AT585" i="1"/>
  <c r="AS585" i="1"/>
  <c r="AQ585" i="1"/>
  <c r="AO585" i="1"/>
  <c r="AM585" i="1"/>
  <c r="AN585" i="1" s="1"/>
  <c r="AL585" i="1"/>
  <c r="AK585" i="1"/>
  <c r="AJ585" i="1"/>
  <c r="AI585" i="1"/>
  <c r="AH585" i="1"/>
  <c r="AT584" i="1"/>
  <c r="AS584" i="1"/>
  <c r="AQ584" i="1"/>
  <c r="AO584" i="1"/>
  <c r="AM584" i="1"/>
  <c r="AN584" i="1" s="1"/>
  <c r="AL584" i="1"/>
  <c r="AK584" i="1"/>
  <c r="AJ584" i="1"/>
  <c r="AI584" i="1"/>
  <c r="AH584" i="1"/>
  <c r="AT583" i="1"/>
  <c r="AS583" i="1"/>
  <c r="AQ583" i="1"/>
  <c r="AO583" i="1"/>
  <c r="AM583" i="1"/>
  <c r="AN583" i="1" s="1"/>
  <c r="AL583" i="1"/>
  <c r="AK583" i="1"/>
  <c r="AJ583" i="1"/>
  <c r="AI583" i="1"/>
  <c r="AH583" i="1"/>
  <c r="AT582" i="1"/>
  <c r="AS582" i="1"/>
  <c r="AQ582" i="1"/>
  <c r="AO582" i="1"/>
  <c r="AM582" i="1"/>
  <c r="AN582" i="1" s="1"/>
  <c r="AL582" i="1"/>
  <c r="AK582" i="1"/>
  <c r="AJ582" i="1"/>
  <c r="AI582" i="1"/>
  <c r="AH582" i="1"/>
  <c r="AT581" i="1"/>
  <c r="AS581" i="1"/>
  <c r="AQ581" i="1"/>
  <c r="AO581" i="1"/>
  <c r="AM581" i="1"/>
  <c r="AN581" i="1" s="1"/>
  <c r="AL581" i="1"/>
  <c r="AK581" i="1"/>
  <c r="AJ581" i="1"/>
  <c r="AI581" i="1"/>
  <c r="AH581" i="1"/>
  <c r="AT580" i="1"/>
  <c r="AS580" i="1"/>
  <c r="AQ580" i="1"/>
  <c r="AO580" i="1"/>
  <c r="AM580" i="1"/>
  <c r="AN580" i="1" s="1"/>
  <c r="AL580" i="1"/>
  <c r="AK580" i="1"/>
  <c r="AJ580" i="1"/>
  <c r="AI580" i="1"/>
  <c r="AH580" i="1"/>
  <c r="AT579" i="1"/>
  <c r="AS579" i="1"/>
  <c r="AQ579" i="1"/>
  <c r="AO579" i="1"/>
  <c r="AM579" i="1"/>
  <c r="AN579" i="1" s="1"/>
  <c r="AL579" i="1"/>
  <c r="AK579" i="1"/>
  <c r="AJ579" i="1"/>
  <c r="AI579" i="1"/>
  <c r="AH579" i="1"/>
  <c r="AT578" i="1"/>
  <c r="AS578" i="1"/>
  <c r="AQ578" i="1"/>
  <c r="AO578" i="1"/>
  <c r="AM578" i="1"/>
  <c r="AN578" i="1" s="1"/>
  <c r="AL578" i="1"/>
  <c r="AK578" i="1"/>
  <c r="AJ578" i="1"/>
  <c r="AI578" i="1"/>
  <c r="AH578" i="1"/>
  <c r="AT577" i="1"/>
  <c r="AS577" i="1"/>
  <c r="AQ577" i="1"/>
  <c r="AO577" i="1"/>
  <c r="AM577" i="1"/>
  <c r="AN577" i="1" s="1"/>
  <c r="AL577" i="1"/>
  <c r="AK577" i="1"/>
  <c r="AJ577" i="1"/>
  <c r="AI577" i="1"/>
  <c r="AH577" i="1"/>
  <c r="AT576" i="1"/>
  <c r="AS576" i="1"/>
  <c r="AQ576" i="1"/>
  <c r="AO576" i="1"/>
  <c r="AM576" i="1"/>
  <c r="AN576" i="1" s="1"/>
  <c r="AL576" i="1"/>
  <c r="AK576" i="1"/>
  <c r="AJ576" i="1"/>
  <c r="AI576" i="1"/>
  <c r="AH576" i="1"/>
  <c r="AT575" i="1"/>
  <c r="AS575" i="1"/>
  <c r="AQ575" i="1"/>
  <c r="AO575" i="1"/>
  <c r="AM575" i="1"/>
  <c r="AN575" i="1" s="1"/>
  <c r="AL575" i="1"/>
  <c r="AK575" i="1"/>
  <c r="AJ575" i="1"/>
  <c r="AI575" i="1"/>
  <c r="AH575" i="1"/>
  <c r="AT574" i="1"/>
  <c r="AS574" i="1"/>
  <c r="AQ574" i="1"/>
  <c r="AO574" i="1"/>
  <c r="AM574" i="1"/>
  <c r="AN574" i="1" s="1"/>
  <c r="AL574" i="1"/>
  <c r="AK574" i="1"/>
  <c r="AJ574" i="1"/>
  <c r="AI574" i="1"/>
  <c r="AH574" i="1"/>
  <c r="AT573" i="1"/>
  <c r="AS573" i="1"/>
  <c r="AQ573" i="1"/>
  <c r="AO573" i="1"/>
  <c r="AM573" i="1"/>
  <c r="AN573" i="1" s="1"/>
  <c r="AL573" i="1"/>
  <c r="AK573" i="1"/>
  <c r="AJ573" i="1"/>
  <c r="AI573" i="1"/>
  <c r="AH573" i="1"/>
  <c r="AT572" i="1"/>
  <c r="AS572" i="1"/>
  <c r="AQ572" i="1"/>
  <c r="AO572" i="1"/>
  <c r="AM572" i="1"/>
  <c r="AN572" i="1" s="1"/>
  <c r="AL572" i="1"/>
  <c r="AK572" i="1"/>
  <c r="AJ572" i="1"/>
  <c r="AI572" i="1"/>
  <c r="AH572" i="1"/>
  <c r="AT571" i="1"/>
  <c r="AS571" i="1"/>
  <c r="AQ571" i="1"/>
  <c r="AO571" i="1"/>
  <c r="AM571" i="1"/>
  <c r="AN571" i="1" s="1"/>
  <c r="AL571" i="1"/>
  <c r="AK571" i="1"/>
  <c r="AJ571" i="1"/>
  <c r="AI571" i="1"/>
  <c r="AH571" i="1"/>
  <c r="AT570" i="1"/>
  <c r="AS570" i="1"/>
  <c r="AQ570" i="1"/>
  <c r="AO570" i="1"/>
  <c r="AM570" i="1"/>
  <c r="AN570" i="1" s="1"/>
  <c r="AL570" i="1"/>
  <c r="AK570" i="1"/>
  <c r="AJ570" i="1"/>
  <c r="AI570" i="1"/>
  <c r="AH570" i="1"/>
  <c r="AT569" i="1"/>
  <c r="AS569" i="1"/>
  <c r="AQ569" i="1"/>
  <c r="AO569" i="1"/>
  <c r="AM569" i="1"/>
  <c r="AN569" i="1" s="1"/>
  <c r="AL569" i="1"/>
  <c r="AK569" i="1"/>
  <c r="AJ569" i="1"/>
  <c r="AI569" i="1"/>
  <c r="AH569" i="1"/>
  <c r="AT568" i="1"/>
  <c r="AS568" i="1"/>
  <c r="AQ568" i="1"/>
  <c r="AO568" i="1"/>
  <c r="AM568" i="1"/>
  <c r="AN568" i="1" s="1"/>
  <c r="AL568" i="1"/>
  <c r="AK568" i="1"/>
  <c r="AJ568" i="1"/>
  <c r="AI568" i="1"/>
  <c r="AH568" i="1"/>
  <c r="AT567" i="1"/>
  <c r="AS567" i="1"/>
  <c r="AQ567" i="1"/>
  <c r="AO567" i="1"/>
  <c r="AM567" i="1"/>
  <c r="AN567" i="1" s="1"/>
  <c r="AL567" i="1"/>
  <c r="AK567" i="1"/>
  <c r="AJ567" i="1"/>
  <c r="AI567" i="1"/>
  <c r="AH567" i="1"/>
  <c r="AT566" i="1"/>
  <c r="AS566" i="1"/>
  <c r="AQ566" i="1"/>
  <c r="AO566" i="1"/>
  <c r="AM566" i="1"/>
  <c r="AN566" i="1" s="1"/>
  <c r="AL566" i="1"/>
  <c r="AK566" i="1"/>
  <c r="AJ566" i="1"/>
  <c r="AI566" i="1"/>
  <c r="AH566" i="1"/>
  <c r="AT565" i="1"/>
  <c r="AS565" i="1"/>
  <c r="AQ565" i="1"/>
  <c r="AO565" i="1"/>
  <c r="AM565" i="1"/>
  <c r="AN565" i="1" s="1"/>
  <c r="AL565" i="1"/>
  <c r="AK565" i="1"/>
  <c r="AJ565" i="1"/>
  <c r="AI565" i="1"/>
  <c r="AH565" i="1"/>
  <c r="AT564" i="1"/>
  <c r="AS564" i="1"/>
  <c r="AQ564" i="1"/>
  <c r="AO564" i="1"/>
  <c r="AM564" i="1"/>
  <c r="AN564" i="1" s="1"/>
  <c r="AL564" i="1"/>
  <c r="AK564" i="1"/>
  <c r="AJ564" i="1"/>
  <c r="AI564" i="1"/>
  <c r="AH564" i="1"/>
  <c r="AT563" i="1"/>
  <c r="AS563" i="1"/>
  <c r="AQ563" i="1"/>
  <c r="AO563" i="1"/>
  <c r="AM563" i="1"/>
  <c r="AN563" i="1" s="1"/>
  <c r="AL563" i="1"/>
  <c r="AK563" i="1"/>
  <c r="AJ563" i="1"/>
  <c r="AI563" i="1"/>
  <c r="AH563" i="1"/>
  <c r="AT562" i="1"/>
  <c r="AS562" i="1"/>
  <c r="AQ562" i="1"/>
  <c r="AO562" i="1"/>
  <c r="AM562" i="1"/>
  <c r="AN562" i="1" s="1"/>
  <c r="AL562" i="1"/>
  <c r="AK562" i="1"/>
  <c r="AJ562" i="1"/>
  <c r="AI562" i="1"/>
  <c r="AH562" i="1"/>
  <c r="AT561" i="1"/>
  <c r="AS561" i="1"/>
  <c r="AQ561" i="1"/>
  <c r="AO561" i="1"/>
  <c r="AM561" i="1"/>
  <c r="AN561" i="1" s="1"/>
  <c r="AL561" i="1"/>
  <c r="AK561" i="1"/>
  <c r="AJ561" i="1"/>
  <c r="AI561" i="1"/>
  <c r="AH561" i="1"/>
  <c r="AT560" i="1"/>
  <c r="AS560" i="1"/>
  <c r="AQ560" i="1"/>
  <c r="AO560" i="1"/>
  <c r="AM560" i="1"/>
  <c r="AN560" i="1" s="1"/>
  <c r="AL560" i="1"/>
  <c r="AK560" i="1"/>
  <c r="AJ560" i="1"/>
  <c r="AI560" i="1"/>
  <c r="AH560" i="1"/>
  <c r="AT559" i="1"/>
  <c r="AS559" i="1"/>
  <c r="AQ559" i="1"/>
  <c r="AO559" i="1"/>
  <c r="AM559" i="1"/>
  <c r="AN559" i="1" s="1"/>
  <c r="AL559" i="1"/>
  <c r="AK559" i="1"/>
  <c r="AJ559" i="1"/>
  <c r="AI559" i="1"/>
  <c r="AH559" i="1"/>
  <c r="AT558" i="1"/>
  <c r="AS558" i="1"/>
  <c r="AQ558" i="1"/>
  <c r="AO558" i="1"/>
  <c r="AM558" i="1"/>
  <c r="AN558" i="1" s="1"/>
  <c r="AL558" i="1"/>
  <c r="AK558" i="1"/>
  <c r="AJ558" i="1"/>
  <c r="AI558" i="1"/>
  <c r="AH558" i="1"/>
  <c r="AT557" i="1"/>
  <c r="AS557" i="1"/>
  <c r="AQ557" i="1"/>
  <c r="AO557" i="1"/>
  <c r="AM557" i="1"/>
  <c r="AN557" i="1" s="1"/>
  <c r="AL557" i="1"/>
  <c r="AK557" i="1"/>
  <c r="AJ557" i="1"/>
  <c r="AI557" i="1"/>
  <c r="AH557" i="1"/>
  <c r="AT556" i="1"/>
  <c r="AS556" i="1"/>
  <c r="AQ556" i="1"/>
  <c r="AO556" i="1"/>
  <c r="AM556" i="1"/>
  <c r="AN556" i="1" s="1"/>
  <c r="AL556" i="1"/>
  <c r="AK556" i="1"/>
  <c r="AJ556" i="1"/>
  <c r="AI556" i="1"/>
  <c r="AH556" i="1"/>
  <c r="AT555" i="1"/>
  <c r="AS555" i="1"/>
  <c r="AQ555" i="1"/>
  <c r="AO555" i="1"/>
  <c r="AM555" i="1"/>
  <c r="AN555" i="1" s="1"/>
  <c r="AL555" i="1"/>
  <c r="AK555" i="1"/>
  <c r="AJ555" i="1"/>
  <c r="AI555" i="1"/>
  <c r="AH555" i="1"/>
  <c r="AT554" i="1"/>
  <c r="AS554" i="1"/>
  <c r="AQ554" i="1"/>
  <c r="AO554" i="1"/>
  <c r="AM554" i="1"/>
  <c r="AN554" i="1" s="1"/>
  <c r="AL554" i="1"/>
  <c r="AK554" i="1"/>
  <c r="AJ554" i="1"/>
  <c r="AI554" i="1"/>
  <c r="AH554" i="1"/>
  <c r="AT553" i="1"/>
  <c r="AS553" i="1"/>
  <c r="AQ553" i="1"/>
  <c r="AO553" i="1"/>
  <c r="AM553" i="1"/>
  <c r="AN553" i="1" s="1"/>
  <c r="AL553" i="1"/>
  <c r="AK553" i="1"/>
  <c r="AJ553" i="1"/>
  <c r="AI553" i="1"/>
  <c r="AH553" i="1"/>
  <c r="AT552" i="1"/>
  <c r="AS552" i="1"/>
  <c r="AQ552" i="1"/>
  <c r="AO552" i="1"/>
  <c r="AM552" i="1"/>
  <c r="AN552" i="1" s="1"/>
  <c r="AL552" i="1"/>
  <c r="AK552" i="1"/>
  <c r="AJ552" i="1"/>
  <c r="AI552" i="1"/>
  <c r="AH552" i="1"/>
  <c r="AT551" i="1"/>
  <c r="AS551" i="1"/>
  <c r="AQ551" i="1"/>
  <c r="AO551" i="1"/>
  <c r="AN551" i="1"/>
  <c r="AM551" i="1"/>
  <c r="AL551" i="1"/>
  <c r="AK551" i="1"/>
  <c r="AJ551" i="1"/>
  <c r="AI551" i="1"/>
  <c r="AH551" i="1"/>
  <c r="AT550" i="1"/>
  <c r="AS550" i="1"/>
  <c r="AQ550" i="1"/>
  <c r="AO550" i="1"/>
  <c r="AM550" i="1"/>
  <c r="AN550" i="1" s="1"/>
  <c r="AL550" i="1"/>
  <c r="AK550" i="1"/>
  <c r="AJ550" i="1"/>
  <c r="AI550" i="1"/>
  <c r="AH550" i="1"/>
  <c r="AT549" i="1"/>
  <c r="AS549" i="1"/>
  <c r="AQ549" i="1"/>
  <c r="AO549" i="1"/>
  <c r="AM549" i="1"/>
  <c r="AN549" i="1" s="1"/>
  <c r="AL549" i="1"/>
  <c r="AK549" i="1"/>
  <c r="AJ549" i="1"/>
  <c r="AI549" i="1"/>
  <c r="AH549" i="1"/>
  <c r="AT548" i="1"/>
  <c r="AS548" i="1"/>
  <c r="AQ548" i="1"/>
  <c r="AO548" i="1"/>
  <c r="AM548" i="1"/>
  <c r="AN548" i="1" s="1"/>
  <c r="AL548" i="1"/>
  <c r="AK548" i="1"/>
  <c r="AJ548" i="1"/>
  <c r="AI548" i="1"/>
  <c r="AH548" i="1"/>
  <c r="AT547" i="1"/>
  <c r="AS547" i="1"/>
  <c r="AQ547" i="1"/>
  <c r="AO547" i="1"/>
  <c r="AM547" i="1"/>
  <c r="AN547" i="1" s="1"/>
  <c r="AL547" i="1"/>
  <c r="AK547" i="1"/>
  <c r="AJ547" i="1"/>
  <c r="AI547" i="1"/>
  <c r="AH547" i="1"/>
  <c r="AT546" i="1"/>
  <c r="AS546" i="1"/>
  <c r="AQ546" i="1"/>
  <c r="AO546" i="1"/>
  <c r="AM546" i="1"/>
  <c r="AN546" i="1" s="1"/>
  <c r="AL546" i="1"/>
  <c r="AK546" i="1"/>
  <c r="AJ546" i="1"/>
  <c r="AI546" i="1"/>
  <c r="AH546" i="1"/>
  <c r="AT545" i="1"/>
  <c r="AS545" i="1"/>
  <c r="AQ545" i="1"/>
  <c r="AO545" i="1"/>
  <c r="AP545" i="1" s="1"/>
  <c r="AM545" i="1"/>
  <c r="AN545" i="1" s="1"/>
  <c r="AL545" i="1"/>
  <c r="AK545" i="1"/>
  <c r="AJ545" i="1"/>
  <c r="AI545" i="1"/>
  <c r="AH545" i="1"/>
  <c r="AT544" i="1"/>
  <c r="AS544" i="1"/>
  <c r="AQ544" i="1"/>
  <c r="AO544" i="1"/>
  <c r="AM544" i="1"/>
  <c r="AN544" i="1" s="1"/>
  <c r="AL544" i="1"/>
  <c r="AK544" i="1"/>
  <c r="AJ544" i="1"/>
  <c r="AI544" i="1"/>
  <c r="AH544" i="1"/>
  <c r="AT543" i="1"/>
  <c r="AS543" i="1"/>
  <c r="AQ543" i="1"/>
  <c r="AO543" i="1"/>
  <c r="AM543" i="1"/>
  <c r="AN543" i="1" s="1"/>
  <c r="AL543" i="1"/>
  <c r="AK543" i="1"/>
  <c r="AJ543" i="1"/>
  <c r="AI543" i="1"/>
  <c r="AH543" i="1"/>
  <c r="AT542" i="1"/>
  <c r="AS542" i="1"/>
  <c r="AQ542" i="1"/>
  <c r="AO542" i="1"/>
  <c r="AM542" i="1"/>
  <c r="AN542" i="1" s="1"/>
  <c r="AL542" i="1"/>
  <c r="AK542" i="1"/>
  <c r="AJ542" i="1"/>
  <c r="AI542" i="1"/>
  <c r="AH542" i="1"/>
  <c r="AT541" i="1"/>
  <c r="AS541" i="1"/>
  <c r="AQ541" i="1"/>
  <c r="AO541" i="1"/>
  <c r="AM541" i="1"/>
  <c r="AN541" i="1" s="1"/>
  <c r="AL541" i="1"/>
  <c r="AK541" i="1"/>
  <c r="AJ541" i="1"/>
  <c r="AI541" i="1"/>
  <c r="AH541" i="1"/>
  <c r="AT540" i="1"/>
  <c r="AS540" i="1"/>
  <c r="AQ540" i="1"/>
  <c r="AO540" i="1"/>
  <c r="AM540" i="1"/>
  <c r="AN540" i="1" s="1"/>
  <c r="AL540" i="1"/>
  <c r="AK540" i="1"/>
  <c r="AJ540" i="1"/>
  <c r="AI540" i="1"/>
  <c r="AH540" i="1"/>
  <c r="AT539" i="1"/>
  <c r="AS539" i="1"/>
  <c r="AQ539" i="1"/>
  <c r="AO539" i="1"/>
  <c r="AM539" i="1"/>
  <c r="AN539" i="1" s="1"/>
  <c r="AL539" i="1"/>
  <c r="AK539" i="1"/>
  <c r="AJ539" i="1"/>
  <c r="AI539" i="1"/>
  <c r="AH539" i="1"/>
  <c r="AT538" i="1"/>
  <c r="AS538" i="1"/>
  <c r="AQ538" i="1"/>
  <c r="AO538" i="1"/>
  <c r="AM538" i="1"/>
  <c r="AN538" i="1" s="1"/>
  <c r="AL538" i="1"/>
  <c r="AK538" i="1"/>
  <c r="AJ538" i="1"/>
  <c r="AI538" i="1"/>
  <c r="AH538" i="1"/>
  <c r="AT537" i="1"/>
  <c r="AS537" i="1"/>
  <c r="AQ537" i="1"/>
  <c r="AO537" i="1"/>
  <c r="AM537" i="1"/>
  <c r="AN537" i="1" s="1"/>
  <c r="AL537" i="1"/>
  <c r="AK537" i="1"/>
  <c r="AJ537" i="1"/>
  <c r="AI537" i="1"/>
  <c r="AH537" i="1"/>
  <c r="AT536" i="1"/>
  <c r="AS536" i="1"/>
  <c r="AQ536" i="1"/>
  <c r="AO536" i="1"/>
  <c r="AM536" i="1"/>
  <c r="AN536" i="1" s="1"/>
  <c r="AL536" i="1"/>
  <c r="AK536" i="1"/>
  <c r="AJ536" i="1"/>
  <c r="AI536" i="1"/>
  <c r="AH536" i="1"/>
  <c r="AT535" i="1"/>
  <c r="AS535" i="1"/>
  <c r="AQ535" i="1"/>
  <c r="AO535" i="1"/>
  <c r="AM535" i="1"/>
  <c r="AN535" i="1" s="1"/>
  <c r="AL535" i="1"/>
  <c r="AK535" i="1"/>
  <c r="AJ535" i="1"/>
  <c r="AI535" i="1"/>
  <c r="AH535" i="1"/>
  <c r="AT534" i="1"/>
  <c r="AS534" i="1"/>
  <c r="AQ534" i="1"/>
  <c r="AO534" i="1"/>
  <c r="AM534" i="1"/>
  <c r="AN534" i="1" s="1"/>
  <c r="AL534" i="1"/>
  <c r="AK534" i="1"/>
  <c r="AJ534" i="1"/>
  <c r="AI534" i="1"/>
  <c r="AH534" i="1"/>
  <c r="AT533" i="1"/>
  <c r="AS533" i="1"/>
  <c r="AQ533" i="1"/>
  <c r="AO533" i="1"/>
  <c r="AM533" i="1"/>
  <c r="AN533" i="1" s="1"/>
  <c r="AL533" i="1"/>
  <c r="AK533" i="1"/>
  <c r="AJ533" i="1"/>
  <c r="AI533" i="1"/>
  <c r="AH533" i="1"/>
  <c r="AT532" i="1"/>
  <c r="AS532" i="1"/>
  <c r="AQ532" i="1"/>
  <c r="AO532" i="1"/>
  <c r="AM532" i="1"/>
  <c r="AN532" i="1" s="1"/>
  <c r="AL532" i="1"/>
  <c r="AK532" i="1"/>
  <c r="AJ532" i="1"/>
  <c r="AI532" i="1"/>
  <c r="AH532" i="1"/>
  <c r="AT531" i="1"/>
  <c r="AS531" i="1"/>
  <c r="AQ531" i="1"/>
  <c r="AO531" i="1"/>
  <c r="AM531" i="1"/>
  <c r="AN531" i="1" s="1"/>
  <c r="AL531" i="1"/>
  <c r="AK531" i="1"/>
  <c r="AJ531" i="1"/>
  <c r="AI531" i="1"/>
  <c r="AH531" i="1"/>
  <c r="AT530" i="1"/>
  <c r="AS530" i="1"/>
  <c r="AQ530" i="1"/>
  <c r="AO530" i="1"/>
  <c r="AM530" i="1"/>
  <c r="AN530" i="1" s="1"/>
  <c r="AL530" i="1"/>
  <c r="AK530" i="1"/>
  <c r="AJ530" i="1"/>
  <c r="AI530" i="1"/>
  <c r="AH530" i="1"/>
  <c r="AT529" i="1"/>
  <c r="AS529" i="1"/>
  <c r="AQ529" i="1"/>
  <c r="AO529" i="1"/>
  <c r="AM529" i="1"/>
  <c r="AN529" i="1" s="1"/>
  <c r="AL529" i="1"/>
  <c r="AK529" i="1"/>
  <c r="AJ529" i="1"/>
  <c r="AI529" i="1"/>
  <c r="AH529" i="1"/>
  <c r="AT528" i="1"/>
  <c r="AS528" i="1"/>
  <c r="AQ528" i="1"/>
  <c r="AO528" i="1"/>
  <c r="AM528" i="1"/>
  <c r="AN528" i="1" s="1"/>
  <c r="AL528" i="1"/>
  <c r="AK528" i="1"/>
  <c r="AJ528" i="1"/>
  <c r="AI528" i="1"/>
  <c r="AH528" i="1"/>
  <c r="AT527" i="1"/>
  <c r="AS527" i="1"/>
  <c r="AQ527" i="1"/>
  <c r="AO527" i="1"/>
  <c r="AM527" i="1"/>
  <c r="AN527" i="1" s="1"/>
  <c r="AL527" i="1"/>
  <c r="AK527" i="1"/>
  <c r="AJ527" i="1"/>
  <c r="AI527" i="1"/>
  <c r="AH527" i="1"/>
  <c r="AT526" i="1"/>
  <c r="AS526" i="1"/>
  <c r="AQ526" i="1"/>
  <c r="AO526" i="1"/>
  <c r="AM526" i="1"/>
  <c r="AN526" i="1" s="1"/>
  <c r="AL526" i="1"/>
  <c r="AK526" i="1"/>
  <c r="AJ526" i="1"/>
  <c r="AI526" i="1"/>
  <c r="AH526" i="1"/>
  <c r="AT525" i="1"/>
  <c r="AS525" i="1"/>
  <c r="AQ525" i="1"/>
  <c r="AO525" i="1"/>
  <c r="AM525" i="1"/>
  <c r="AN525" i="1" s="1"/>
  <c r="AL525" i="1"/>
  <c r="AK525" i="1"/>
  <c r="AJ525" i="1"/>
  <c r="AI525" i="1"/>
  <c r="AH525" i="1"/>
  <c r="AT524" i="1"/>
  <c r="AS524" i="1"/>
  <c r="AQ524" i="1"/>
  <c r="AO524" i="1"/>
  <c r="AM524" i="1"/>
  <c r="AN524" i="1" s="1"/>
  <c r="AL524" i="1"/>
  <c r="AK524" i="1"/>
  <c r="AJ524" i="1"/>
  <c r="AI524" i="1"/>
  <c r="AH524" i="1"/>
  <c r="AT523" i="1"/>
  <c r="AS523" i="1"/>
  <c r="AQ523" i="1"/>
  <c r="AO523" i="1"/>
  <c r="AM523" i="1"/>
  <c r="AN523" i="1" s="1"/>
  <c r="AL523" i="1"/>
  <c r="AK523" i="1"/>
  <c r="AJ523" i="1"/>
  <c r="AI523" i="1"/>
  <c r="AH523" i="1"/>
  <c r="AT522" i="1"/>
  <c r="AS522" i="1"/>
  <c r="AQ522" i="1"/>
  <c r="AO522" i="1"/>
  <c r="AM522" i="1"/>
  <c r="AN522" i="1" s="1"/>
  <c r="AL522" i="1"/>
  <c r="AK522" i="1"/>
  <c r="AJ522" i="1"/>
  <c r="AI522" i="1"/>
  <c r="AH522" i="1"/>
  <c r="AT521" i="1"/>
  <c r="AS521" i="1"/>
  <c r="AQ521" i="1"/>
  <c r="AO521" i="1"/>
  <c r="AM521" i="1"/>
  <c r="AN521" i="1" s="1"/>
  <c r="AL521" i="1"/>
  <c r="AK521" i="1"/>
  <c r="AJ521" i="1"/>
  <c r="AI521" i="1"/>
  <c r="AH521" i="1"/>
  <c r="AT520" i="1"/>
  <c r="AS520" i="1"/>
  <c r="AQ520" i="1"/>
  <c r="AO520" i="1"/>
  <c r="AM520" i="1"/>
  <c r="AN520" i="1" s="1"/>
  <c r="AL520" i="1"/>
  <c r="AK520" i="1"/>
  <c r="AJ520" i="1"/>
  <c r="AI520" i="1"/>
  <c r="AH520" i="1"/>
  <c r="AT519" i="1"/>
  <c r="AS519" i="1"/>
  <c r="AQ519" i="1"/>
  <c r="AO519" i="1"/>
  <c r="AM519" i="1"/>
  <c r="AN519" i="1" s="1"/>
  <c r="AL519" i="1"/>
  <c r="AK519" i="1"/>
  <c r="AJ519" i="1"/>
  <c r="AI519" i="1"/>
  <c r="AH519" i="1"/>
  <c r="AT518" i="1"/>
  <c r="AS518" i="1"/>
  <c r="AQ518" i="1"/>
  <c r="AO518" i="1"/>
  <c r="AM518" i="1"/>
  <c r="AN518" i="1" s="1"/>
  <c r="AL518" i="1"/>
  <c r="AK518" i="1"/>
  <c r="AJ518" i="1"/>
  <c r="AI518" i="1"/>
  <c r="AH518" i="1"/>
  <c r="AT517" i="1"/>
  <c r="AS517" i="1"/>
  <c r="AQ517" i="1"/>
  <c r="AO517" i="1"/>
  <c r="AM517" i="1"/>
  <c r="AN517" i="1" s="1"/>
  <c r="AL517" i="1"/>
  <c r="AK517" i="1"/>
  <c r="AJ517" i="1"/>
  <c r="AI517" i="1"/>
  <c r="AH517" i="1"/>
  <c r="AT516" i="1"/>
  <c r="AS516" i="1"/>
  <c r="AQ516" i="1"/>
  <c r="AO516" i="1"/>
  <c r="AM516" i="1"/>
  <c r="AN516" i="1" s="1"/>
  <c r="AL516" i="1"/>
  <c r="AK516" i="1"/>
  <c r="AJ516" i="1"/>
  <c r="AI516" i="1"/>
  <c r="AH516" i="1"/>
  <c r="AT515" i="1"/>
  <c r="AS515" i="1"/>
  <c r="AQ515" i="1"/>
  <c r="AO515" i="1"/>
  <c r="AM515" i="1"/>
  <c r="AN515" i="1" s="1"/>
  <c r="AL515" i="1"/>
  <c r="AK515" i="1"/>
  <c r="AJ515" i="1"/>
  <c r="AI515" i="1"/>
  <c r="AH515" i="1"/>
  <c r="AT514" i="1"/>
  <c r="AS514" i="1"/>
  <c r="AQ514" i="1"/>
  <c r="AO514" i="1"/>
  <c r="AM514" i="1"/>
  <c r="AN514" i="1" s="1"/>
  <c r="AL514" i="1"/>
  <c r="AK514" i="1"/>
  <c r="AJ514" i="1"/>
  <c r="AI514" i="1"/>
  <c r="AH514" i="1"/>
  <c r="AT513" i="1"/>
  <c r="AS513" i="1"/>
  <c r="AQ513" i="1"/>
  <c r="AO513" i="1"/>
  <c r="AM513" i="1"/>
  <c r="AN513" i="1" s="1"/>
  <c r="AL513" i="1"/>
  <c r="AK513" i="1"/>
  <c r="AJ513" i="1"/>
  <c r="AI513" i="1"/>
  <c r="AH513" i="1"/>
  <c r="AT512" i="1"/>
  <c r="AS512" i="1"/>
  <c r="AQ512" i="1"/>
  <c r="AO512" i="1"/>
  <c r="AM512" i="1"/>
  <c r="AN512" i="1" s="1"/>
  <c r="AL512" i="1"/>
  <c r="AK512" i="1"/>
  <c r="AJ512" i="1"/>
  <c r="AI512" i="1"/>
  <c r="AH512" i="1"/>
  <c r="AT511" i="1"/>
  <c r="AS511" i="1"/>
  <c r="AQ511" i="1"/>
  <c r="AO511" i="1"/>
  <c r="AM511" i="1"/>
  <c r="AN511" i="1" s="1"/>
  <c r="AP511" i="1" s="1"/>
  <c r="AL511" i="1"/>
  <c r="AK511" i="1"/>
  <c r="AJ511" i="1"/>
  <c r="AI511" i="1"/>
  <c r="AH511" i="1"/>
  <c r="AT510" i="1"/>
  <c r="AS510" i="1"/>
  <c r="AQ510" i="1"/>
  <c r="AO510" i="1"/>
  <c r="AM510" i="1"/>
  <c r="AN510" i="1" s="1"/>
  <c r="AL510" i="1"/>
  <c r="AK510" i="1"/>
  <c r="AJ510" i="1"/>
  <c r="AI510" i="1"/>
  <c r="AH510" i="1"/>
  <c r="AT509" i="1"/>
  <c r="AS509" i="1"/>
  <c r="AQ509" i="1"/>
  <c r="AO509" i="1"/>
  <c r="AM509" i="1"/>
  <c r="AN509" i="1" s="1"/>
  <c r="AL509" i="1"/>
  <c r="AK509" i="1"/>
  <c r="AJ509" i="1"/>
  <c r="AI509" i="1"/>
  <c r="AH509" i="1"/>
  <c r="AT508" i="1"/>
  <c r="AS508" i="1"/>
  <c r="AQ508" i="1"/>
  <c r="AO508" i="1"/>
  <c r="AM508" i="1"/>
  <c r="AN508" i="1" s="1"/>
  <c r="AL508" i="1"/>
  <c r="AK508" i="1"/>
  <c r="AJ508" i="1"/>
  <c r="AI508" i="1"/>
  <c r="AH508" i="1"/>
  <c r="AT507" i="1"/>
  <c r="AS507" i="1"/>
  <c r="AQ507" i="1"/>
  <c r="AO507" i="1"/>
  <c r="AM507" i="1"/>
  <c r="AN507" i="1" s="1"/>
  <c r="AL507" i="1"/>
  <c r="AK507" i="1"/>
  <c r="AJ507" i="1"/>
  <c r="AI507" i="1"/>
  <c r="AH507" i="1"/>
  <c r="AT506" i="1"/>
  <c r="AS506" i="1"/>
  <c r="AQ506" i="1"/>
  <c r="AO506" i="1"/>
  <c r="AM506" i="1"/>
  <c r="AN506" i="1" s="1"/>
  <c r="AL506" i="1"/>
  <c r="AK506" i="1"/>
  <c r="AJ506" i="1"/>
  <c r="AI506" i="1"/>
  <c r="AH506" i="1"/>
  <c r="AT505" i="1"/>
  <c r="AS505" i="1"/>
  <c r="AQ505" i="1"/>
  <c r="AO505" i="1"/>
  <c r="AM505" i="1"/>
  <c r="AN505" i="1" s="1"/>
  <c r="AL505" i="1"/>
  <c r="AK505" i="1"/>
  <c r="AJ505" i="1"/>
  <c r="AI505" i="1"/>
  <c r="AH505" i="1"/>
  <c r="AT504" i="1"/>
  <c r="AS504" i="1"/>
  <c r="AQ504" i="1"/>
  <c r="AO504" i="1"/>
  <c r="AM504" i="1"/>
  <c r="AN504" i="1" s="1"/>
  <c r="AL504" i="1"/>
  <c r="AK504" i="1"/>
  <c r="AJ504" i="1"/>
  <c r="AI504" i="1"/>
  <c r="AH504" i="1"/>
  <c r="AT503" i="1"/>
  <c r="AS503" i="1"/>
  <c r="AQ503" i="1"/>
  <c r="AO503" i="1"/>
  <c r="AM503" i="1"/>
  <c r="AN503" i="1" s="1"/>
  <c r="AL503" i="1"/>
  <c r="AK503" i="1"/>
  <c r="AJ503" i="1"/>
  <c r="AI503" i="1"/>
  <c r="AH503" i="1"/>
  <c r="AT502" i="1"/>
  <c r="AS502" i="1"/>
  <c r="AQ502" i="1"/>
  <c r="AO502" i="1"/>
  <c r="AM502" i="1"/>
  <c r="AN502" i="1" s="1"/>
  <c r="AL502" i="1"/>
  <c r="AK502" i="1"/>
  <c r="AJ502" i="1"/>
  <c r="AI502" i="1"/>
  <c r="AH502" i="1"/>
  <c r="AT501" i="1"/>
  <c r="AS501" i="1"/>
  <c r="AQ501" i="1"/>
  <c r="AO501" i="1"/>
  <c r="AM501" i="1"/>
  <c r="AN501" i="1" s="1"/>
  <c r="AL501" i="1"/>
  <c r="AK501" i="1"/>
  <c r="AJ501" i="1"/>
  <c r="AI501" i="1"/>
  <c r="AH501" i="1"/>
  <c r="AT500" i="1"/>
  <c r="AS500" i="1"/>
  <c r="AQ500" i="1"/>
  <c r="AO500" i="1"/>
  <c r="AM500" i="1"/>
  <c r="AN500" i="1" s="1"/>
  <c r="AL500" i="1"/>
  <c r="AK500" i="1"/>
  <c r="AJ500" i="1"/>
  <c r="AI500" i="1"/>
  <c r="AH500" i="1"/>
  <c r="AT499" i="1"/>
  <c r="AS499" i="1"/>
  <c r="AQ499" i="1"/>
  <c r="AO499" i="1"/>
  <c r="AM499" i="1"/>
  <c r="AN499" i="1" s="1"/>
  <c r="AL499" i="1"/>
  <c r="AK499" i="1"/>
  <c r="AJ499" i="1"/>
  <c r="AI499" i="1"/>
  <c r="AH499" i="1"/>
  <c r="AT498" i="1"/>
  <c r="AS498" i="1"/>
  <c r="AQ498" i="1"/>
  <c r="AO498" i="1"/>
  <c r="AM498" i="1"/>
  <c r="AN498" i="1" s="1"/>
  <c r="AL498" i="1"/>
  <c r="AK498" i="1"/>
  <c r="AJ498" i="1"/>
  <c r="AI498" i="1"/>
  <c r="AH498" i="1"/>
  <c r="AT497" i="1"/>
  <c r="AS497" i="1"/>
  <c r="AQ497" i="1"/>
  <c r="AO497" i="1"/>
  <c r="AM497" i="1"/>
  <c r="AN497" i="1" s="1"/>
  <c r="AL497" i="1"/>
  <c r="AK497" i="1"/>
  <c r="AJ497" i="1"/>
  <c r="AI497" i="1"/>
  <c r="AH497" i="1"/>
  <c r="AT496" i="1"/>
  <c r="AS496" i="1"/>
  <c r="AQ496" i="1"/>
  <c r="AO496" i="1"/>
  <c r="AM496" i="1"/>
  <c r="AN496" i="1" s="1"/>
  <c r="AL496" i="1"/>
  <c r="AK496" i="1"/>
  <c r="AJ496" i="1"/>
  <c r="AI496" i="1"/>
  <c r="AH496" i="1"/>
  <c r="AT495" i="1"/>
  <c r="AS495" i="1"/>
  <c r="AQ495" i="1"/>
  <c r="AO495" i="1"/>
  <c r="AM495" i="1"/>
  <c r="AN495" i="1" s="1"/>
  <c r="AL495" i="1"/>
  <c r="AK495" i="1"/>
  <c r="AJ495" i="1"/>
  <c r="AI495" i="1"/>
  <c r="AH495" i="1"/>
  <c r="AT494" i="1"/>
  <c r="AS494" i="1"/>
  <c r="AQ494" i="1"/>
  <c r="AO494" i="1"/>
  <c r="AM494" i="1"/>
  <c r="AN494" i="1" s="1"/>
  <c r="AL494" i="1"/>
  <c r="AK494" i="1"/>
  <c r="AJ494" i="1"/>
  <c r="AI494" i="1"/>
  <c r="AH494" i="1"/>
  <c r="AT493" i="1"/>
  <c r="AS493" i="1"/>
  <c r="AQ493" i="1"/>
  <c r="AO493" i="1"/>
  <c r="AM493" i="1"/>
  <c r="AN493" i="1" s="1"/>
  <c r="AL493" i="1"/>
  <c r="AK493" i="1"/>
  <c r="AJ493" i="1"/>
  <c r="AI493" i="1"/>
  <c r="AH493" i="1"/>
  <c r="AT492" i="1"/>
  <c r="AS492" i="1"/>
  <c r="AQ492" i="1"/>
  <c r="AO492" i="1"/>
  <c r="AM492" i="1"/>
  <c r="AN492" i="1" s="1"/>
  <c r="AL492" i="1"/>
  <c r="AK492" i="1"/>
  <c r="AJ492" i="1"/>
  <c r="AI492" i="1"/>
  <c r="AH492" i="1"/>
  <c r="AT491" i="1"/>
  <c r="AS491" i="1"/>
  <c r="AQ491" i="1"/>
  <c r="AO491" i="1"/>
  <c r="AM491" i="1"/>
  <c r="AN491" i="1" s="1"/>
  <c r="AL491" i="1"/>
  <c r="AK491" i="1"/>
  <c r="AJ491" i="1"/>
  <c r="AI491" i="1"/>
  <c r="AH491" i="1"/>
  <c r="AT490" i="1"/>
  <c r="AS490" i="1"/>
  <c r="AQ490" i="1"/>
  <c r="AO490" i="1"/>
  <c r="AM490" i="1"/>
  <c r="AN490" i="1" s="1"/>
  <c r="AL490" i="1"/>
  <c r="AK490" i="1"/>
  <c r="AJ490" i="1"/>
  <c r="AI490" i="1"/>
  <c r="AH490" i="1"/>
  <c r="AT489" i="1"/>
  <c r="AS489" i="1"/>
  <c r="AQ489" i="1"/>
  <c r="AO489" i="1"/>
  <c r="AM489" i="1"/>
  <c r="AN489" i="1" s="1"/>
  <c r="AL489" i="1"/>
  <c r="AK489" i="1"/>
  <c r="AJ489" i="1"/>
  <c r="AI489" i="1"/>
  <c r="AH489" i="1"/>
  <c r="AT488" i="1"/>
  <c r="AS488" i="1"/>
  <c r="AQ488" i="1"/>
  <c r="AO488" i="1"/>
  <c r="AM488" i="1"/>
  <c r="AN488" i="1" s="1"/>
  <c r="AL488" i="1"/>
  <c r="AK488" i="1"/>
  <c r="AJ488" i="1"/>
  <c r="AI488" i="1"/>
  <c r="AH488" i="1"/>
  <c r="AT487" i="1"/>
  <c r="AS487" i="1"/>
  <c r="AQ487" i="1"/>
  <c r="AO487" i="1"/>
  <c r="AM487" i="1"/>
  <c r="AN487" i="1" s="1"/>
  <c r="AL487" i="1"/>
  <c r="AK487" i="1"/>
  <c r="AJ487" i="1"/>
  <c r="AI487" i="1"/>
  <c r="AH487" i="1"/>
  <c r="AT486" i="1"/>
  <c r="AS486" i="1"/>
  <c r="AQ486" i="1"/>
  <c r="AO486" i="1"/>
  <c r="AM486" i="1"/>
  <c r="AN486" i="1" s="1"/>
  <c r="AL486" i="1"/>
  <c r="AK486" i="1"/>
  <c r="AJ486" i="1"/>
  <c r="AI486" i="1"/>
  <c r="AH486" i="1"/>
  <c r="AT485" i="1"/>
  <c r="AS485" i="1"/>
  <c r="AQ485" i="1"/>
  <c r="AO485" i="1"/>
  <c r="AM485" i="1"/>
  <c r="AN485" i="1" s="1"/>
  <c r="AL485" i="1"/>
  <c r="AK485" i="1"/>
  <c r="AJ485" i="1"/>
  <c r="AI485" i="1"/>
  <c r="AH485" i="1"/>
  <c r="AT484" i="1"/>
  <c r="AS484" i="1"/>
  <c r="AQ484" i="1"/>
  <c r="AO484" i="1"/>
  <c r="AM484" i="1"/>
  <c r="AN484" i="1" s="1"/>
  <c r="AL484" i="1"/>
  <c r="AK484" i="1"/>
  <c r="AJ484" i="1"/>
  <c r="AI484" i="1"/>
  <c r="AH484" i="1"/>
  <c r="AT483" i="1"/>
  <c r="AS483" i="1"/>
  <c r="AQ483" i="1"/>
  <c r="AO483" i="1"/>
  <c r="AM483" i="1"/>
  <c r="AN483" i="1" s="1"/>
  <c r="AL483" i="1"/>
  <c r="AK483" i="1"/>
  <c r="AJ483" i="1"/>
  <c r="AI483" i="1"/>
  <c r="AH483" i="1"/>
  <c r="AT482" i="1"/>
  <c r="AS482" i="1"/>
  <c r="AQ482" i="1"/>
  <c r="AO482" i="1"/>
  <c r="AM482" i="1"/>
  <c r="AN482" i="1" s="1"/>
  <c r="AL482" i="1"/>
  <c r="AK482" i="1"/>
  <c r="AJ482" i="1"/>
  <c r="AI482" i="1"/>
  <c r="AH482" i="1"/>
  <c r="AT481" i="1"/>
  <c r="AS481" i="1"/>
  <c r="AQ481" i="1"/>
  <c r="AO481" i="1"/>
  <c r="AM481" i="1"/>
  <c r="AN481" i="1" s="1"/>
  <c r="AL481" i="1"/>
  <c r="AK481" i="1"/>
  <c r="AJ481" i="1"/>
  <c r="AI481" i="1"/>
  <c r="AH481" i="1"/>
  <c r="AT480" i="1"/>
  <c r="AS480" i="1"/>
  <c r="AQ480" i="1"/>
  <c r="AO480" i="1"/>
  <c r="AM480" i="1"/>
  <c r="AN480" i="1" s="1"/>
  <c r="AL480" i="1"/>
  <c r="AK480" i="1"/>
  <c r="AJ480" i="1"/>
  <c r="AI480" i="1"/>
  <c r="AH480" i="1"/>
  <c r="AT479" i="1"/>
  <c r="AS479" i="1"/>
  <c r="AQ479" i="1"/>
  <c r="AO479" i="1"/>
  <c r="AM479" i="1"/>
  <c r="AN479" i="1" s="1"/>
  <c r="AL479" i="1"/>
  <c r="AK479" i="1"/>
  <c r="AJ479" i="1"/>
  <c r="AI479" i="1"/>
  <c r="AH479" i="1"/>
  <c r="AT478" i="1"/>
  <c r="AS478" i="1"/>
  <c r="AQ478" i="1"/>
  <c r="AO478" i="1"/>
  <c r="AM478" i="1"/>
  <c r="AN478" i="1" s="1"/>
  <c r="AL478" i="1"/>
  <c r="AK478" i="1"/>
  <c r="AJ478" i="1"/>
  <c r="AI478" i="1"/>
  <c r="AH478" i="1"/>
  <c r="AT477" i="1"/>
  <c r="AS477" i="1"/>
  <c r="AQ477" i="1"/>
  <c r="AO477" i="1"/>
  <c r="AM477" i="1"/>
  <c r="AN477" i="1" s="1"/>
  <c r="AL477" i="1"/>
  <c r="AK477" i="1"/>
  <c r="AJ477" i="1"/>
  <c r="AI477" i="1"/>
  <c r="AH477" i="1"/>
  <c r="AT476" i="1"/>
  <c r="AS476" i="1"/>
  <c r="AQ476" i="1"/>
  <c r="AO476" i="1"/>
  <c r="AM476" i="1"/>
  <c r="AN476" i="1" s="1"/>
  <c r="AL476" i="1"/>
  <c r="AK476" i="1"/>
  <c r="AJ476" i="1"/>
  <c r="AI476" i="1"/>
  <c r="AH476" i="1"/>
  <c r="AT475" i="1"/>
  <c r="AS475" i="1"/>
  <c r="AQ475" i="1"/>
  <c r="AO475" i="1"/>
  <c r="AM475" i="1"/>
  <c r="AN475" i="1" s="1"/>
  <c r="AL475" i="1"/>
  <c r="AK475" i="1"/>
  <c r="AJ475" i="1"/>
  <c r="AI475" i="1"/>
  <c r="AH475" i="1"/>
  <c r="AT474" i="1"/>
  <c r="AS474" i="1"/>
  <c r="AQ474" i="1"/>
  <c r="AO474" i="1"/>
  <c r="AM474" i="1"/>
  <c r="AN474" i="1" s="1"/>
  <c r="AL474" i="1"/>
  <c r="AK474" i="1"/>
  <c r="AJ474" i="1"/>
  <c r="AI474" i="1"/>
  <c r="AH474" i="1"/>
  <c r="AT473" i="1"/>
  <c r="AS473" i="1"/>
  <c r="AQ473" i="1"/>
  <c r="AO473" i="1"/>
  <c r="AM473" i="1"/>
  <c r="AN473" i="1" s="1"/>
  <c r="AL473" i="1"/>
  <c r="AK473" i="1"/>
  <c r="AJ473" i="1"/>
  <c r="AI473" i="1"/>
  <c r="AH473" i="1"/>
  <c r="AT472" i="1"/>
  <c r="AS472" i="1"/>
  <c r="AQ472" i="1"/>
  <c r="AO472" i="1"/>
  <c r="AM472" i="1"/>
  <c r="AN472" i="1" s="1"/>
  <c r="AL472" i="1"/>
  <c r="AK472" i="1"/>
  <c r="AJ472" i="1"/>
  <c r="AI472" i="1"/>
  <c r="AH472" i="1"/>
  <c r="AT471" i="1"/>
  <c r="AS471" i="1"/>
  <c r="AQ471" i="1"/>
  <c r="AO471" i="1"/>
  <c r="AM471" i="1"/>
  <c r="AN471" i="1" s="1"/>
  <c r="AL471" i="1"/>
  <c r="AK471" i="1"/>
  <c r="AJ471" i="1"/>
  <c r="AI471" i="1"/>
  <c r="AH471" i="1"/>
  <c r="AT470" i="1"/>
  <c r="AS470" i="1"/>
  <c r="AQ470" i="1"/>
  <c r="AO470" i="1"/>
  <c r="AM470" i="1"/>
  <c r="AN470" i="1" s="1"/>
  <c r="AL470" i="1"/>
  <c r="AK470" i="1"/>
  <c r="AJ470" i="1"/>
  <c r="AI470" i="1"/>
  <c r="AH470" i="1"/>
  <c r="AT469" i="1"/>
  <c r="AS469" i="1"/>
  <c r="AQ469" i="1"/>
  <c r="AO469" i="1"/>
  <c r="AM469" i="1"/>
  <c r="AN469" i="1" s="1"/>
  <c r="AL469" i="1"/>
  <c r="AK469" i="1"/>
  <c r="AJ469" i="1"/>
  <c r="AI469" i="1"/>
  <c r="AH469" i="1"/>
  <c r="AT468" i="1"/>
  <c r="AS468" i="1"/>
  <c r="AQ468" i="1"/>
  <c r="AO468" i="1"/>
  <c r="AM468" i="1"/>
  <c r="AN468" i="1" s="1"/>
  <c r="AL468" i="1"/>
  <c r="AK468" i="1"/>
  <c r="AJ468" i="1"/>
  <c r="AI468" i="1"/>
  <c r="AH468" i="1"/>
  <c r="AT467" i="1"/>
  <c r="AS467" i="1"/>
  <c r="AQ467" i="1"/>
  <c r="AO467" i="1"/>
  <c r="AM467" i="1"/>
  <c r="AN467" i="1" s="1"/>
  <c r="AL467" i="1"/>
  <c r="AK467" i="1"/>
  <c r="AJ467" i="1"/>
  <c r="AI467" i="1"/>
  <c r="AH467" i="1"/>
  <c r="AT466" i="1"/>
  <c r="AS466" i="1"/>
  <c r="AQ466" i="1"/>
  <c r="AO466" i="1"/>
  <c r="AM466" i="1"/>
  <c r="AN466" i="1" s="1"/>
  <c r="AL466" i="1"/>
  <c r="AK466" i="1"/>
  <c r="AJ466" i="1"/>
  <c r="AI466" i="1"/>
  <c r="AH466" i="1"/>
  <c r="AT465" i="1"/>
  <c r="AS465" i="1"/>
  <c r="AQ465" i="1"/>
  <c r="AO465" i="1"/>
  <c r="AM465" i="1"/>
  <c r="AN465" i="1" s="1"/>
  <c r="AL465" i="1"/>
  <c r="AK465" i="1"/>
  <c r="AJ465" i="1"/>
  <c r="AI465" i="1"/>
  <c r="AH465" i="1"/>
  <c r="AT464" i="1"/>
  <c r="AS464" i="1"/>
  <c r="AQ464" i="1"/>
  <c r="AO464" i="1"/>
  <c r="AM464" i="1"/>
  <c r="AN464" i="1" s="1"/>
  <c r="AL464" i="1"/>
  <c r="AK464" i="1"/>
  <c r="AJ464" i="1"/>
  <c r="AI464" i="1"/>
  <c r="AH464" i="1"/>
  <c r="AT463" i="1"/>
  <c r="AS463" i="1"/>
  <c r="AQ463" i="1"/>
  <c r="AO463" i="1"/>
  <c r="AM463" i="1"/>
  <c r="AN463" i="1" s="1"/>
  <c r="AL463" i="1"/>
  <c r="AK463" i="1"/>
  <c r="AJ463" i="1"/>
  <c r="AI463" i="1"/>
  <c r="AH463" i="1"/>
  <c r="AT462" i="1"/>
  <c r="AS462" i="1"/>
  <c r="AQ462" i="1"/>
  <c r="AO462" i="1"/>
  <c r="AM462" i="1"/>
  <c r="AN462" i="1" s="1"/>
  <c r="AL462" i="1"/>
  <c r="AK462" i="1"/>
  <c r="AJ462" i="1"/>
  <c r="AI462" i="1"/>
  <c r="AH462" i="1"/>
  <c r="AT461" i="1"/>
  <c r="AS461" i="1"/>
  <c r="AQ461" i="1"/>
  <c r="AO461" i="1"/>
  <c r="AM461" i="1"/>
  <c r="AN461" i="1" s="1"/>
  <c r="AL461" i="1"/>
  <c r="AK461" i="1"/>
  <c r="AJ461" i="1"/>
  <c r="AI461" i="1"/>
  <c r="AH461" i="1"/>
  <c r="AT460" i="1"/>
  <c r="AS460" i="1"/>
  <c r="AQ460" i="1"/>
  <c r="AO460" i="1"/>
  <c r="AM460" i="1"/>
  <c r="AN460" i="1" s="1"/>
  <c r="AL460" i="1"/>
  <c r="AK460" i="1"/>
  <c r="AJ460" i="1"/>
  <c r="AI460" i="1"/>
  <c r="AH460" i="1"/>
  <c r="AT459" i="1"/>
  <c r="AS459" i="1"/>
  <c r="AQ459" i="1"/>
  <c r="AO459" i="1"/>
  <c r="AN459" i="1"/>
  <c r="AM459" i="1"/>
  <c r="AL459" i="1"/>
  <c r="AK459" i="1"/>
  <c r="AJ459" i="1"/>
  <c r="AI459" i="1"/>
  <c r="AH459" i="1"/>
  <c r="AT458" i="1"/>
  <c r="AS458" i="1"/>
  <c r="AQ458" i="1"/>
  <c r="AO458" i="1"/>
  <c r="AM458" i="1"/>
  <c r="AN458" i="1" s="1"/>
  <c r="AL458" i="1"/>
  <c r="AK458" i="1"/>
  <c r="AJ458" i="1"/>
  <c r="AI458" i="1"/>
  <c r="AH458" i="1"/>
  <c r="AT457" i="1"/>
  <c r="AS457" i="1"/>
  <c r="AQ457" i="1"/>
  <c r="AO457" i="1"/>
  <c r="AM457" i="1"/>
  <c r="AN457" i="1" s="1"/>
  <c r="AL457" i="1"/>
  <c r="AK457" i="1"/>
  <c r="AJ457" i="1"/>
  <c r="AI457" i="1"/>
  <c r="AH457" i="1"/>
  <c r="AT456" i="1"/>
  <c r="AS456" i="1"/>
  <c r="AQ456" i="1"/>
  <c r="AO456" i="1"/>
  <c r="AM456" i="1"/>
  <c r="AN456" i="1" s="1"/>
  <c r="AL456" i="1"/>
  <c r="AK456" i="1"/>
  <c r="AJ456" i="1"/>
  <c r="AI456" i="1"/>
  <c r="AH456" i="1"/>
  <c r="AT455" i="1"/>
  <c r="AS455" i="1"/>
  <c r="AQ455" i="1"/>
  <c r="AO455" i="1"/>
  <c r="AM455" i="1"/>
  <c r="AN455" i="1" s="1"/>
  <c r="AL455" i="1"/>
  <c r="AK455" i="1"/>
  <c r="AJ455" i="1"/>
  <c r="AI455" i="1"/>
  <c r="AH455" i="1"/>
  <c r="AT454" i="1"/>
  <c r="AS454" i="1"/>
  <c r="AQ454" i="1"/>
  <c r="AO454" i="1"/>
  <c r="AM454" i="1"/>
  <c r="AN454" i="1" s="1"/>
  <c r="AL454" i="1"/>
  <c r="AK454" i="1"/>
  <c r="AJ454" i="1"/>
  <c r="AI454" i="1"/>
  <c r="AH454" i="1"/>
  <c r="AT453" i="1"/>
  <c r="AS453" i="1"/>
  <c r="AQ453" i="1"/>
  <c r="AO453" i="1"/>
  <c r="AM453" i="1"/>
  <c r="AN453" i="1" s="1"/>
  <c r="AL453" i="1"/>
  <c r="AK453" i="1"/>
  <c r="AJ453" i="1"/>
  <c r="AI453" i="1"/>
  <c r="AH453" i="1"/>
  <c r="AT452" i="1"/>
  <c r="AS452" i="1"/>
  <c r="AQ452" i="1"/>
  <c r="AO452" i="1"/>
  <c r="AM452" i="1"/>
  <c r="AN452" i="1" s="1"/>
  <c r="AL452" i="1"/>
  <c r="AK452" i="1"/>
  <c r="AJ452" i="1"/>
  <c r="AI452" i="1"/>
  <c r="AH452" i="1"/>
  <c r="AT451" i="1"/>
  <c r="AS451" i="1"/>
  <c r="AQ451" i="1"/>
  <c r="AO451" i="1"/>
  <c r="AM451" i="1"/>
  <c r="AN451" i="1" s="1"/>
  <c r="AL451" i="1"/>
  <c r="AK451" i="1"/>
  <c r="AJ451" i="1"/>
  <c r="AI451" i="1"/>
  <c r="AH451" i="1"/>
  <c r="AT450" i="1"/>
  <c r="AS450" i="1"/>
  <c r="AQ450" i="1"/>
  <c r="AO450" i="1"/>
  <c r="AM450" i="1"/>
  <c r="AN450" i="1" s="1"/>
  <c r="AL450" i="1"/>
  <c r="AK450" i="1"/>
  <c r="AJ450" i="1"/>
  <c r="AI450" i="1"/>
  <c r="AH450" i="1"/>
  <c r="AT449" i="1"/>
  <c r="AS449" i="1"/>
  <c r="AQ449" i="1"/>
  <c r="AO449" i="1"/>
  <c r="AM449" i="1"/>
  <c r="AN449" i="1" s="1"/>
  <c r="AL449" i="1"/>
  <c r="AK449" i="1"/>
  <c r="AJ449" i="1"/>
  <c r="AI449" i="1"/>
  <c r="AH449" i="1"/>
  <c r="AT448" i="1"/>
  <c r="AS448" i="1"/>
  <c r="AQ448" i="1"/>
  <c r="AO448" i="1"/>
  <c r="AM448" i="1"/>
  <c r="AN448" i="1" s="1"/>
  <c r="AL448" i="1"/>
  <c r="AK448" i="1"/>
  <c r="AJ448" i="1"/>
  <c r="AI448" i="1"/>
  <c r="AH448" i="1"/>
  <c r="AT447" i="1"/>
  <c r="AS447" i="1"/>
  <c r="AQ447" i="1"/>
  <c r="AO447" i="1"/>
  <c r="AM447" i="1"/>
  <c r="AN447" i="1" s="1"/>
  <c r="AL447" i="1"/>
  <c r="AK447" i="1"/>
  <c r="AJ447" i="1"/>
  <c r="AI447" i="1"/>
  <c r="AH447" i="1"/>
  <c r="AT446" i="1"/>
  <c r="AS446" i="1"/>
  <c r="AQ446" i="1"/>
  <c r="AO446" i="1"/>
  <c r="AM446" i="1"/>
  <c r="AN446" i="1" s="1"/>
  <c r="AL446" i="1"/>
  <c r="AK446" i="1"/>
  <c r="AJ446" i="1"/>
  <c r="AI446" i="1"/>
  <c r="AH446" i="1"/>
  <c r="AT445" i="1"/>
  <c r="AS445" i="1"/>
  <c r="AQ445" i="1"/>
  <c r="AO445" i="1"/>
  <c r="AM445" i="1"/>
  <c r="AN445" i="1" s="1"/>
  <c r="AL445" i="1"/>
  <c r="AK445" i="1"/>
  <c r="AJ445" i="1"/>
  <c r="AI445" i="1"/>
  <c r="AH445" i="1"/>
  <c r="AT444" i="1"/>
  <c r="AS444" i="1"/>
  <c r="AQ444" i="1"/>
  <c r="AO444" i="1"/>
  <c r="AM444" i="1"/>
  <c r="AN444" i="1" s="1"/>
  <c r="AL444" i="1"/>
  <c r="AK444" i="1"/>
  <c r="AJ444" i="1"/>
  <c r="AI444" i="1"/>
  <c r="AH444" i="1"/>
  <c r="AT443" i="1"/>
  <c r="AS443" i="1"/>
  <c r="AQ443" i="1"/>
  <c r="AO443" i="1"/>
  <c r="AM443" i="1"/>
  <c r="AN443" i="1" s="1"/>
  <c r="AL443" i="1"/>
  <c r="AK443" i="1"/>
  <c r="AJ443" i="1"/>
  <c r="AI443" i="1"/>
  <c r="AH443" i="1"/>
  <c r="AT442" i="1"/>
  <c r="AS442" i="1"/>
  <c r="AQ442" i="1"/>
  <c r="AO442" i="1"/>
  <c r="AM442" i="1"/>
  <c r="AN442" i="1" s="1"/>
  <c r="AL442" i="1"/>
  <c r="AK442" i="1"/>
  <c r="AJ442" i="1"/>
  <c r="AI442" i="1"/>
  <c r="AH442" i="1"/>
  <c r="AT441" i="1"/>
  <c r="AS441" i="1"/>
  <c r="AQ441" i="1"/>
  <c r="AO441" i="1"/>
  <c r="AM441" i="1"/>
  <c r="AN441" i="1" s="1"/>
  <c r="AL441" i="1"/>
  <c r="AK441" i="1"/>
  <c r="AJ441" i="1"/>
  <c r="AI441" i="1"/>
  <c r="AH441" i="1"/>
  <c r="AT440" i="1"/>
  <c r="AS440" i="1"/>
  <c r="AQ440" i="1"/>
  <c r="AO440" i="1"/>
  <c r="AM440" i="1"/>
  <c r="AN440" i="1" s="1"/>
  <c r="AL440" i="1"/>
  <c r="AK440" i="1"/>
  <c r="AJ440" i="1"/>
  <c r="AI440" i="1"/>
  <c r="AH440" i="1"/>
  <c r="AT439" i="1"/>
  <c r="AS439" i="1"/>
  <c r="AQ439" i="1"/>
  <c r="AO439" i="1"/>
  <c r="AM439" i="1"/>
  <c r="AN439" i="1" s="1"/>
  <c r="AL439" i="1"/>
  <c r="AK439" i="1"/>
  <c r="AJ439" i="1"/>
  <c r="AI439" i="1"/>
  <c r="AH439" i="1"/>
  <c r="AT438" i="1"/>
  <c r="AS438" i="1"/>
  <c r="AQ438" i="1"/>
  <c r="AO438" i="1"/>
  <c r="AM438" i="1"/>
  <c r="AN438" i="1" s="1"/>
  <c r="AL438" i="1"/>
  <c r="AK438" i="1"/>
  <c r="AJ438" i="1"/>
  <c r="AI438" i="1"/>
  <c r="AH438" i="1"/>
  <c r="AT437" i="1"/>
  <c r="AS437" i="1"/>
  <c r="AQ437" i="1"/>
  <c r="AO437" i="1"/>
  <c r="AM437" i="1"/>
  <c r="AN437" i="1" s="1"/>
  <c r="AL437" i="1"/>
  <c r="AK437" i="1"/>
  <c r="AJ437" i="1"/>
  <c r="AI437" i="1"/>
  <c r="AH437" i="1"/>
  <c r="AT436" i="1"/>
  <c r="AS436" i="1"/>
  <c r="AQ436" i="1"/>
  <c r="AO436" i="1"/>
  <c r="AM436" i="1"/>
  <c r="AN436" i="1" s="1"/>
  <c r="AL436" i="1"/>
  <c r="AK436" i="1"/>
  <c r="AJ436" i="1"/>
  <c r="AI436" i="1"/>
  <c r="AH436" i="1"/>
  <c r="AT435" i="1"/>
  <c r="AS435" i="1"/>
  <c r="AQ435" i="1"/>
  <c r="AO435" i="1"/>
  <c r="AM435" i="1"/>
  <c r="AN435" i="1" s="1"/>
  <c r="AL435" i="1"/>
  <c r="AK435" i="1"/>
  <c r="AJ435" i="1"/>
  <c r="AI435" i="1"/>
  <c r="AH435" i="1"/>
  <c r="AT434" i="1"/>
  <c r="AS434" i="1"/>
  <c r="AQ434" i="1"/>
  <c r="AO434" i="1"/>
  <c r="AM434" i="1"/>
  <c r="AN434" i="1" s="1"/>
  <c r="AL434" i="1"/>
  <c r="AK434" i="1"/>
  <c r="AJ434" i="1"/>
  <c r="AI434" i="1"/>
  <c r="AH434" i="1"/>
  <c r="AT433" i="1"/>
  <c r="AS433" i="1"/>
  <c r="AQ433" i="1"/>
  <c r="AO433" i="1"/>
  <c r="AM433" i="1"/>
  <c r="AN433" i="1" s="1"/>
  <c r="AL433" i="1"/>
  <c r="AK433" i="1"/>
  <c r="AJ433" i="1"/>
  <c r="AI433" i="1"/>
  <c r="AH433" i="1"/>
  <c r="AT432" i="1"/>
  <c r="AS432" i="1"/>
  <c r="AQ432" i="1"/>
  <c r="AO432" i="1"/>
  <c r="AM432" i="1"/>
  <c r="AN432" i="1" s="1"/>
  <c r="AL432" i="1"/>
  <c r="AK432" i="1"/>
  <c r="AJ432" i="1"/>
  <c r="AI432" i="1"/>
  <c r="AH432" i="1"/>
  <c r="AT431" i="1"/>
  <c r="AS431" i="1"/>
  <c r="AQ431" i="1"/>
  <c r="AO431" i="1"/>
  <c r="AN431" i="1"/>
  <c r="AM431" i="1"/>
  <c r="AL431" i="1"/>
  <c r="AK431" i="1"/>
  <c r="AJ431" i="1"/>
  <c r="AI431" i="1"/>
  <c r="AH431" i="1"/>
  <c r="AT430" i="1"/>
  <c r="AS430" i="1"/>
  <c r="AQ430" i="1"/>
  <c r="AO430" i="1"/>
  <c r="AM430" i="1"/>
  <c r="AN430" i="1" s="1"/>
  <c r="AL430" i="1"/>
  <c r="AK430" i="1"/>
  <c r="AJ430" i="1"/>
  <c r="AI430" i="1"/>
  <c r="AH430" i="1"/>
  <c r="AT429" i="1"/>
  <c r="AS429" i="1"/>
  <c r="AQ429" i="1"/>
  <c r="AO429" i="1"/>
  <c r="AM429" i="1"/>
  <c r="AN429" i="1" s="1"/>
  <c r="AL429" i="1"/>
  <c r="AK429" i="1"/>
  <c r="AJ429" i="1"/>
  <c r="AI429" i="1"/>
  <c r="AH429" i="1"/>
  <c r="AT428" i="1"/>
  <c r="AS428" i="1"/>
  <c r="AQ428" i="1"/>
  <c r="AO428" i="1"/>
  <c r="AM428" i="1"/>
  <c r="AN428" i="1" s="1"/>
  <c r="AL428" i="1"/>
  <c r="AK428" i="1"/>
  <c r="AJ428" i="1"/>
  <c r="AI428" i="1"/>
  <c r="AH428" i="1"/>
  <c r="AT427" i="1"/>
  <c r="AS427" i="1"/>
  <c r="AQ427" i="1"/>
  <c r="AO427" i="1"/>
  <c r="AM427" i="1"/>
  <c r="AN427" i="1" s="1"/>
  <c r="AL427" i="1"/>
  <c r="AK427" i="1"/>
  <c r="AJ427" i="1"/>
  <c r="AI427" i="1"/>
  <c r="AH427" i="1"/>
  <c r="AT426" i="1"/>
  <c r="AS426" i="1"/>
  <c r="AQ426" i="1"/>
  <c r="AO426" i="1"/>
  <c r="AM426" i="1"/>
  <c r="AN426" i="1" s="1"/>
  <c r="AP426" i="1" s="1"/>
  <c r="AR426" i="1" s="1"/>
  <c r="AL426" i="1"/>
  <c r="AK426" i="1"/>
  <c r="AJ426" i="1"/>
  <c r="AI426" i="1"/>
  <c r="AU426" i="1" s="1"/>
  <c r="AH426" i="1"/>
  <c r="AT425" i="1"/>
  <c r="AS425" i="1"/>
  <c r="AQ425" i="1"/>
  <c r="AO425" i="1"/>
  <c r="AM425" i="1"/>
  <c r="AN425" i="1" s="1"/>
  <c r="AL425" i="1"/>
  <c r="AK425" i="1"/>
  <c r="AJ425" i="1"/>
  <c r="AI425" i="1"/>
  <c r="AH425" i="1"/>
  <c r="AT424" i="1"/>
  <c r="AS424" i="1"/>
  <c r="AQ424" i="1"/>
  <c r="AO424" i="1"/>
  <c r="AM424" i="1"/>
  <c r="AN424" i="1" s="1"/>
  <c r="AL424" i="1"/>
  <c r="AK424" i="1"/>
  <c r="AJ424" i="1"/>
  <c r="AI424" i="1"/>
  <c r="AH424" i="1"/>
  <c r="AT423" i="1"/>
  <c r="AS423" i="1"/>
  <c r="AQ423" i="1"/>
  <c r="AO423" i="1"/>
  <c r="AM423" i="1"/>
  <c r="AN423" i="1" s="1"/>
  <c r="AL423" i="1"/>
  <c r="AK423" i="1"/>
  <c r="AJ423" i="1"/>
  <c r="AI423" i="1"/>
  <c r="AH423" i="1"/>
  <c r="AT422" i="1"/>
  <c r="AS422" i="1"/>
  <c r="AQ422" i="1"/>
  <c r="AO422" i="1"/>
  <c r="AM422" i="1"/>
  <c r="AN422" i="1" s="1"/>
  <c r="AL422" i="1"/>
  <c r="AK422" i="1"/>
  <c r="AJ422" i="1"/>
  <c r="AI422" i="1"/>
  <c r="AH422" i="1"/>
  <c r="AT421" i="1"/>
  <c r="AS421" i="1"/>
  <c r="AQ421" i="1"/>
  <c r="AO421" i="1"/>
  <c r="AM421" i="1"/>
  <c r="AN421" i="1" s="1"/>
  <c r="AL421" i="1"/>
  <c r="AK421" i="1"/>
  <c r="AJ421" i="1"/>
  <c r="AI421" i="1"/>
  <c r="AH421" i="1"/>
  <c r="AT420" i="1"/>
  <c r="AS420" i="1"/>
  <c r="AQ420" i="1"/>
  <c r="AO420" i="1"/>
  <c r="AM420" i="1"/>
  <c r="AN420" i="1" s="1"/>
  <c r="AL420" i="1"/>
  <c r="AK420" i="1"/>
  <c r="AJ420" i="1"/>
  <c r="AI420" i="1"/>
  <c r="AH420" i="1"/>
  <c r="AT419" i="1"/>
  <c r="AS419" i="1"/>
  <c r="AQ419" i="1"/>
  <c r="AO419" i="1"/>
  <c r="AM419" i="1"/>
  <c r="AN419" i="1" s="1"/>
  <c r="AL419" i="1"/>
  <c r="AK419" i="1"/>
  <c r="AJ419" i="1"/>
  <c r="AI419" i="1"/>
  <c r="AH419" i="1"/>
  <c r="AT418" i="1"/>
  <c r="AS418" i="1"/>
  <c r="AQ418" i="1"/>
  <c r="AO418" i="1"/>
  <c r="AM418" i="1"/>
  <c r="AN418" i="1" s="1"/>
  <c r="AL418" i="1"/>
  <c r="AK418" i="1"/>
  <c r="AJ418" i="1"/>
  <c r="AI418" i="1"/>
  <c r="AH418" i="1"/>
  <c r="AT417" i="1"/>
  <c r="AS417" i="1"/>
  <c r="AQ417" i="1"/>
  <c r="AO417" i="1"/>
  <c r="AM417" i="1"/>
  <c r="AN417" i="1" s="1"/>
  <c r="AL417" i="1"/>
  <c r="AK417" i="1"/>
  <c r="AJ417" i="1"/>
  <c r="AI417" i="1"/>
  <c r="AH417" i="1"/>
  <c r="AT416" i="1"/>
  <c r="AS416" i="1"/>
  <c r="AQ416" i="1"/>
  <c r="AO416" i="1"/>
  <c r="AM416" i="1"/>
  <c r="AN416" i="1" s="1"/>
  <c r="AL416" i="1"/>
  <c r="AK416" i="1"/>
  <c r="AJ416" i="1"/>
  <c r="AI416" i="1"/>
  <c r="AH416" i="1"/>
  <c r="AT415" i="1"/>
  <c r="AS415" i="1"/>
  <c r="AQ415" i="1"/>
  <c r="AO415" i="1"/>
  <c r="AM415" i="1"/>
  <c r="AN415" i="1" s="1"/>
  <c r="AL415" i="1"/>
  <c r="AK415" i="1"/>
  <c r="AJ415" i="1"/>
  <c r="AI415" i="1"/>
  <c r="AH415" i="1"/>
  <c r="AT414" i="1"/>
  <c r="AS414" i="1"/>
  <c r="AQ414" i="1"/>
  <c r="AO414" i="1"/>
  <c r="AM414" i="1"/>
  <c r="AN414" i="1" s="1"/>
  <c r="AL414" i="1"/>
  <c r="AK414" i="1"/>
  <c r="AJ414" i="1"/>
  <c r="AI414" i="1"/>
  <c r="AH414" i="1"/>
  <c r="AT413" i="1"/>
  <c r="AS413" i="1"/>
  <c r="AQ413" i="1"/>
  <c r="AO413" i="1"/>
  <c r="AM413" i="1"/>
  <c r="AN413" i="1" s="1"/>
  <c r="AL413" i="1"/>
  <c r="AK413" i="1"/>
  <c r="AJ413" i="1"/>
  <c r="AI413" i="1"/>
  <c r="AH413" i="1"/>
  <c r="AT412" i="1"/>
  <c r="AS412" i="1"/>
  <c r="AQ412" i="1"/>
  <c r="AO412" i="1"/>
  <c r="AM412" i="1"/>
  <c r="AN412" i="1" s="1"/>
  <c r="AL412" i="1"/>
  <c r="AK412" i="1"/>
  <c r="AJ412" i="1"/>
  <c r="AI412" i="1"/>
  <c r="AH412" i="1"/>
  <c r="AT411" i="1"/>
  <c r="AS411" i="1"/>
  <c r="AQ411" i="1"/>
  <c r="AO411" i="1"/>
  <c r="AM411" i="1"/>
  <c r="AN411" i="1" s="1"/>
  <c r="AL411" i="1"/>
  <c r="AK411" i="1"/>
  <c r="AJ411" i="1"/>
  <c r="AI411" i="1"/>
  <c r="AH411" i="1"/>
  <c r="AT410" i="1"/>
  <c r="AS410" i="1"/>
  <c r="AQ410" i="1"/>
  <c r="AO410" i="1"/>
  <c r="AM410" i="1"/>
  <c r="AN410" i="1" s="1"/>
  <c r="AL410" i="1"/>
  <c r="AK410" i="1"/>
  <c r="AJ410" i="1"/>
  <c r="AI410" i="1"/>
  <c r="AH410" i="1"/>
  <c r="AT409" i="1"/>
  <c r="AS409" i="1"/>
  <c r="AQ409" i="1"/>
  <c r="AO409" i="1"/>
  <c r="AM409" i="1"/>
  <c r="AN409" i="1" s="1"/>
  <c r="AL409" i="1"/>
  <c r="AK409" i="1"/>
  <c r="AJ409" i="1"/>
  <c r="AI409" i="1"/>
  <c r="AH409" i="1"/>
  <c r="AT408" i="1"/>
  <c r="AS408" i="1"/>
  <c r="AQ408" i="1"/>
  <c r="AO408" i="1"/>
  <c r="AM408" i="1"/>
  <c r="AN408" i="1" s="1"/>
  <c r="AL408" i="1"/>
  <c r="AK408" i="1"/>
  <c r="AJ408" i="1"/>
  <c r="AI408" i="1"/>
  <c r="AH408" i="1"/>
  <c r="AT407" i="1"/>
  <c r="AS407" i="1"/>
  <c r="AQ407" i="1"/>
  <c r="AO407" i="1"/>
  <c r="AM407" i="1"/>
  <c r="AN407" i="1" s="1"/>
  <c r="AL407" i="1"/>
  <c r="AK407" i="1"/>
  <c r="AJ407" i="1"/>
  <c r="AI407" i="1"/>
  <c r="AH407" i="1"/>
  <c r="AT406" i="1"/>
  <c r="AS406" i="1"/>
  <c r="AQ406" i="1"/>
  <c r="AO406" i="1"/>
  <c r="AM406" i="1"/>
  <c r="AN406" i="1" s="1"/>
  <c r="AL406" i="1"/>
  <c r="AK406" i="1"/>
  <c r="AJ406" i="1"/>
  <c r="AI406" i="1"/>
  <c r="AH406" i="1"/>
  <c r="AT405" i="1"/>
  <c r="AS405" i="1"/>
  <c r="AQ405" i="1"/>
  <c r="AO405" i="1"/>
  <c r="AM405" i="1"/>
  <c r="AN405" i="1" s="1"/>
  <c r="AL405" i="1"/>
  <c r="AK405" i="1"/>
  <c r="AJ405" i="1"/>
  <c r="AI405" i="1"/>
  <c r="AH405" i="1"/>
  <c r="AT404" i="1"/>
  <c r="AS404" i="1"/>
  <c r="AQ404" i="1"/>
  <c r="AO404" i="1"/>
  <c r="AM404" i="1"/>
  <c r="AN404" i="1" s="1"/>
  <c r="AL404" i="1"/>
  <c r="AK404" i="1"/>
  <c r="AJ404" i="1"/>
  <c r="AI404" i="1"/>
  <c r="AH404" i="1"/>
  <c r="AT403" i="1"/>
  <c r="AS403" i="1"/>
  <c r="AQ403" i="1"/>
  <c r="AO403" i="1"/>
  <c r="AM403" i="1"/>
  <c r="AN403" i="1" s="1"/>
  <c r="AL403" i="1"/>
  <c r="AK403" i="1"/>
  <c r="AJ403" i="1"/>
  <c r="AI403" i="1"/>
  <c r="AH403" i="1"/>
  <c r="AT402" i="1"/>
  <c r="AS402" i="1"/>
  <c r="AQ402" i="1"/>
  <c r="AO402" i="1"/>
  <c r="AM402" i="1"/>
  <c r="AN402" i="1" s="1"/>
  <c r="AL402" i="1"/>
  <c r="AK402" i="1"/>
  <c r="AJ402" i="1"/>
  <c r="AI402" i="1"/>
  <c r="AH402" i="1"/>
  <c r="AT401" i="1"/>
  <c r="AS401" i="1"/>
  <c r="AQ401" i="1"/>
  <c r="AO401" i="1"/>
  <c r="AM401" i="1"/>
  <c r="AN401" i="1" s="1"/>
  <c r="AL401" i="1"/>
  <c r="AK401" i="1"/>
  <c r="AJ401" i="1"/>
  <c r="AI401" i="1"/>
  <c r="AH401" i="1"/>
  <c r="AT400" i="1"/>
  <c r="AS400" i="1"/>
  <c r="AQ400" i="1"/>
  <c r="AO400" i="1"/>
  <c r="AM400" i="1"/>
  <c r="AN400" i="1" s="1"/>
  <c r="AL400" i="1"/>
  <c r="AK400" i="1"/>
  <c r="AJ400" i="1"/>
  <c r="AI400" i="1"/>
  <c r="AH400" i="1"/>
  <c r="AT399" i="1"/>
  <c r="AS399" i="1"/>
  <c r="AQ399" i="1"/>
  <c r="AO399" i="1"/>
  <c r="AM399" i="1"/>
  <c r="AN399" i="1" s="1"/>
  <c r="AL399" i="1"/>
  <c r="AK399" i="1"/>
  <c r="AJ399" i="1"/>
  <c r="AI399" i="1"/>
  <c r="AH399" i="1"/>
  <c r="AT398" i="1"/>
  <c r="AS398" i="1"/>
  <c r="AQ398" i="1"/>
  <c r="AO398" i="1"/>
  <c r="AM398" i="1"/>
  <c r="AN398" i="1" s="1"/>
  <c r="AL398" i="1"/>
  <c r="AK398" i="1"/>
  <c r="AJ398" i="1"/>
  <c r="AI398" i="1"/>
  <c r="AH398" i="1"/>
  <c r="AT397" i="1"/>
  <c r="AS397" i="1"/>
  <c r="AQ397" i="1"/>
  <c r="AO397" i="1"/>
  <c r="AM397" i="1"/>
  <c r="AN397" i="1" s="1"/>
  <c r="AL397" i="1"/>
  <c r="AK397" i="1"/>
  <c r="AJ397" i="1"/>
  <c r="AI397" i="1"/>
  <c r="AH397" i="1"/>
  <c r="AT396" i="1"/>
  <c r="AS396" i="1"/>
  <c r="AQ396" i="1"/>
  <c r="AO396" i="1"/>
  <c r="AM396" i="1"/>
  <c r="AN396" i="1" s="1"/>
  <c r="AL396" i="1"/>
  <c r="AK396" i="1"/>
  <c r="AJ396" i="1"/>
  <c r="AI396" i="1"/>
  <c r="AH396" i="1"/>
  <c r="AT395" i="1"/>
  <c r="AS395" i="1"/>
  <c r="AQ395" i="1"/>
  <c r="AO395" i="1"/>
  <c r="AM395" i="1"/>
  <c r="AN395" i="1" s="1"/>
  <c r="AL395" i="1"/>
  <c r="AK395" i="1"/>
  <c r="AJ395" i="1"/>
  <c r="AI395" i="1"/>
  <c r="AH395" i="1"/>
  <c r="AT394" i="1"/>
  <c r="AS394" i="1"/>
  <c r="AQ394" i="1"/>
  <c r="AO394" i="1"/>
  <c r="AM394" i="1"/>
  <c r="AN394" i="1" s="1"/>
  <c r="AL394" i="1"/>
  <c r="AK394" i="1"/>
  <c r="AJ394" i="1"/>
  <c r="AI394" i="1"/>
  <c r="AH394" i="1"/>
  <c r="AT393" i="1"/>
  <c r="AS393" i="1"/>
  <c r="AQ393" i="1"/>
  <c r="AO393" i="1"/>
  <c r="AM393" i="1"/>
  <c r="AN393" i="1" s="1"/>
  <c r="AL393" i="1"/>
  <c r="AK393" i="1"/>
  <c r="AJ393" i="1"/>
  <c r="AI393" i="1"/>
  <c r="AH393" i="1"/>
  <c r="AT392" i="1"/>
  <c r="AS392" i="1"/>
  <c r="AQ392" i="1"/>
  <c r="AO392" i="1"/>
  <c r="AM392" i="1"/>
  <c r="AN392" i="1" s="1"/>
  <c r="AL392" i="1"/>
  <c r="AK392" i="1"/>
  <c r="AJ392" i="1"/>
  <c r="AI392" i="1"/>
  <c r="AH392" i="1"/>
  <c r="AT391" i="1"/>
  <c r="AS391" i="1"/>
  <c r="AQ391" i="1"/>
  <c r="AO391" i="1"/>
  <c r="AM391" i="1"/>
  <c r="AN391" i="1" s="1"/>
  <c r="AL391" i="1"/>
  <c r="AK391" i="1"/>
  <c r="AJ391" i="1"/>
  <c r="AI391" i="1"/>
  <c r="AH391" i="1"/>
  <c r="AT390" i="1"/>
  <c r="AS390" i="1"/>
  <c r="AQ390" i="1"/>
  <c r="AO390" i="1"/>
  <c r="AM390" i="1"/>
  <c r="AN390" i="1" s="1"/>
  <c r="AL390" i="1"/>
  <c r="AK390" i="1"/>
  <c r="AJ390" i="1"/>
  <c r="AI390" i="1"/>
  <c r="AH390" i="1"/>
  <c r="AT389" i="1"/>
  <c r="AS389" i="1"/>
  <c r="AQ389" i="1"/>
  <c r="AO389" i="1"/>
  <c r="AM389" i="1"/>
  <c r="AN389" i="1" s="1"/>
  <c r="AP389" i="1" s="1"/>
  <c r="AL389" i="1"/>
  <c r="AK389" i="1"/>
  <c r="AJ389" i="1"/>
  <c r="AI389" i="1"/>
  <c r="AH389" i="1"/>
  <c r="AT388" i="1"/>
  <c r="AS388" i="1"/>
  <c r="AQ388" i="1"/>
  <c r="AO388" i="1"/>
  <c r="AM388" i="1"/>
  <c r="AN388" i="1" s="1"/>
  <c r="AL388" i="1"/>
  <c r="AK388" i="1"/>
  <c r="AJ388" i="1"/>
  <c r="AI388" i="1"/>
  <c r="AH388" i="1"/>
  <c r="AT387" i="1"/>
  <c r="AS387" i="1"/>
  <c r="AQ387" i="1"/>
  <c r="AO387" i="1"/>
  <c r="AM387" i="1"/>
  <c r="AN387" i="1" s="1"/>
  <c r="AL387" i="1"/>
  <c r="AK387" i="1"/>
  <c r="AJ387" i="1"/>
  <c r="AI387" i="1"/>
  <c r="AH387" i="1"/>
  <c r="AT386" i="1"/>
  <c r="AS386" i="1"/>
  <c r="AQ386" i="1"/>
  <c r="AO386" i="1"/>
  <c r="AM386" i="1"/>
  <c r="AN386" i="1" s="1"/>
  <c r="AL386" i="1"/>
  <c r="AK386" i="1"/>
  <c r="AJ386" i="1"/>
  <c r="AI386" i="1"/>
  <c r="AH386" i="1"/>
  <c r="AT385" i="1"/>
  <c r="AS385" i="1"/>
  <c r="AQ385" i="1"/>
  <c r="AO385" i="1"/>
  <c r="AN385" i="1"/>
  <c r="AM385" i="1"/>
  <c r="AL385" i="1"/>
  <c r="AK385" i="1"/>
  <c r="AJ385" i="1"/>
  <c r="AI385" i="1"/>
  <c r="AH385" i="1"/>
  <c r="AT384" i="1"/>
  <c r="AS384" i="1"/>
  <c r="AQ384" i="1"/>
  <c r="AO384" i="1"/>
  <c r="AM384" i="1"/>
  <c r="AN384" i="1" s="1"/>
  <c r="AL384" i="1"/>
  <c r="AK384" i="1"/>
  <c r="AJ384" i="1"/>
  <c r="AI384" i="1"/>
  <c r="AH384" i="1"/>
  <c r="AT383" i="1"/>
  <c r="AS383" i="1"/>
  <c r="AQ383" i="1"/>
  <c r="AO383" i="1"/>
  <c r="AM383" i="1"/>
  <c r="AN383" i="1" s="1"/>
  <c r="AL383" i="1"/>
  <c r="AK383" i="1"/>
  <c r="AJ383" i="1"/>
  <c r="AI383" i="1"/>
  <c r="AH383" i="1"/>
  <c r="AT382" i="1"/>
  <c r="AS382" i="1"/>
  <c r="AQ382" i="1"/>
  <c r="AO382" i="1"/>
  <c r="AM382" i="1"/>
  <c r="AN382" i="1" s="1"/>
  <c r="AL382" i="1"/>
  <c r="AK382" i="1"/>
  <c r="AJ382" i="1"/>
  <c r="AI382" i="1"/>
  <c r="AH382" i="1"/>
  <c r="AT381" i="1"/>
  <c r="AS381" i="1"/>
  <c r="AQ381" i="1"/>
  <c r="AO381" i="1"/>
  <c r="AM381" i="1"/>
  <c r="AN381" i="1" s="1"/>
  <c r="AL381" i="1"/>
  <c r="AK381" i="1"/>
  <c r="AJ381" i="1"/>
  <c r="AI381" i="1"/>
  <c r="AH381" i="1"/>
  <c r="AT380" i="1"/>
  <c r="AS380" i="1"/>
  <c r="AQ380" i="1"/>
  <c r="AO380" i="1"/>
  <c r="AM380" i="1"/>
  <c r="AN380" i="1" s="1"/>
  <c r="AL380" i="1"/>
  <c r="AK380" i="1"/>
  <c r="AJ380" i="1"/>
  <c r="AI380" i="1"/>
  <c r="AH380" i="1"/>
  <c r="AT379" i="1"/>
  <c r="AS379" i="1"/>
  <c r="AQ379" i="1"/>
  <c r="AO379" i="1"/>
  <c r="AM379" i="1"/>
  <c r="AN379" i="1" s="1"/>
  <c r="AL379" i="1"/>
  <c r="AK379" i="1"/>
  <c r="AJ379" i="1"/>
  <c r="AI379" i="1"/>
  <c r="AH379" i="1"/>
  <c r="AT378" i="1"/>
  <c r="AS378" i="1"/>
  <c r="AQ378" i="1"/>
  <c r="AO378" i="1"/>
  <c r="AM378" i="1"/>
  <c r="AN378" i="1" s="1"/>
  <c r="AL378" i="1"/>
  <c r="AK378" i="1"/>
  <c r="AJ378" i="1"/>
  <c r="AI378" i="1"/>
  <c r="AH378" i="1"/>
  <c r="AT377" i="1"/>
  <c r="AS377" i="1"/>
  <c r="AQ377" i="1"/>
  <c r="AO377" i="1"/>
  <c r="AM377" i="1"/>
  <c r="AN377" i="1" s="1"/>
  <c r="AL377" i="1"/>
  <c r="AK377" i="1"/>
  <c r="AJ377" i="1"/>
  <c r="AI377" i="1"/>
  <c r="AH377" i="1"/>
  <c r="AT376" i="1"/>
  <c r="AS376" i="1"/>
  <c r="AQ376" i="1"/>
  <c r="AO376" i="1"/>
  <c r="AM376" i="1"/>
  <c r="AN376" i="1" s="1"/>
  <c r="AL376" i="1"/>
  <c r="AK376" i="1"/>
  <c r="AJ376" i="1"/>
  <c r="AI376" i="1"/>
  <c r="AH376" i="1"/>
  <c r="AT375" i="1"/>
  <c r="AS375" i="1"/>
  <c r="AQ375" i="1"/>
  <c r="AO375" i="1"/>
  <c r="AM375" i="1"/>
  <c r="AN375" i="1" s="1"/>
  <c r="AL375" i="1"/>
  <c r="AK375" i="1"/>
  <c r="AJ375" i="1"/>
  <c r="AI375" i="1"/>
  <c r="AH375" i="1"/>
  <c r="AT374" i="1"/>
  <c r="AS374" i="1"/>
  <c r="AQ374" i="1"/>
  <c r="AO374" i="1"/>
  <c r="AM374" i="1"/>
  <c r="AN374" i="1" s="1"/>
  <c r="AL374" i="1"/>
  <c r="AK374" i="1"/>
  <c r="AJ374" i="1"/>
  <c r="AI374" i="1"/>
  <c r="AH374" i="1"/>
  <c r="AT373" i="1"/>
  <c r="AS373" i="1"/>
  <c r="AQ373" i="1"/>
  <c r="AO373" i="1"/>
  <c r="AM373" i="1"/>
  <c r="AN373" i="1" s="1"/>
  <c r="AL373" i="1"/>
  <c r="AK373" i="1"/>
  <c r="AJ373" i="1"/>
  <c r="AI373" i="1"/>
  <c r="AH373" i="1"/>
  <c r="AT372" i="1"/>
  <c r="AS372" i="1"/>
  <c r="AQ372" i="1"/>
  <c r="AO372" i="1"/>
  <c r="AM372" i="1"/>
  <c r="AN372" i="1" s="1"/>
  <c r="AL372" i="1"/>
  <c r="AK372" i="1"/>
  <c r="AJ372" i="1"/>
  <c r="AI372" i="1"/>
  <c r="AH372" i="1"/>
  <c r="AT371" i="1"/>
  <c r="AS371" i="1"/>
  <c r="AQ371" i="1"/>
  <c r="AO371" i="1"/>
  <c r="AM371" i="1"/>
  <c r="AN371" i="1" s="1"/>
  <c r="AL371" i="1"/>
  <c r="AK371" i="1"/>
  <c r="AJ371" i="1"/>
  <c r="AI371" i="1"/>
  <c r="AH371" i="1"/>
  <c r="AT370" i="1"/>
  <c r="AS370" i="1"/>
  <c r="AQ370" i="1"/>
  <c r="AO370" i="1"/>
  <c r="AN370" i="1"/>
  <c r="AM370" i="1"/>
  <c r="AL370" i="1"/>
  <c r="AK370" i="1"/>
  <c r="AJ370" i="1"/>
  <c r="AI370" i="1"/>
  <c r="AH370" i="1"/>
  <c r="AT369" i="1"/>
  <c r="AS369" i="1"/>
  <c r="AQ369" i="1"/>
  <c r="AO369" i="1"/>
  <c r="AM369" i="1"/>
  <c r="AN369" i="1" s="1"/>
  <c r="AL369" i="1"/>
  <c r="AK369" i="1"/>
  <c r="AJ369" i="1"/>
  <c r="AI369" i="1"/>
  <c r="AH369" i="1"/>
  <c r="AT368" i="1"/>
  <c r="AS368" i="1"/>
  <c r="AQ368" i="1"/>
  <c r="AO368" i="1"/>
  <c r="AM368" i="1"/>
  <c r="AN368" i="1" s="1"/>
  <c r="AL368" i="1"/>
  <c r="AK368" i="1"/>
  <c r="AJ368" i="1"/>
  <c r="AI368" i="1"/>
  <c r="AH368" i="1"/>
  <c r="AT367" i="1"/>
  <c r="AS367" i="1"/>
  <c r="AQ367" i="1"/>
  <c r="AO367" i="1"/>
  <c r="AM367" i="1"/>
  <c r="AN367" i="1" s="1"/>
  <c r="AL367" i="1"/>
  <c r="AK367" i="1"/>
  <c r="AJ367" i="1"/>
  <c r="AI367" i="1"/>
  <c r="AH367" i="1"/>
  <c r="AT366" i="1"/>
  <c r="AS366" i="1"/>
  <c r="AQ366" i="1"/>
  <c r="AO366" i="1"/>
  <c r="AM366" i="1"/>
  <c r="AN366" i="1" s="1"/>
  <c r="AL366" i="1"/>
  <c r="AK366" i="1"/>
  <c r="AJ366" i="1"/>
  <c r="AI366" i="1"/>
  <c r="AH366" i="1"/>
  <c r="AT365" i="1"/>
  <c r="AS365" i="1"/>
  <c r="AQ365" i="1"/>
  <c r="AO365" i="1"/>
  <c r="AM365" i="1"/>
  <c r="AN365" i="1" s="1"/>
  <c r="AL365" i="1"/>
  <c r="AK365" i="1"/>
  <c r="AJ365" i="1"/>
  <c r="AI365" i="1"/>
  <c r="AH365" i="1"/>
  <c r="AT364" i="1"/>
  <c r="AS364" i="1"/>
  <c r="AQ364" i="1"/>
  <c r="AO364" i="1"/>
  <c r="AM364" i="1"/>
  <c r="AN364" i="1" s="1"/>
  <c r="AL364" i="1"/>
  <c r="AK364" i="1"/>
  <c r="AJ364" i="1"/>
  <c r="AI364" i="1"/>
  <c r="AH364" i="1"/>
  <c r="AT363" i="1"/>
  <c r="AS363" i="1"/>
  <c r="AQ363" i="1"/>
  <c r="AO363" i="1"/>
  <c r="AM363" i="1"/>
  <c r="AN363" i="1" s="1"/>
  <c r="AL363" i="1"/>
  <c r="AK363" i="1"/>
  <c r="AJ363" i="1"/>
  <c r="AI363" i="1"/>
  <c r="AH363" i="1"/>
  <c r="AT362" i="1"/>
  <c r="AS362" i="1"/>
  <c r="AQ362" i="1"/>
  <c r="AO362" i="1"/>
  <c r="AM362" i="1"/>
  <c r="AN362" i="1" s="1"/>
  <c r="AL362" i="1"/>
  <c r="AK362" i="1"/>
  <c r="AJ362" i="1"/>
  <c r="AI362" i="1"/>
  <c r="AH362" i="1"/>
  <c r="AT361" i="1"/>
  <c r="AS361" i="1"/>
  <c r="AQ361" i="1"/>
  <c r="AO361" i="1"/>
  <c r="AM361" i="1"/>
  <c r="AN361" i="1" s="1"/>
  <c r="AL361" i="1"/>
  <c r="AK361" i="1"/>
  <c r="AJ361" i="1"/>
  <c r="AI361" i="1"/>
  <c r="AH361" i="1"/>
  <c r="AT360" i="1"/>
  <c r="AS360" i="1"/>
  <c r="AQ360" i="1"/>
  <c r="AO360" i="1"/>
  <c r="AM360" i="1"/>
  <c r="AN360" i="1" s="1"/>
  <c r="AL360" i="1"/>
  <c r="AK360" i="1"/>
  <c r="AJ360" i="1"/>
  <c r="AI360" i="1"/>
  <c r="AH360" i="1"/>
  <c r="AT359" i="1"/>
  <c r="AS359" i="1"/>
  <c r="AQ359" i="1"/>
  <c r="AO359" i="1"/>
  <c r="AM359" i="1"/>
  <c r="AN359" i="1" s="1"/>
  <c r="AL359" i="1"/>
  <c r="AK359" i="1"/>
  <c r="AJ359" i="1"/>
  <c r="AI359" i="1"/>
  <c r="AH359" i="1"/>
  <c r="AT358" i="1"/>
  <c r="AS358" i="1"/>
  <c r="AQ358" i="1"/>
  <c r="AO358" i="1"/>
  <c r="AM358" i="1"/>
  <c r="AN358" i="1" s="1"/>
  <c r="AL358" i="1"/>
  <c r="AK358" i="1"/>
  <c r="AJ358" i="1"/>
  <c r="AI358" i="1"/>
  <c r="AH358" i="1"/>
  <c r="AT357" i="1"/>
  <c r="AS357" i="1"/>
  <c r="AQ357" i="1"/>
  <c r="AO357" i="1"/>
  <c r="AM357" i="1"/>
  <c r="AN357" i="1" s="1"/>
  <c r="AL357" i="1"/>
  <c r="AK357" i="1"/>
  <c r="AJ357" i="1"/>
  <c r="AI357" i="1"/>
  <c r="AH357" i="1"/>
  <c r="AT356" i="1"/>
  <c r="AS356" i="1"/>
  <c r="AQ356" i="1"/>
  <c r="AO356" i="1"/>
  <c r="AM356" i="1"/>
  <c r="AN356" i="1" s="1"/>
  <c r="AL356" i="1"/>
  <c r="AK356" i="1"/>
  <c r="AJ356" i="1"/>
  <c r="AI356" i="1"/>
  <c r="AH356" i="1"/>
  <c r="AT355" i="1"/>
  <c r="AS355" i="1"/>
  <c r="AQ355" i="1"/>
  <c r="AO355" i="1"/>
  <c r="AM355" i="1"/>
  <c r="AN355" i="1" s="1"/>
  <c r="AL355" i="1"/>
  <c r="AK355" i="1"/>
  <c r="AJ355" i="1"/>
  <c r="AI355" i="1"/>
  <c r="AH355" i="1"/>
  <c r="AT354" i="1"/>
  <c r="AS354" i="1"/>
  <c r="AQ354" i="1"/>
  <c r="AO354" i="1"/>
  <c r="AM354" i="1"/>
  <c r="AN354" i="1" s="1"/>
  <c r="AL354" i="1"/>
  <c r="AK354" i="1"/>
  <c r="AJ354" i="1"/>
  <c r="AI354" i="1"/>
  <c r="AH354" i="1"/>
  <c r="AT353" i="1"/>
  <c r="AS353" i="1"/>
  <c r="AQ353" i="1"/>
  <c r="AO353" i="1"/>
  <c r="AM353" i="1"/>
  <c r="AN353" i="1" s="1"/>
  <c r="AL353" i="1"/>
  <c r="AK353" i="1"/>
  <c r="AJ353" i="1"/>
  <c r="AI353" i="1"/>
  <c r="AH353" i="1"/>
  <c r="AT352" i="1"/>
  <c r="AS352" i="1"/>
  <c r="AQ352" i="1"/>
  <c r="AO352" i="1"/>
  <c r="AM352" i="1"/>
  <c r="AN352" i="1" s="1"/>
  <c r="AL352" i="1"/>
  <c r="AK352" i="1"/>
  <c r="AJ352" i="1"/>
  <c r="AI352" i="1"/>
  <c r="AH352" i="1"/>
  <c r="AT351" i="1"/>
  <c r="AS351" i="1"/>
  <c r="AQ351" i="1"/>
  <c r="AO351" i="1"/>
  <c r="AM351" i="1"/>
  <c r="AN351" i="1" s="1"/>
  <c r="AL351" i="1"/>
  <c r="AK351" i="1"/>
  <c r="AJ351" i="1"/>
  <c r="AI351" i="1"/>
  <c r="AH351" i="1"/>
  <c r="AT350" i="1"/>
  <c r="AS350" i="1"/>
  <c r="AQ350" i="1"/>
  <c r="AO350" i="1"/>
  <c r="AM350" i="1"/>
  <c r="AN350" i="1" s="1"/>
  <c r="AL350" i="1"/>
  <c r="AK350" i="1"/>
  <c r="AJ350" i="1"/>
  <c r="AI350" i="1"/>
  <c r="AH350" i="1"/>
  <c r="AT349" i="1"/>
  <c r="AS349" i="1"/>
  <c r="AQ349" i="1"/>
  <c r="AO349" i="1"/>
  <c r="AM349" i="1"/>
  <c r="AN349" i="1" s="1"/>
  <c r="AL349" i="1"/>
  <c r="AK349" i="1"/>
  <c r="AJ349" i="1"/>
  <c r="AI349" i="1"/>
  <c r="AH349" i="1"/>
  <c r="AT348" i="1"/>
  <c r="AS348" i="1"/>
  <c r="AQ348" i="1"/>
  <c r="AO348" i="1"/>
  <c r="AM348" i="1"/>
  <c r="AN348" i="1" s="1"/>
  <c r="AL348" i="1"/>
  <c r="AK348" i="1"/>
  <c r="AJ348" i="1"/>
  <c r="AI348" i="1"/>
  <c r="AH348" i="1"/>
  <c r="AT347" i="1"/>
  <c r="AS347" i="1"/>
  <c r="AQ347" i="1"/>
  <c r="AO347" i="1"/>
  <c r="AM347" i="1"/>
  <c r="AN347" i="1" s="1"/>
  <c r="AL347" i="1"/>
  <c r="AK347" i="1"/>
  <c r="AJ347" i="1"/>
  <c r="AI347" i="1"/>
  <c r="AH347" i="1"/>
  <c r="AT346" i="1"/>
  <c r="AS346" i="1"/>
  <c r="AQ346" i="1"/>
  <c r="AO346" i="1"/>
  <c r="AM346" i="1"/>
  <c r="AN346" i="1" s="1"/>
  <c r="AL346" i="1"/>
  <c r="AK346" i="1"/>
  <c r="AJ346" i="1"/>
  <c r="AI346" i="1"/>
  <c r="AH346" i="1"/>
  <c r="AT345" i="1"/>
  <c r="AS345" i="1"/>
  <c r="AQ345" i="1"/>
  <c r="AO345" i="1"/>
  <c r="AM345" i="1"/>
  <c r="AN345" i="1" s="1"/>
  <c r="AL345" i="1"/>
  <c r="AK345" i="1"/>
  <c r="AJ345" i="1"/>
  <c r="AI345" i="1"/>
  <c r="AH345" i="1"/>
  <c r="AT344" i="1"/>
  <c r="AS344" i="1"/>
  <c r="AQ344" i="1"/>
  <c r="AO344" i="1"/>
  <c r="AM344" i="1"/>
  <c r="AN344" i="1" s="1"/>
  <c r="AL344" i="1"/>
  <c r="AK344" i="1"/>
  <c r="AJ344" i="1"/>
  <c r="AI344" i="1"/>
  <c r="AH344" i="1"/>
  <c r="AT343" i="1"/>
  <c r="AS343" i="1"/>
  <c r="AQ343" i="1"/>
  <c r="AO343" i="1"/>
  <c r="AM343" i="1"/>
  <c r="AN343" i="1" s="1"/>
  <c r="AL343" i="1"/>
  <c r="AK343" i="1"/>
  <c r="AJ343" i="1"/>
  <c r="AI343" i="1"/>
  <c r="AH343" i="1"/>
  <c r="AT342" i="1"/>
  <c r="AS342" i="1"/>
  <c r="AQ342" i="1"/>
  <c r="AO342" i="1"/>
  <c r="AM342" i="1"/>
  <c r="AN342" i="1" s="1"/>
  <c r="AL342" i="1"/>
  <c r="AK342" i="1"/>
  <c r="AJ342" i="1"/>
  <c r="AI342" i="1"/>
  <c r="AH342" i="1"/>
  <c r="AT341" i="1"/>
  <c r="AS341" i="1"/>
  <c r="AQ341" i="1"/>
  <c r="AO341" i="1"/>
  <c r="AM341" i="1"/>
  <c r="AN341" i="1" s="1"/>
  <c r="AL341" i="1"/>
  <c r="AK341" i="1"/>
  <c r="AJ341" i="1"/>
  <c r="AI341" i="1"/>
  <c r="AH341" i="1"/>
  <c r="AT340" i="1"/>
  <c r="AS340" i="1"/>
  <c r="AQ340" i="1"/>
  <c r="AO340" i="1"/>
  <c r="AM340" i="1"/>
  <c r="AN340" i="1" s="1"/>
  <c r="AL340" i="1"/>
  <c r="AK340" i="1"/>
  <c r="AJ340" i="1"/>
  <c r="AI340" i="1"/>
  <c r="AH340" i="1"/>
  <c r="AT339" i="1"/>
  <c r="AS339" i="1"/>
  <c r="AQ339" i="1"/>
  <c r="AO339" i="1"/>
  <c r="AM339" i="1"/>
  <c r="AN339" i="1" s="1"/>
  <c r="AL339" i="1"/>
  <c r="AK339" i="1"/>
  <c r="AJ339" i="1"/>
  <c r="AI339" i="1"/>
  <c r="AH339" i="1"/>
  <c r="AT338" i="1"/>
  <c r="AS338" i="1"/>
  <c r="AQ338" i="1"/>
  <c r="AO338" i="1"/>
  <c r="AM338" i="1"/>
  <c r="AN338" i="1" s="1"/>
  <c r="AL338" i="1"/>
  <c r="AK338" i="1"/>
  <c r="AJ338" i="1"/>
  <c r="AI338" i="1"/>
  <c r="AH338" i="1"/>
  <c r="AT337" i="1"/>
  <c r="AS337" i="1"/>
  <c r="AQ337" i="1"/>
  <c r="AO337" i="1"/>
  <c r="AM337" i="1"/>
  <c r="AN337" i="1" s="1"/>
  <c r="AL337" i="1"/>
  <c r="AK337" i="1"/>
  <c r="AJ337" i="1"/>
  <c r="AI337" i="1"/>
  <c r="AH337" i="1"/>
  <c r="AT336" i="1"/>
  <c r="AS336" i="1"/>
  <c r="AQ336" i="1"/>
  <c r="AO336" i="1"/>
  <c r="AM336" i="1"/>
  <c r="AN336" i="1" s="1"/>
  <c r="AL336" i="1"/>
  <c r="AK336" i="1"/>
  <c r="AJ336" i="1"/>
  <c r="AI336" i="1"/>
  <c r="AH336" i="1"/>
  <c r="AT335" i="1"/>
  <c r="AS335" i="1"/>
  <c r="AQ335" i="1"/>
  <c r="AO335" i="1"/>
  <c r="AM335" i="1"/>
  <c r="AN335" i="1" s="1"/>
  <c r="AL335" i="1"/>
  <c r="AK335" i="1"/>
  <c r="AJ335" i="1"/>
  <c r="AI335" i="1"/>
  <c r="AH335" i="1"/>
  <c r="AT334" i="1"/>
  <c r="AS334" i="1"/>
  <c r="AQ334" i="1"/>
  <c r="AO334" i="1"/>
  <c r="AM334" i="1"/>
  <c r="AN334" i="1" s="1"/>
  <c r="AL334" i="1"/>
  <c r="AK334" i="1"/>
  <c r="AJ334" i="1"/>
  <c r="AI334" i="1"/>
  <c r="AH334" i="1"/>
  <c r="AT333" i="1"/>
  <c r="AS333" i="1"/>
  <c r="AQ333" i="1"/>
  <c r="AO333" i="1"/>
  <c r="AM333" i="1"/>
  <c r="AN333" i="1" s="1"/>
  <c r="AL333" i="1"/>
  <c r="AK333" i="1"/>
  <c r="AJ333" i="1"/>
  <c r="AI333" i="1"/>
  <c r="AH333" i="1"/>
  <c r="AT332" i="1"/>
  <c r="AS332" i="1"/>
  <c r="AQ332" i="1"/>
  <c r="AO332" i="1"/>
  <c r="AM332" i="1"/>
  <c r="AN332" i="1" s="1"/>
  <c r="AL332" i="1"/>
  <c r="AK332" i="1"/>
  <c r="AJ332" i="1"/>
  <c r="AI332" i="1"/>
  <c r="AH332" i="1"/>
  <c r="AT331" i="1"/>
  <c r="AS331" i="1"/>
  <c r="AQ331" i="1"/>
  <c r="AO331" i="1"/>
  <c r="AM331" i="1"/>
  <c r="AN331" i="1" s="1"/>
  <c r="AL331" i="1"/>
  <c r="AK331" i="1"/>
  <c r="AJ331" i="1"/>
  <c r="AI331" i="1"/>
  <c r="AH331" i="1"/>
  <c r="AT330" i="1"/>
  <c r="AS330" i="1"/>
  <c r="AQ330" i="1"/>
  <c r="AO330" i="1"/>
  <c r="AM330" i="1"/>
  <c r="AN330" i="1" s="1"/>
  <c r="AL330" i="1"/>
  <c r="AK330" i="1"/>
  <c r="AJ330" i="1"/>
  <c r="AI330" i="1"/>
  <c r="AH330" i="1"/>
  <c r="AT329" i="1"/>
  <c r="AS329" i="1"/>
  <c r="AQ329" i="1"/>
  <c r="AO329" i="1"/>
  <c r="AM329" i="1"/>
  <c r="AN329" i="1" s="1"/>
  <c r="AL329" i="1"/>
  <c r="AK329" i="1"/>
  <c r="AJ329" i="1"/>
  <c r="AI329" i="1"/>
  <c r="AH329" i="1"/>
  <c r="AT328" i="1"/>
  <c r="AS328" i="1"/>
  <c r="AQ328" i="1"/>
  <c r="AO328" i="1"/>
  <c r="AM328" i="1"/>
  <c r="AN328" i="1" s="1"/>
  <c r="AL328" i="1"/>
  <c r="AK328" i="1"/>
  <c r="AJ328" i="1"/>
  <c r="AI328" i="1"/>
  <c r="AH328" i="1"/>
  <c r="AT327" i="1"/>
  <c r="AS327" i="1"/>
  <c r="AQ327" i="1"/>
  <c r="AO327" i="1"/>
  <c r="AM327" i="1"/>
  <c r="AN327" i="1" s="1"/>
  <c r="AL327" i="1"/>
  <c r="AK327" i="1"/>
  <c r="AJ327" i="1"/>
  <c r="AI327" i="1"/>
  <c r="AH327" i="1"/>
  <c r="AT326" i="1"/>
  <c r="AS326" i="1"/>
  <c r="AQ326" i="1"/>
  <c r="AO326" i="1"/>
  <c r="AM326" i="1"/>
  <c r="AN326" i="1" s="1"/>
  <c r="AL326" i="1"/>
  <c r="AK326" i="1"/>
  <c r="AJ326" i="1"/>
  <c r="AI326" i="1"/>
  <c r="AH326" i="1"/>
  <c r="AT325" i="1"/>
  <c r="AS325" i="1"/>
  <c r="AQ325" i="1"/>
  <c r="AO325" i="1"/>
  <c r="AM325" i="1"/>
  <c r="AN325" i="1" s="1"/>
  <c r="AL325" i="1"/>
  <c r="AK325" i="1"/>
  <c r="AJ325" i="1"/>
  <c r="AI325" i="1"/>
  <c r="AH325" i="1"/>
  <c r="AT324" i="1"/>
  <c r="AS324" i="1"/>
  <c r="AQ324" i="1"/>
  <c r="AO324" i="1"/>
  <c r="AM324" i="1"/>
  <c r="AN324" i="1" s="1"/>
  <c r="AP324" i="1" s="1"/>
  <c r="AL324" i="1"/>
  <c r="AK324" i="1"/>
  <c r="AJ324" i="1"/>
  <c r="AI324" i="1"/>
  <c r="AH324" i="1"/>
  <c r="AT323" i="1"/>
  <c r="AS323" i="1"/>
  <c r="AQ323" i="1"/>
  <c r="AO323" i="1"/>
  <c r="AM323" i="1"/>
  <c r="AN323" i="1" s="1"/>
  <c r="AL323" i="1"/>
  <c r="AK323" i="1"/>
  <c r="AJ323" i="1"/>
  <c r="AI323" i="1"/>
  <c r="AH323" i="1"/>
  <c r="AT322" i="1"/>
  <c r="AS322" i="1"/>
  <c r="AQ322" i="1"/>
  <c r="AO322" i="1"/>
  <c r="AM322" i="1"/>
  <c r="AN322" i="1" s="1"/>
  <c r="AP322" i="1" s="1"/>
  <c r="AL322" i="1"/>
  <c r="AK322" i="1"/>
  <c r="AJ322" i="1"/>
  <c r="AI322" i="1"/>
  <c r="AH322" i="1"/>
  <c r="AT321" i="1"/>
  <c r="AS321" i="1"/>
  <c r="AQ321" i="1"/>
  <c r="AO321" i="1"/>
  <c r="AM321" i="1"/>
  <c r="AN321" i="1" s="1"/>
  <c r="AL321" i="1"/>
  <c r="AK321" i="1"/>
  <c r="AJ321" i="1"/>
  <c r="AI321" i="1"/>
  <c r="AH321" i="1"/>
  <c r="AT320" i="1"/>
  <c r="AS320" i="1"/>
  <c r="AQ320" i="1"/>
  <c r="AO320" i="1"/>
  <c r="AM320" i="1"/>
  <c r="AN320" i="1" s="1"/>
  <c r="AL320" i="1"/>
  <c r="AK320" i="1"/>
  <c r="AJ320" i="1"/>
  <c r="AI320" i="1"/>
  <c r="AH320" i="1"/>
  <c r="AT319" i="1"/>
  <c r="AS319" i="1"/>
  <c r="AQ319" i="1"/>
  <c r="AO319" i="1"/>
  <c r="AM319" i="1"/>
  <c r="AN319" i="1" s="1"/>
  <c r="AL319" i="1"/>
  <c r="AK319" i="1"/>
  <c r="AJ319" i="1"/>
  <c r="AI319" i="1"/>
  <c r="AH319" i="1"/>
  <c r="AT318" i="1"/>
  <c r="AS318" i="1"/>
  <c r="AQ318" i="1"/>
  <c r="AO318" i="1"/>
  <c r="AM318" i="1"/>
  <c r="AN318" i="1" s="1"/>
  <c r="AL318" i="1"/>
  <c r="AK318" i="1"/>
  <c r="AJ318" i="1"/>
  <c r="AI318" i="1"/>
  <c r="AH318" i="1"/>
  <c r="AT317" i="1"/>
  <c r="AS317" i="1"/>
  <c r="AQ317" i="1"/>
  <c r="AO317" i="1"/>
  <c r="AM317" i="1"/>
  <c r="AN317" i="1" s="1"/>
  <c r="AL317" i="1"/>
  <c r="AK317" i="1"/>
  <c r="AJ317" i="1"/>
  <c r="AI317" i="1"/>
  <c r="AH317" i="1"/>
  <c r="AT316" i="1"/>
  <c r="AS316" i="1"/>
  <c r="AQ316" i="1"/>
  <c r="AO316" i="1"/>
  <c r="AM316" i="1"/>
  <c r="AN316" i="1" s="1"/>
  <c r="AL316" i="1"/>
  <c r="AK316" i="1"/>
  <c r="AJ316" i="1"/>
  <c r="AI316" i="1"/>
  <c r="AH316" i="1"/>
  <c r="AT315" i="1"/>
  <c r="AS315" i="1"/>
  <c r="AQ315" i="1"/>
  <c r="AO315" i="1"/>
  <c r="AM315" i="1"/>
  <c r="AN315" i="1" s="1"/>
  <c r="AL315" i="1"/>
  <c r="AK315" i="1"/>
  <c r="AJ315" i="1"/>
  <c r="AI315" i="1"/>
  <c r="AH315" i="1"/>
  <c r="AT314" i="1"/>
  <c r="AS314" i="1"/>
  <c r="AQ314" i="1"/>
  <c r="AO314" i="1"/>
  <c r="AM314" i="1"/>
  <c r="AN314" i="1" s="1"/>
  <c r="AL314" i="1"/>
  <c r="AK314" i="1"/>
  <c r="AJ314" i="1"/>
  <c r="AI314" i="1"/>
  <c r="AH314" i="1"/>
  <c r="AT313" i="1"/>
  <c r="AS313" i="1"/>
  <c r="AQ313" i="1"/>
  <c r="AO313" i="1"/>
  <c r="AM313" i="1"/>
  <c r="AN313" i="1" s="1"/>
  <c r="AL313" i="1"/>
  <c r="AK313" i="1"/>
  <c r="AJ313" i="1"/>
  <c r="AI313" i="1"/>
  <c r="AH313" i="1"/>
  <c r="AT312" i="1"/>
  <c r="AS312" i="1"/>
  <c r="AQ312" i="1"/>
  <c r="AO312" i="1"/>
  <c r="AM312" i="1"/>
  <c r="AN312" i="1" s="1"/>
  <c r="AL312" i="1"/>
  <c r="AK312" i="1"/>
  <c r="AJ312" i="1"/>
  <c r="AI312" i="1"/>
  <c r="AH312" i="1"/>
  <c r="AT311" i="1"/>
  <c r="AS311" i="1"/>
  <c r="AQ311" i="1"/>
  <c r="AO311" i="1"/>
  <c r="AM311" i="1"/>
  <c r="AN311" i="1" s="1"/>
  <c r="AL311" i="1"/>
  <c r="AK311" i="1"/>
  <c r="AJ311" i="1"/>
  <c r="AI311" i="1"/>
  <c r="AH311" i="1"/>
  <c r="AT310" i="1"/>
  <c r="AS310" i="1"/>
  <c r="AQ310" i="1"/>
  <c r="AO310" i="1"/>
  <c r="AM310" i="1"/>
  <c r="AN310" i="1" s="1"/>
  <c r="AL310" i="1"/>
  <c r="AK310" i="1"/>
  <c r="AJ310" i="1"/>
  <c r="AI310" i="1"/>
  <c r="AH310" i="1"/>
  <c r="AT309" i="1"/>
  <c r="AS309" i="1"/>
  <c r="AQ309" i="1"/>
  <c r="AO309" i="1"/>
  <c r="AM309" i="1"/>
  <c r="AN309" i="1" s="1"/>
  <c r="AL309" i="1"/>
  <c r="AK309" i="1"/>
  <c r="AJ309" i="1"/>
  <c r="AI309" i="1"/>
  <c r="AH309" i="1"/>
  <c r="AT308" i="1"/>
  <c r="AS308" i="1"/>
  <c r="AQ308" i="1"/>
  <c r="AO308" i="1"/>
  <c r="AM308" i="1"/>
  <c r="AN308" i="1" s="1"/>
  <c r="AL308" i="1"/>
  <c r="AK308" i="1"/>
  <c r="AJ308" i="1"/>
  <c r="AI308" i="1"/>
  <c r="AH308" i="1"/>
  <c r="AT307" i="1"/>
  <c r="AS307" i="1"/>
  <c r="AQ307" i="1"/>
  <c r="AO307" i="1"/>
  <c r="AM307" i="1"/>
  <c r="AN307" i="1" s="1"/>
  <c r="AL307" i="1"/>
  <c r="AK307" i="1"/>
  <c r="AJ307" i="1"/>
  <c r="AI307" i="1"/>
  <c r="AH307" i="1"/>
  <c r="AT306" i="1"/>
  <c r="AS306" i="1"/>
  <c r="AQ306" i="1"/>
  <c r="AO306" i="1"/>
  <c r="AM306" i="1"/>
  <c r="AN306" i="1" s="1"/>
  <c r="AL306" i="1"/>
  <c r="AK306" i="1"/>
  <c r="AJ306" i="1"/>
  <c r="AI306" i="1"/>
  <c r="AH306" i="1"/>
  <c r="AT305" i="1"/>
  <c r="AS305" i="1"/>
  <c r="AQ305" i="1"/>
  <c r="AO305" i="1"/>
  <c r="AM305" i="1"/>
  <c r="AN305" i="1" s="1"/>
  <c r="AL305" i="1"/>
  <c r="AK305" i="1"/>
  <c r="AJ305" i="1"/>
  <c r="AI305" i="1"/>
  <c r="AH305" i="1"/>
  <c r="AT304" i="1"/>
  <c r="AS304" i="1"/>
  <c r="AQ304" i="1"/>
  <c r="AO304" i="1"/>
  <c r="AM304" i="1"/>
  <c r="AN304" i="1" s="1"/>
  <c r="AL304" i="1"/>
  <c r="AK304" i="1"/>
  <c r="AJ304" i="1"/>
  <c r="AI304" i="1"/>
  <c r="AH304" i="1"/>
  <c r="AT303" i="1"/>
  <c r="AS303" i="1"/>
  <c r="AQ303" i="1"/>
  <c r="AO303" i="1"/>
  <c r="AM303" i="1"/>
  <c r="AN303" i="1" s="1"/>
  <c r="AL303" i="1"/>
  <c r="AK303" i="1"/>
  <c r="AJ303" i="1"/>
  <c r="AI303" i="1"/>
  <c r="AH303" i="1"/>
  <c r="AT302" i="1"/>
  <c r="AS302" i="1"/>
  <c r="AQ302" i="1"/>
  <c r="AO302" i="1"/>
  <c r="AM302" i="1"/>
  <c r="AN302" i="1" s="1"/>
  <c r="AL302" i="1"/>
  <c r="AK302" i="1"/>
  <c r="AJ302" i="1"/>
  <c r="AI302" i="1"/>
  <c r="AH302" i="1"/>
  <c r="AT301" i="1"/>
  <c r="AS301" i="1"/>
  <c r="AQ301" i="1"/>
  <c r="AO301" i="1"/>
  <c r="AM301" i="1"/>
  <c r="AN301" i="1" s="1"/>
  <c r="AL301" i="1"/>
  <c r="AK301" i="1"/>
  <c r="AJ301" i="1"/>
  <c r="AI301" i="1"/>
  <c r="AH301" i="1"/>
  <c r="AT300" i="1"/>
  <c r="AS300" i="1"/>
  <c r="AQ300" i="1"/>
  <c r="AO300" i="1"/>
  <c r="AM300" i="1"/>
  <c r="AN300" i="1" s="1"/>
  <c r="AL300" i="1"/>
  <c r="AK300" i="1"/>
  <c r="AJ300" i="1"/>
  <c r="AI300" i="1"/>
  <c r="AH300" i="1"/>
  <c r="AT299" i="1"/>
  <c r="AS299" i="1"/>
  <c r="AQ299" i="1"/>
  <c r="AO299" i="1"/>
  <c r="AM299" i="1"/>
  <c r="AN299" i="1" s="1"/>
  <c r="AL299" i="1"/>
  <c r="AK299" i="1"/>
  <c r="AJ299" i="1"/>
  <c r="AI299" i="1"/>
  <c r="AH299" i="1"/>
  <c r="AT298" i="1"/>
  <c r="AS298" i="1"/>
  <c r="AQ298" i="1"/>
  <c r="AO298" i="1"/>
  <c r="AM298" i="1"/>
  <c r="AN298" i="1" s="1"/>
  <c r="AL298" i="1"/>
  <c r="AK298" i="1"/>
  <c r="AJ298" i="1"/>
  <c r="AI298" i="1"/>
  <c r="AH298" i="1"/>
  <c r="AT297" i="1"/>
  <c r="AS297" i="1"/>
  <c r="AQ297" i="1"/>
  <c r="AO297" i="1"/>
  <c r="AM297" i="1"/>
  <c r="AN297" i="1" s="1"/>
  <c r="AL297" i="1"/>
  <c r="AK297" i="1"/>
  <c r="AJ297" i="1"/>
  <c r="AI297" i="1"/>
  <c r="AH297" i="1"/>
  <c r="AT296" i="1"/>
  <c r="AS296" i="1"/>
  <c r="AQ296" i="1"/>
  <c r="AO296" i="1"/>
  <c r="AP296" i="1" s="1"/>
  <c r="AM296" i="1"/>
  <c r="AN296" i="1" s="1"/>
  <c r="AL296" i="1"/>
  <c r="AK296" i="1"/>
  <c r="AJ296" i="1"/>
  <c r="AI296" i="1"/>
  <c r="AH296" i="1"/>
  <c r="AT295" i="1"/>
  <c r="AS295" i="1"/>
  <c r="AQ295" i="1"/>
  <c r="AO295" i="1"/>
  <c r="AM295" i="1"/>
  <c r="AN295" i="1" s="1"/>
  <c r="AL295" i="1"/>
  <c r="AK295" i="1"/>
  <c r="AJ295" i="1"/>
  <c r="AI295" i="1"/>
  <c r="AH295" i="1"/>
  <c r="AT294" i="1"/>
  <c r="AS294" i="1"/>
  <c r="AQ294" i="1"/>
  <c r="AO294" i="1"/>
  <c r="AM294" i="1"/>
  <c r="AN294" i="1" s="1"/>
  <c r="AL294" i="1"/>
  <c r="AK294" i="1"/>
  <c r="AJ294" i="1"/>
  <c r="AI294" i="1"/>
  <c r="AH294" i="1"/>
  <c r="AT293" i="1"/>
  <c r="AS293" i="1"/>
  <c r="AQ293" i="1"/>
  <c r="AO293" i="1"/>
  <c r="AM293" i="1"/>
  <c r="AN293" i="1" s="1"/>
  <c r="AL293" i="1"/>
  <c r="AK293" i="1"/>
  <c r="AJ293" i="1"/>
  <c r="AI293" i="1"/>
  <c r="AH293" i="1"/>
  <c r="AT292" i="1"/>
  <c r="AS292" i="1"/>
  <c r="AQ292" i="1"/>
  <c r="AO292" i="1"/>
  <c r="AM292" i="1"/>
  <c r="AN292" i="1" s="1"/>
  <c r="AL292" i="1"/>
  <c r="AK292" i="1"/>
  <c r="AJ292" i="1"/>
  <c r="AI292" i="1"/>
  <c r="AH292" i="1"/>
  <c r="AT291" i="1"/>
  <c r="AS291" i="1"/>
  <c r="AQ291" i="1"/>
  <c r="AO291" i="1"/>
  <c r="AM291" i="1"/>
  <c r="AN291" i="1" s="1"/>
  <c r="AL291" i="1"/>
  <c r="AK291" i="1"/>
  <c r="AJ291" i="1"/>
  <c r="AI291" i="1"/>
  <c r="AH291" i="1"/>
  <c r="AT290" i="1"/>
  <c r="AS290" i="1"/>
  <c r="AQ290" i="1"/>
  <c r="AO290" i="1"/>
  <c r="AM290" i="1"/>
  <c r="AN290" i="1" s="1"/>
  <c r="AL290" i="1"/>
  <c r="AK290" i="1"/>
  <c r="AJ290" i="1"/>
  <c r="AI290" i="1"/>
  <c r="AH290" i="1"/>
  <c r="AT289" i="1"/>
  <c r="AS289" i="1"/>
  <c r="AQ289" i="1"/>
  <c r="AO289" i="1"/>
  <c r="AM289" i="1"/>
  <c r="AN289" i="1" s="1"/>
  <c r="AL289" i="1"/>
  <c r="AK289" i="1"/>
  <c r="AJ289" i="1"/>
  <c r="AI289" i="1"/>
  <c r="AH289" i="1"/>
  <c r="AT288" i="1"/>
  <c r="AS288" i="1"/>
  <c r="AQ288" i="1"/>
  <c r="AO288" i="1"/>
  <c r="AM288" i="1"/>
  <c r="AN288" i="1" s="1"/>
  <c r="AL288" i="1"/>
  <c r="AK288" i="1"/>
  <c r="AJ288" i="1"/>
  <c r="AI288" i="1"/>
  <c r="AH288" i="1"/>
  <c r="AT287" i="1"/>
  <c r="AS287" i="1"/>
  <c r="AQ287" i="1"/>
  <c r="AO287" i="1"/>
  <c r="AM287" i="1"/>
  <c r="AN287" i="1" s="1"/>
  <c r="AL287" i="1"/>
  <c r="AK287" i="1"/>
  <c r="AJ287" i="1"/>
  <c r="AI287" i="1"/>
  <c r="AH287" i="1"/>
  <c r="AT286" i="1"/>
  <c r="AS286" i="1"/>
  <c r="AQ286" i="1"/>
  <c r="AO286" i="1"/>
  <c r="AM286" i="1"/>
  <c r="AN286" i="1" s="1"/>
  <c r="AL286" i="1"/>
  <c r="AK286" i="1"/>
  <c r="AJ286" i="1"/>
  <c r="AI286" i="1"/>
  <c r="AH286" i="1"/>
  <c r="AT285" i="1"/>
  <c r="AS285" i="1"/>
  <c r="AQ285" i="1"/>
  <c r="AO285" i="1"/>
  <c r="AM285" i="1"/>
  <c r="AN285" i="1" s="1"/>
  <c r="AL285" i="1"/>
  <c r="AK285" i="1"/>
  <c r="AJ285" i="1"/>
  <c r="AI285" i="1"/>
  <c r="AH285" i="1"/>
  <c r="AT284" i="1"/>
  <c r="AS284" i="1"/>
  <c r="AQ284" i="1"/>
  <c r="AO284" i="1"/>
  <c r="AM284" i="1"/>
  <c r="AN284" i="1" s="1"/>
  <c r="AL284" i="1"/>
  <c r="AK284" i="1"/>
  <c r="AJ284" i="1"/>
  <c r="AI284" i="1"/>
  <c r="AH284" i="1"/>
  <c r="AT283" i="1"/>
  <c r="AS283" i="1"/>
  <c r="AQ283" i="1"/>
  <c r="AO283" i="1"/>
  <c r="AM283" i="1"/>
  <c r="AN283" i="1" s="1"/>
  <c r="AL283" i="1"/>
  <c r="AK283" i="1"/>
  <c r="AJ283" i="1"/>
  <c r="AI283" i="1"/>
  <c r="AH283" i="1"/>
  <c r="AT282" i="1"/>
  <c r="AS282" i="1"/>
  <c r="AQ282" i="1"/>
  <c r="AO282" i="1"/>
  <c r="AM282" i="1"/>
  <c r="AN282" i="1" s="1"/>
  <c r="AL282" i="1"/>
  <c r="AK282" i="1"/>
  <c r="AJ282" i="1"/>
  <c r="AI282" i="1"/>
  <c r="AH282" i="1"/>
  <c r="AT281" i="1"/>
  <c r="AS281" i="1"/>
  <c r="AQ281" i="1"/>
  <c r="AO281" i="1"/>
  <c r="AM281" i="1"/>
  <c r="AN281" i="1" s="1"/>
  <c r="AL281" i="1"/>
  <c r="AK281" i="1"/>
  <c r="AJ281" i="1"/>
  <c r="AI281" i="1"/>
  <c r="AH281" i="1"/>
  <c r="AT280" i="1"/>
  <c r="AS280" i="1"/>
  <c r="AQ280" i="1"/>
  <c r="AO280" i="1"/>
  <c r="AM280" i="1"/>
  <c r="AN280" i="1" s="1"/>
  <c r="AL280" i="1"/>
  <c r="AK280" i="1"/>
  <c r="AJ280" i="1"/>
  <c r="AI280" i="1"/>
  <c r="AH280" i="1"/>
  <c r="AT279" i="1"/>
  <c r="AS279" i="1"/>
  <c r="AQ279" i="1"/>
  <c r="AO279" i="1"/>
  <c r="AM279" i="1"/>
  <c r="AN279" i="1" s="1"/>
  <c r="AL279" i="1"/>
  <c r="AK279" i="1"/>
  <c r="AJ279" i="1"/>
  <c r="AI279" i="1"/>
  <c r="AH279" i="1"/>
  <c r="AT278" i="1"/>
  <c r="AS278" i="1"/>
  <c r="AQ278" i="1"/>
  <c r="AO278" i="1"/>
  <c r="AM278" i="1"/>
  <c r="AN278" i="1" s="1"/>
  <c r="AL278" i="1"/>
  <c r="AK278" i="1"/>
  <c r="AJ278" i="1"/>
  <c r="AI278" i="1"/>
  <c r="AH278" i="1"/>
  <c r="AT277" i="1"/>
  <c r="AS277" i="1"/>
  <c r="AQ277" i="1"/>
  <c r="AO277" i="1"/>
  <c r="AM277" i="1"/>
  <c r="AN277" i="1" s="1"/>
  <c r="AL277" i="1"/>
  <c r="AK277" i="1"/>
  <c r="AJ277" i="1"/>
  <c r="AI277" i="1"/>
  <c r="AH277" i="1"/>
  <c r="AT276" i="1"/>
  <c r="AS276" i="1"/>
  <c r="AQ276" i="1"/>
  <c r="AO276" i="1"/>
  <c r="AM276" i="1"/>
  <c r="AN276" i="1" s="1"/>
  <c r="AL276" i="1"/>
  <c r="AK276" i="1"/>
  <c r="AJ276" i="1"/>
  <c r="AI276" i="1"/>
  <c r="AH276" i="1"/>
  <c r="AT275" i="1"/>
  <c r="AS275" i="1"/>
  <c r="AQ275" i="1"/>
  <c r="AO275" i="1"/>
  <c r="AM275" i="1"/>
  <c r="AN275" i="1" s="1"/>
  <c r="AL275" i="1"/>
  <c r="AK275" i="1"/>
  <c r="AJ275" i="1"/>
  <c r="AI275" i="1"/>
  <c r="AH275" i="1"/>
  <c r="AT274" i="1"/>
  <c r="AS274" i="1"/>
  <c r="AQ274" i="1"/>
  <c r="AO274" i="1"/>
  <c r="AM274" i="1"/>
  <c r="AN274" i="1" s="1"/>
  <c r="AL274" i="1"/>
  <c r="AK274" i="1"/>
  <c r="AJ274" i="1"/>
  <c r="AI274" i="1"/>
  <c r="AH274" i="1"/>
  <c r="AT273" i="1"/>
  <c r="AS273" i="1"/>
  <c r="AQ273" i="1"/>
  <c r="AO273" i="1"/>
  <c r="AM273" i="1"/>
  <c r="AN273" i="1" s="1"/>
  <c r="AL273" i="1"/>
  <c r="AK273" i="1"/>
  <c r="AJ273" i="1"/>
  <c r="AI273" i="1"/>
  <c r="AH273" i="1"/>
  <c r="AT272" i="1"/>
  <c r="AS272" i="1"/>
  <c r="AQ272" i="1"/>
  <c r="AO272" i="1"/>
  <c r="AM272" i="1"/>
  <c r="AN272" i="1" s="1"/>
  <c r="AL272" i="1"/>
  <c r="AK272" i="1"/>
  <c r="AJ272" i="1"/>
  <c r="AI272" i="1"/>
  <c r="AH272" i="1"/>
  <c r="AT271" i="1"/>
  <c r="AS271" i="1"/>
  <c r="AQ271" i="1"/>
  <c r="AO271" i="1"/>
  <c r="AM271" i="1"/>
  <c r="AN271" i="1" s="1"/>
  <c r="AL271" i="1"/>
  <c r="AK271" i="1"/>
  <c r="AJ271" i="1"/>
  <c r="AI271" i="1"/>
  <c r="AH271" i="1"/>
  <c r="AT270" i="1"/>
  <c r="AS270" i="1"/>
  <c r="AQ270" i="1"/>
  <c r="AO270" i="1"/>
  <c r="AM270" i="1"/>
  <c r="AN270" i="1" s="1"/>
  <c r="AL270" i="1"/>
  <c r="AK270" i="1"/>
  <c r="AJ270" i="1"/>
  <c r="AI270" i="1"/>
  <c r="AH270" i="1"/>
  <c r="AT269" i="1"/>
  <c r="AS269" i="1"/>
  <c r="AQ269" i="1"/>
  <c r="AO269" i="1"/>
  <c r="AM269" i="1"/>
  <c r="AN269" i="1" s="1"/>
  <c r="AL269" i="1"/>
  <c r="AK269" i="1"/>
  <c r="AJ269" i="1"/>
  <c r="AI269" i="1"/>
  <c r="AH269" i="1"/>
  <c r="AT268" i="1"/>
  <c r="AS268" i="1"/>
  <c r="AQ268" i="1"/>
  <c r="AO268" i="1"/>
  <c r="AM268" i="1"/>
  <c r="AN268" i="1" s="1"/>
  <c r="AL268" i="1"/>
  <c r="AK268" i="1"/>
  <c r="AJ268" i="1"/>
  <c r="AI268" i="1"/>
  <c r="AH268" i="1"/>
  <c r="AT267" i="1"/>
  <c r="AS267" i="1"/>
  <c r="AQ267" i="1"/>
  <c r="AO267" i="1"/>
  <c r="AM267" i="1"/>
  <c r="AN267" i="1" s="1"/>
  <c r="AL267" i="1"/>
  <c r="AK267" i="1"/>
  <c r="AJ267" i="1"/>
  <c r="AI267" i="1"/>
  <c r="AH267" i="1"/>
  <c r="AT266" i="1"/>
  <c r="AS266" i="1"/>
  <c r="AQ266" i="1"/>
  <c r="AO266" i="1"/>
  <c r="AM266" i="1"/>
  <c r="AN266" i="1" s="1"/>
  <c r="AL266" i="1"/>
  <c r="AK266" i="1"/>
  <c r="AJ266" i="1"/>
  <c r="AI266" i="1"/>
  <c r="AH266" i="1"/>
  <c r="AT265" i="1"/>
  <c r="AS265" i="1"/>
  <c r="AQ265" i="1"/>
  <c r="AO265" i="1"/>
  <c r="AM265" i="1"/>
  <c r="AN265" i="1" s="1"/>
  <c r="AL265" i="1"/>
  <c r="AK265" i="1"/>
  <c r="AJ265" i="1"/>
  <c r="AI265" i="1"/>
  <c r="AH265" i="1"/>
  <c r="AT264" i="1"/>
  <c r="AS264" i="1"/>
  <c r="AQ264" i="1"/>
  <c r="AO264" i="1"/>
  <c r="AM264" i="1"/>
  <c r="AN264" i="1" s="1"/>
  <c r="AL264" i="1"/>
  <c r="AK264" i="1"/>
  <c r="AJ264" i="1"/>
  <c r="AI264" i="1"/>
  <c r="AH264" i="1"/>
  <c r="AT263" i="1"/>
  <c r="AS263" i="1"/>
  <c r="AQ263" i="1"/>
  <c r="AO263" i="1"/>
  <c r="AM263" i="1"/>
  <c r="AN263" i="1" s="1"/>
  <c r="AL263" i="1"/>
  <c r="AK263" i="1"/>
  <c r="AJ263" i="1"/>
  <c r="AI263" i="1"/>
  <c r="AH263" i="1"/>
  <c r="AT262" i="1"/>
  <c r="AS262" i="1"/>
  <c r="AQ262" i="1"/>
  <c r="AO262" i="1"/>
  <c r="AM262" i="1"/>
  <c r="AN262" i="1" s="1"/>
  <c r="AL262" i="1"/>
  <c r="AK262" i="1"/>
  <c r="AJ262" i="1"/>
  <c r="AI262" i="1"/>
  <c r="AH262" i="1"/>
  <c r="AT261" i="1"/>
  <c r="AS261" i="1"/>
  <c r="AQ261" i="1"/>
  <c r="AO261" i="1"/>
  <c r="AM261" i="1"/>
  <c r="AN261" i="1" s="1"/>
  <c r="AL261" i="1"/>
  <c r="AK261" i="1"/>
  <c r="AJ261" i="1"/>
  <c r="AI261" i="1"/>
  <c r="AH261" i="1"/>
  <c r="AT260" i="1"/>
  <c r="AS260" i="1"/>
  <c r="AQ260" i="1"/>
  <c r="AO260" i="1"/>
  <c r="AM260" i="1"/>
  <c r="AN260" i="1" s="1"/>
  <c r="AL260" i="1"/>
  <c r="AK260" i="1"/>
  <c r="AJ260" i="1"/>
  <c r="AI260" i="1"/>
  <c r="AH260" i="1"/>
  <c r="AT259" i="1"/>
  <c r="AS259" i="1"/>
  <c r="AQ259" i="1"/>
  <c r="AO259" i="1"/>
  <c r="AM259" i="1"/>
  <c r="AN259" i="1" s="1"/>
  <c r="AL259" i="1"/>
  <c r="AK259" i="1"/>
  <c r="AJ259" i="1"/>
  <c r="AI259" i="1"/>
  <c r="AH259" i="1"/>
  <c r="AT258" i="1"/>
  <c r="AS258" i="1"/>
  <c r="AQ258" i="1"/>
  <c r="AO258" i="1"/>
  <c r="AM258" i="1"/>
  <c r="AN258" i="1" s="1"/>
  <c r="AL258" i="1"/>
  <c r="AK258" i="1"/>
  <c r="AJ258" i="1"/>
  <c r="AI258" i="1"/>
  <c r="AH258" i="1"/>
  <c r="AT257" i="1"/>
  <c r="AS257" i="1"/>
  <c r="AQ257" i="1"/>
  <c r="AO257" i="1"/>
  <c r="AM257" i="1"/>
  <c r="AN257" i="1" s="1"/>
  <c r="AL257" i="1"/>
  <c r="AK257" i="1"/>
  <c r="AJ257" i="1"/>
  <c r="AI257" i="1"/>
  <c r="AH257" i="1"/>
  <c r="AT256" i="1"/>
  <c r="AS256" i="1"/>
  <c r="AQ256" i="1"/>
  <c r="AO256" i="1"/>
  <c r="AM256" i="1"/>
  <c r="AN256" i="1" s="1"/>
  <c r="AL256" i="1"/>
  <c r="AK256" i="1"/>
  <c r="AJ256" i="1"/>
  <c r="AI256" i="1"/>
  <c r="AH256" i="1"/>
  <c r="AT255" i="1"/>
  <c r="AS255" i="1"/>
  <c r="AQ255" i="1"/>
  <c r="AO255" i="1"/>
  <c r="AM255" i="1"/>
  <c r="AN255" i="1" s="1"/>
  <c r="AL255" i="1"/>
  <c r="AK255" i="1"/>
  <c r="AJ255" i="1"/>
  <c r="AI255" i="1"/>
  <c r="AH255" i="1"/>
  <c r="AT254" i="1"/>
  <c r="AS254" i="1"/>
  <c r="AQ254" i="1"/>
  <c r="AO254" i="1"/>
  <c r="AM254" i="1"/>
  <c r="AN254" i="1" s="1"/>
  <c r="AL254" i="1"/>
  <c r="AK254" i="1"/>
  <c r="AJ254" i="1"/>
  <c r="AI254" i="1"/>
  <c r="AH254" i="1"/>
  <c r="AT253" i="1"/>
  <c r="AS253" i="1"/>
  <c r="AQ253" i="1"/>
  <c r="AO253" i="1"/>
  <c r="AM253" i="1"/>
  <c r="AN253" i="1" s="1"/>
  <c r="AL253" i="1"/>
  <c r="AK253" i="1"/>
  <c r="AJ253" i="1"/>
  <c r="AI253" i="1"/>
  <c r="AH253" i="1"/>
  <c r="AT252" i="1"/>
  <c r="AS252" i="1"/>
  <c r="AQ252" i="1"/>
  <c r="AO252" i="1"/>
  <c r="AM252" i="1"/>
  <c r="AN252" i="1" s="1"/>
  <c r="AL252" i="1"/>
  <c r="AK252" i="1"/>
  <c r="AJ252" i="1"/>
  <c r="AI252" i="1"/>
  <c r="AH252" i="1"/>
  <c r="AT251" i="1"/>
  <c r="AS251" i="1"/>
  <c r="AQ251" i="1"/>
  <c r="AO251" i="1"/>
  <c r="AM251" i="1"/>
  <c r="AN251" i="1" s="1"/>
  <c r="AL251" i="1"/>
  <c r="AK251" i="1"/>
  <c r="AJ251" i="1"/>
  <c r="AI251" i="1"/>
  <c r="AH251" i="1"/>
  <c r="AT250" i="1"/>
  <c r="AS250" i="1"/>
  <c r="AQ250" i="1"/>
  <c r="AO250" i="1"/>
  <c r="AM250" i="1"/>
  <c r="AN250" i="1" s="1"/>
  <c r="AL250" i="1"/>
  <c r="AK250" i="1"/>
  <c r="AJ250" i="1"/>
  <c r="AI250" i="1"/>
  <c r="AH250" i="1"/>
  <c r="AT249" i="1"/>
  <c r="AS249" i="1"/>
  <c r="AQ249" i="1"/>
  <c r="AO249" i="1"/>
  <c r="AM249" i="1"/>
  <c r="AN249" i="1" s="1"/>
  <c r="AL249" i="1"/>
  <c r="AK249" i="1"/>
  <c r="AJ249" i="1"/>
  <c r="AI249" i="1"/>
  <c r="AH249" i="1"/>
  <c r="AT248" i="1"/>
  <c r="AS248" i="1"/>
  <c r="AQ248" i="1"/>
  <c r="AO248" i="1"/>
  <c r="AM248" i="1"/>
  <c r="AN248" i="1" s="1"/>
  <c r="AL248" i="1"/>
  <c r="AK248" i="1"/>
  <c r="AJ248" i="1"/>
  <c r="AI248" i="1"/>
  <c r="AH248" i="1"/>
  <c r="AT247" i="1"/>
  <c r="AS247" i="1"/>
  <c r="AQ247" i="1"/>
  <c r="AO247" i="1"/>
  <c r="AM247" i="1"/>
  <c r="AN247" i="1" s="1"/>
  <c r="AL247" i="1"/>
  <c r="AK247" i="1"/>
  <c r="AJ247" i="1"/>
  <c r="AI247" i="1"/>
  <c r="AH247" i="1"/>
  <c r="AT246" i="1"/>
  <c r="AS246" i="1"/>
  <c r="AQ246" i="1"/>
  <c r="AO246" i="1"/>
  <c r="AM246" i="1"/>
  <c r="AN246" i="1" s="1"/>
  <c r="AL246" i="1"/>
  <c r="AK246" i="1"/>
  <c r="AJ246" i="1"/>
  <c r="AI246" i="1"/>
  <c r="AH246" i="1"/>
  <c r="AT245" i="1"/>
  <c r="AS245" i="1"/>
  <c r="AQ245" i="1"/>
  <c r="AO245" i="1"/>
  <c r="AM245" i="1"/>
  <c r="AN245" i="1" s="1"/>
  <c r="AL245" i="1"/>
  <c r="AK245" i="1"/>
  <c r="AJ245" i="1"/>
  <c r="AI245" i="1"/>
  <c r="AH245" i="1"/>
  <c r="AT244" i="1"/>
  <c r="AS244" i="1"/>
  <c r="AQ244" i="1"/>
  <c r="AO244" i="1"/>
  <c r="AM244" i="1"/>
  <c r="AN244" i="1" s="1"/>
  <c r="AL244" i="1"/>
  <c r="AK244" i="1"/>
  <c r="AJ244" i="1"/>
  <c r="AI244" i="1"/>
  <c r="AH244" i="1"/>
  <c r="AT243" i="1"/>
  <c r="AS243" i="1"/>
  <c r="AQ243" i="1"/>
  <c r="AO243" i="1"/>
  <c r="AM243" i="1"/>
  <c r="AN243" i="1" s="1"/>
  <c r="AL243" i="1"/>
  <c r="AK243" i="1"/>
  <c r="AJ243" i="1"/>
  <c r="AI243" i="1"/>
  <c r="AH243" i="1"/>
  <c r="AT242" i="1"/>
  <c r="AS242" i="1"/>
  <c r="AQ242" i="1"/>
  <c r="AO242" i="1"/>
  <c r="AM242" i="1"/>
  <c r="AN242" i="1" s="1"/>
  <c r="AL242" i="1"/>
  <c r="AK242" i="1"/>
  <c r="AJ242" i="1"/>
  <c r="AI242" i="1"/>
  <c r="AH242" i="1"/>
  <c r="AT241" i="1"/>
  <c r="AS241" i="1"/>
  <c r="AQ241" i="1"/>
  <c r="AO241" i="1"/>
  <c r="AM241" i="1"/>
  <c r="AN241" i="1" s="1"/>
  <c r="AL241" i="1"/>
  <c r="AK241" i="1"/>
  <c r="AJ241" i="1"/>
  <c r="AI241" i="1"/>
  <c r="AH241" i="1"/>
  <c r="AT240" i="1"/>
  <c r="AS240" i="1"/>
  <c r="AQ240" i="1"/>
  <c r="AO240" i="1"/>
  <c r="AM240" i="1"/>
  <c r="AN240" i="1" s="1"/>
  <c r="AL240" i="1"/>
  <c r="AK240" i="1"/>
  <c r="AJ240" i="1"/>
  <c r="AI240" i="1"/>
  <c r="AH240" i="1"/>
  <c r="AT239" i="1"/>
  <c r="AS239" i="1"/>
  <c r="AQ239" i="1"/>
  <c r="AO239" i="1"/>
  <c r="AM239" i="1"/>
  <c r="AN239" i="1" s="1"/>
  <c r="AL239" i="1"/>
  <c r="AK239" i="1"/>
  <c r="AJ239" i="1"/>
  <c r="AI239" i="1"/>
  <c r="AH239" i="1"/>
  <c r="AT238" i="1"/>
  <c r="AS238" i="1"/>
  <c r="AQ238" i="1"/>
  <c r="AO238" i="1"/>
  <c r="AM238" i="1"/>
  <c r="AN238" i="1" s="1"/>
  <c r="AL238" i="1"/>
  <c r="AK238" i="1"/>
  <c r="AJ238" i="1"/>
  <c r="AI238" i="1"/>
  <c r="AH238" i="1"/>
  <c r="AT237" i="1"/>
  <c r="AS237" i="1"/>
  <c r="AQ237" i="1"/>
  <c r="AO237" i="1"/>
  <c r="AM237" i="1"/>
  <c r="AN237" i="1" s="1"/>
  <c r="AL237" i="1"/>
  <c r="AK237" i="1"/>
  <c r="AJ237" i="1"/>
  <c r="AI237" i="1"/>
  <c r="AH237" i="1"/>
  <c r="AT236" i="1"/>
  <c r="AS236" i="1"/>
  <c r="AQ236" i="1"/>
  <c r="AO236" i="1"/>
  <c r="AM236" i="1"/>
  <c r="AN236" i="1" s="1"/>
  <c r="AL236" i="1"/>
  <c r="AK236" i="1"/>
  <c r="AJ236" i="1"/>
  <c r="AI236" i="1"/>
  <c r="AH236" i="1"/>
  <c r="AT235" i="1"/>
  <c r="AS235" i="1"/>
  <c r="AQ235" i="1"/>
  <c r="AO235" i="1"/>
  <c r="AM235" i="1"/>
  <c r="AN235" i="1" s="1"/>
  <c r="AL235" i="1"/>
  <c r="AK235" i="1"/>
  <c r="AJ235" i="1"/>
  <c r="AI235" i="1"/>
  <c r="AH235" i="1"/>
  <c r="AT234" i="1"/>
  <c r="AS234" i="1"/>
  <c r="AQ234" i="1"/>
  <c r="AO234" i="1"/>
  <c r="AM234" i="1"/>
  <c r="AN234" i="1" s="1"/>
  <c r="AL234" i="1"/>
  <c r="AK234" i="1"/>
  <c r="AJ234" i="1"/>
  <c r="AI234" i="1"/>
  <c r="AH234" i="1"/>
  <c r="AT233" i="1"/>
  <c r="AS233" i="1"/>
  <c r="AQ233" i="1"/>
  <c r="AO233" i="1"/>
  <c r="AM233" i="1"/>
  <c r="AN233" i="1" s="1"/>
  <c r="AL233" i="1"/>
  <c r="AK233" i="1"/>
  <c r="AJ233" i="1"/>
  <c r="AI233" i="1"/>
  <c r="AH233" i="1"/>
  <c r="AT232" i="1"/>
  <c r="AS232" i="1"/>
  <c r="AQ232" i="1"/>
  <c r="AO232" i="1"/>
  <c r="AM232" i="1"/>
  <c r="AN232" i="1" s="1"/>
  <c r="AL232" i="1"/>
  <c r="AK232" i="1"/>
  <c r="AJ232" i="1"/>
  <c r="AI232" i="1"/>
  <c r="AH232" i="1"/>
  <c r="AT231" i="1"/>
  <c r="AS231" i="1"/>
  <c r="AQ231" i="1"/>
  <c r="AO231" i="1"/>
  <c r="AM231" i="1"/>
  <c r="AN231" i="1" s="1"/>
  <c r="AL231" i="1"/>
  <c r="AK231" i="1"/>
  <c r="AJ231" i="1"/>
  <c r="AI231" i="1"/>
  <c r="AH231" i="1"/>
  <c r="AT230" i="1"/>
  <c r="AS230" i="1"/>
  <c r="AQ230" i="1"/>
  <c r="AO230" i="1"/>
  <c r="AM230" i="1"/>
  <c r="AN230" i="1" s="1"/>
  <c r="AL230" i="1"/>
  <c r="AK230" i="1"/>
  <c r="AJ230" i="1"/>
  <c r="AI230" i="1"/>
  <c r="AH230" i="1"/>
  <c r="AT229" i="1"/>
  <c r="AS229" i="1"/>
  <c r="AQ229" i="1"/>
  <c r="AO229" i="1"/>
  <c r="AM229" i="1"/>
  <c r="AN229" i="1" s="1"/>
  <c r="AL229" i="1"/>
  <c r="AK229" i="1"/>
  <c r="AJ229" i="1"/>
  <c r="AI229" i="1"/>
  <c r="AH229" i="1"/>
  <c r="AT228" i="1"/>
  <c r="AS228" i="1"/>
  <c r="AQ228" i="1"/>
  <c r="AO228" i="1"/>
  <c r="AM228" i="1"/>
  <c r="AN228" i="1" s="1"/>
  <c r="AL228" i="1"/>
  <c r="AK228" i="1"/>
  <c r="AJ228" i="1"/>
  <c r="AI228" i="1"/>
  <c r="AH228" i="1"/>
  <c r="AT227" i="1"/>
  <c r="AS227" i="1"/>
  <c r="AQ227" i="1"/>
  <c r="AO227" i="1"/>
  <c r="AM227" i="1"/>
  <c r="AN227" i="1" s="1"/>
  <c r="AL227" i="1"/>
  <c r="AK227" i="1"/>
  <c r="AJ227" i="1"/>
  <c r="AI227" i="1"/>
  <c r="AH227" i="1"/>
  <c r="AT226" i="1"/>
  <c r="AS226" i="1"/>
  <c r="AQ226" i="1"/>
  <c r="AO226" i="1"/>
  <c r="AM226" i="1"/>
  <c r="AN226" i="1" s="1"/>
  <c r="AL226" i="1"/>
  <c r="AK226" i="1"/>
  <c r="AJ226" i="1"/>
  <c r="AI226" i="1"/>
  <c r="AH226" i="1"/>
  <c r="AT225" i="1"/>
  <c r="AS225" i="1"/>
  <c r="AQ225" i="1"/>
  <c r="AO225" i="1"/>
  <c r="AM225" i="1"/>
  <c r="AN225" i="1" s="1"/>
  <c r="AL225" i="1"/>
  <c r="AK225" i="1"/>
  <c r="AJ225" i="1"/>
  <c r="AI225" i="1"/>
  <c r="AH225" i="1"/>
  <c r="AT224" i="1"/>
  <c r="AS224" i="1"/>
  <c r="AQ224" i="1"/>
  <c r="AO224" i="1"/>
  <c r="AM224" i="1"/>
  <c r="AN224" i="1" s="1"/>
  <c r="AL224" i="1"/>
  <c r="AK224" i="1"/>
  <c r="AJ224" i="1"/>
  <c r="AI224" i="1"/>
  <c r="AH224" i="1"/>
  <c r="AT223" i="1"/>
  <c r="AS223" i="1"/>
  <c r="AQ223" i="1"/>
  <c r="AO223" i="1"/>
  <c r="AM223" i="1"/>
  <c r="AN223" i="1" s="1"/>
  <c r="AL223" i="1"/>
  <c r="AK223" i="1"/>
  <c r="AJ223" i="1"/>
  <c r="AI223" i="1"/>
  <c r="AH223" i="1"/>
  <c r="AT222" i="1"/>
  <c r="AS222" i="1"/>
  <c r="AQ222" i="1"/>
  <c r="AO222" i="1"/>
  <c r="AM222" i="1"/>
  <c r="AN222" i="1" s="1"/>
  <c r="AL222" i="1"/>
  <c r="AK222" i="1"/>
  <c r="AJ222" i="1"/>
  <c r="AI222" i="1"/>
  <c r="AH222" i="1"/>
  <c r="AT221" i="1"/>
  <c r="AS221" i="1"/>
  <c r="AQ221" i="1"/>
  <c r="AO221" i="1"/>
  <c r="AM221" i="1"/>
  <c r="AN221" i="1" s="1"/>
  <c r="AL221" i="1"/>
  <c r="AK221" i="1"/>
  <c r="AJ221" i="1"/>
  <c r="AI221" i="1"/>
  <c r="AH221" i="1"/>
  <c r="AT220" i="1"/>
  <c r="AS220" i="1"/>
  <c r="AQ220" i="1"/>
  <c r="AO220" i="1"/>
  <c r="AM220" i="1"/>
  <c r="AN220" i="1" s="1"/>
  <c r="AL220" i="1"/>
  <c r="AK220" i="1"/>
  <c r="AJ220" i="1"/>
  <c r="AI220" i="1"/>
  <c r="AH220" i="1"/>
  <c r="AT219" i="1"/>
  <c r="AS219" i="1"/>
  <c r="AQ219" i="1"/>
  <c r="AO219" i="1"/>
  <c r="AM219" i="1"/>
  <c r="AN219" i="1" s="1"/>
  <c r="AL219" i="1"/>
  <c r="AK219" i="1"/>
  <c r="AJ219" i="1"/>
  <c r="AI219" i="1"/>
  <c r="AH219" i="1"/>
  <c r="AT218" i="1"/>
  <c r="AS218" i="1"/>
  <c r="AQ218" i="1"/>
  <c r="AO218" i="1"/>
  <c r="AM218" i="1"/>
  <c r="AN218" i="1" s="1"/>
  <c r="AL218" i="1"/>
  <c r="AK218" i="1"/>
  <c r="AJ218" i="1"/>
  <c r="AI218" i="1"/>
  <c r="AH218" i="1"/>
  <c r="AT217" i="1"/>
  <c r="AS217" i="1"/>
  <c r="AQ217" i="1"/>
  <c r="AO217" i="1"/>
  <c r="AM217" i="1"/>
  <c r="AN217" i="1" s="1"/>
  <c r="AL217" i="1"/>
  <c r="AK217" i="1"/>
  <c r="AJ217" i="1"/>
  <c r="AI217" i="1"/>
  <c r="AH217" i="1"/>
  <c r="AT216" i="1"/>
  <c r="AS216" i="1"/>
  <c r="AQ216" i="1"/>
  <c r="AO216" i="1"/>
  <c r="AM216" i="1"/>
  <c r="AN216" i="1" s="1"/>
  <c r="AL216" i="1"/>
  <c r="AK216" i="1"/>
  <c r="AJ216" i="1"/>
  <c r="AI216" i="1"/>
  <c r="AH216" i="1"/>
  <c r="AT215" i="1"/>
  <c r="AS215" i="1"/>
  <c r="AQ215" i="1"/>
  <c r="AO215" i="1"/>
  <c r="AM215" i="1"/>
  <c r="AN215" i="1" s="1"/>
  <c r="AL215" i="1"/>
  <c r="AK215" i="1"/>
  <c r="AJ215" i="1"/>
  <c r="AI215" i="1"/>
  <c r="AH215" i="1"/>
  <c r="AT214" i="1"/>
  <c r="AS214" i="1"/>
  <c r="AQ214" i="1"/>
  <c r="AO214" i="1"/>
  <c r="AM214" i="1"/>
  <c r="AN214" i="1" s="1"/>
  <c r="AL214" i="1"/>
  <c r="AK214" i="1"/>
  <c r="AJ214" i="1"/>
  <c r="AI214" i="1"/>
  <c r="AH214" i="1"/>
  <c r="AT213" i="1"/>
  <c r="AS213" i="1"/>
  <c r="AQ213" i="1"/>
  <c r="AO213" i="1"/>
  <c r="AM213" i="1"/>
  <c r="AN213" i="1" s="1"/>
  <c r="AL213" i="1"/>
  <c r="AK213" i="1"/>
  <c r="AJ213" i="1"/>
  <c r="AI213" i="1"/>
  <c r="AH213" i="1"/>
  <c r="AT212" i="1"/>
  <c r="AS212" i="1"/>
  <c r="AQ212" i="1"/>
  <c r="AO212" i="1"/>
  <c r="AM212" i="1"/>
  <c r="AN212" i="1" s="1"/>
  <c r="AL212" i="1"/>
  <c r="AK212" i="1"/>
  <c r="AJ212" i="1"/>
  <c r="AI212" i="1"/>
  <c r="AH212" i="1"/>
  <c r="AT211" i="1"/>
  <c r="AS211" i="1"/>
  <c r="AQ211" i="1"/>
  <c r="AO211" i="1"/>
  <c r="AM211" i="1"/>
  <c r="AN211" i="1" s="1"/>
  <c r="AL211" i="1"/>
  <c r="AK211" i="1"/>
  <c r="AJ211" i="1"/>
  <c r="AI211" i="1"/>
  <c r="AH211" i="1"/>
  <c r="AT210" i="1"/>
  <c r="AS210" i="1"/>
  <c r="AQ210" i="1"/>
  <c r="AO210" i="1"/>
  <c r="AM210" i="1"/>
  <c r="AN210" i="1" s="1"/>
  <c r="AL210" i="1"/>
  <c r="AK210" i="1"/>
  <c r="AJ210" i="1"/>
  <c r="AI210" i="1"/>
  <c r="AH210" i="1"/>
  <c r="AT209" i="1"/>
  <c r="AS209" i="1"/>
  <c r="AQ209" i="1"/>
  <c r="AO209" i="1"/>
  <c r="AM209" i="1"/>
  <c r="AN209" i="1" s="1"/>
  <c r="AL209" i="1"/>
  <c r="AK209" i="1"/>
  <c r="AJ209" i="1"/>
  <c r="AI209" i="1"/>
  <c r="AH209" i="1"/>
  <c r="AT208" i="1"/>
  <c r="AS208" i="1"/>
  <c r="AQ208" i="1"/>
  <c r="AO208" i="1"/>
  <c r="AM208" i="1"/>
  <c r="AN208" i="1" s="1"/>
  <c r="AL208" i="1"/>
  <c r="AK208" i="1"/>
  <c r="AJ208" i="1"/>
  <c r="AI208" i="1"/>
  <c r="AH208" i="1"/>
  <c r="AT207" i="1"/>
  <c r="AS207" i="1"/>
  <c r="AQ207" i="1"/>
  <c r="AO207" i="1"/>
  <c r="AM207" i="1"/>
  <c r="AN207" i="1" s="1"/>
  <c r="AL207" i="1"/>
  <c r="AK207" i="1"/>
  <c r="AJ207" i="1"/>
  <c r="AI207" i="1"/>
  <c r="AH207" i="1"/>
  <c r="AT206" i="1"/>
  <c r="AS206" i="1"/>
  <c r="AQ206" i="1"/>
  <c r="AO206" i="1"/>
  <c r="AM206" i="1"/>
  <c r="AN206" i="1" s="1"/>
  <c r="AL206" i="1"/>
  <c r="AK206" i="1"/>
  <c r="AJ206" i="1"/>
  <c r="AI206" i="1"/>
  <c r="AH206" i="1"/>
  <c r="AT205" i="1"/>
  <c r="AS205" i="1"/>
  <c r="AQ205" i="1"/>
  <c r="AO205" i="1"/>
  <c r="AM205" i="1"/>
  <c r="AN205" i="1" s="1"/>
  <c r="AL205" i="1"/>
  <c r="AK205" i="1"/>
  <c r="AJ205" i="1"/>
  <c r="AI205" i="1"/>
  <c r="AH205" i="1"/>
  <c r="AT204" i="1"/>
  <c r="AS204" i="1"/>
  <c r="AQ204" i="1"/>
  <c r="AO204" i="1"/>
  <c r="AM204" i="1"/>
  <c r="AN204" i="1" s="1"/>
  <c r="AL204" i="1"/>
  <c r="AK204" i="1"/>
  <c r="AJ204" i="1"/>
  <c r="AI204" i="1"/>
  <c r="AH204" i="1"/>
  <c r="AT203" i="1"/>
  <c r="AS203" i="1"/>
  <c r="AQ203" i="1"/>
  <c r="AO203" i="1"/>
  <c r="AM203" i="1"/>
  <c r="AN203" i="1" s="1"/>
  <c r="AL203" i="1"/>
  <c r="AK203" i="1"/>
  <c r="AJ203" i="1"/>
  <c r="AI203" i="1"/>
  <c r="AH203" i="1"/>
  <c r="AT202" i="1"/>
  <c r="AS202" i="1"/>
  <c r="AQ202" i="1"/>
  <c r="AO202" i="1"/>
  <c r="AM202" i="1"/>
  <c r="AN202" i="1" s="1"/>
  <c r="AL202" i="1"/>
  <c r="AK202" i="1"/>
  <c r="AJ202" i="1"/>
  <c r="AI202" i="1"/>
  <c r="AH202" i="1"/>
  <c r="AT201" i="1"/>
  <c r="AS201" i="1"/>
  <c r="AQ201" i="1"/>
  <c r="AO201" i="1"/>
  <c r="AM201" i="1"/>
  <c r="AN201" i="1" s="1"/>
  <c r="AL201" i="1"/>
  <c r="AK201" i="1"/>
  <c r="AJ201" i="1"/>
  <c r="AI201" i="1"/>
  <c r="AH201" i="1"/>
  <c r="AT200" i="1"/>
  <c r="AS200" i="1"/>
  <c r="AQ200" i="1"/>
  <c r="AO200" i="1"/>
  <c r="AM200" i="1"/>
  <c r="AN200" i="1" s="1"/>
  <c r="AL200" i="1"/>
  <c r="AK200" i="1"/>
  <c r="AJ200" i="1"/>
  <c r="AI200" i="1"/>
  <c r="AH200" i="1"/>
  <c r="AT199" i="1"/>
  <c r="AS199" i="1"/>
  <c r="AQ199" i="1"/>
  <c r="AO199" i="1"/>
  <c r="AM199" i="1"/>
  <c r="AN199" i="1" s="1"/>
  <c r="AL199" i="1"/>
  <c r="AK199" i="1"/>
  <c r="AJ199" i="1"/>
  <c r="AI199" i="1"/>
  <c r="AH199" i="1"/>
  <c r="AT198" i="1"/>
  <c r="AS198" i="1"/>
  <c r="AQ198" i="1"/>
  <c r="AO198" i="1"/>
  <c r="AM198" i="1"/>
  <c r="AN198" i="1" s="1"/>
  <c r="AL198" i="1"/>
  <c r="AK198" i="1"/>
  <c r="AJ198" i="1"/>
  <c r="AI198" i="1"/>
  <c r="AH198" i="1"/>
  <c r="AT197" i="1"/>
  <c r="AS197" i="1"/>
  <c r="AQ197" i="1"/>
  <c r="AO197" i="1"/>
  <c r="AM197" i="1"/>
  <c r="AN197" i="1" s="1"/>
  <c r="AL197" i="1"/>
  <c r="AK197" i="1"/>
  <c r="AJ197" i="1"/>
  <c r="AI197" i="1"/>
  <c r="AH197" i="1"/>
  <c r="AT196" i="1"/>
  <c r="AS196" i="1"/>
  <c r="AQ196" i="1"/>
  <c r="AO196" i="1"/>
  <c r="AM196" i="1"/>
  <c r="AN196" i="1" s="1"/>
  <c r="AL196" i="1"/>
  <c r="AK196" i="1"/>
  <c r="AJ196" i="1"/>
  <c r="AI196" i="1"/>
  <c r="AH196" i="1"/>
  <c r="AT195" i="1"/>
  <c r="AS195" i="1"/>
  <c r="AQ195" i="1"/>
  <c r="AO195" i="1"/>
  <c r="AM195" i="1"/>
  <c r="AN195" i="1" s="1"/>
  <c r="AL195" i="1"/>
  <c r="AK195" i="1"/>
  <c r="AJ195" i="1"/>
  <c r="AI195" i="1"/>
  <c r="AH195" i="1"/>
  <c r="AT194" i="1"/>
  <c r="AS194" i="1"/>
  <c r="AQ194" i="1"/>
  <c r="AO194" i="1"/>
  <c r="AM194" i="1"/>
  <c r="AN194" i="1" s="1"/>
  <c r="AL194" i="1"/>
  <c r="AK194" i="1"/>
  <c r="AJ194" i="1"/>
  <c r="AI194" i="1"/>
  <c r="AH194" i="1"/>
  <c r="AT193" i="1"/>
  <c r="AS193" i="1"/>
  <c r="AQ193" i="1"/>
  <c r="AO193" i="1"/>
  <c r="AM193" i="1"/>
  <c r="AN193" i="1" s="1"/>
  <c r="AL193" i="1"/>
  <c r="AK193" i="1"/>
  <c r="AJ193" i="1"/>
  <c r="AI193" i="1"/>
  <c r="AH193" i="1"/>
  <c r="AT192" i="1"/>
  <c r="AS192" i="1"/>
  <c r="AQ192" i="1"/>
  <c r="AO192" i="1"/>
  <c r="AM192" i="1"/>
  <c r="AN192" i="1" s="1"/>
  <c r="AL192" i="1"/>
  <c r="AK192" i="1"/>
  <c r="AJ192" i="1"/>
  <c r="AI192" i="1"/>
  <c r="AH192" i="1"/>
  <c r="AT191" i="1"/>
  <c r="AS191" i="1"/>
  <c r="AQ191" i="1"/>
  <c r="AO191" i="1"/>
  <c r="AM191" i="1"/>
  <c r="AN191" i="1" s="1"/>
  <c r="AL191" i="1"/>
  <c r="AK191" i="1"/>
  <c r="AJ191" i="1"/>
  <c r="AI191" i="1"/>
  <c r="AH191" i="1"/>
  <c r="AT190" i="1"/>
  <c r="AS190" i="1"/>
  <c r="AQ190" i="1"/>
  <c r="AO190" i="1"/>
  <c r="AM190" i="1"/>
  <c r="AN190" i="1" s="1"/>
  <c r="AL190" i="1"/>
  <c r="AK190" i="1"/>
  <c r="AJ190" i="1"/>
  <c r="AI190" i="1"/>
  <c r="AH190" i="1"/>
  <c r="AT189" i="1"/>
  <c r="AS189" i="1"/>
  <c r="AQ189" i="1"/>
  <c r="AO189" i="1"/>
  <c r="AM189" i="1"/>
  <c r="AN189" i="1" s="1"/>
  <c r="AL189" i="1"/>
  <c r="AK189" i="1"/>
  <c r="AJ189" i="1"/>
  <c r="AI189" i="1"/>
  <c r="AH189" i="1"/>
  <c r="AT188" i="1"/>
  <c r="AS188" i="1"/>
  <c r="AQ188" i="1"/>
  <c r="AO188" i="1"/>
  <c r="AM188" i="1"/>
  <c r="AN188" i="1" s="1"/>
  <c r="AL188" i="1"/>
  <c r="AK188" i="1"/>
  <c r="AJ188" i="1"/>
  <c r="AI188" i="1"/>
  <c r="AH188" i="1"/>
  <c r="AT187" i="1"/>
  <c r="AS187" i="1"/>
  <c r="AQ187" i="1"/>
  <c r="AO187" i="1"/>
  <c r="AM187" i="1"/>
  <c r="AN187" i="1" s="1"/>
  <c r="AL187" i="1"/>
  <c r="AK187" i="1"/>
  <c r="AJ187" i="1"/>
  <c r="AI187" i="1"/>
  <c r="AH187" i="1"/>
  <c r="AT186" i="1"/>
  <c r="AS186" i="1"/>
  <c r="AQ186" i="1"/>
  <c r="AO186" i="1"/>
  <c r="AM186" i="1"/>
  <c r="AN186" i="1" s="1"/>
  <c r="AL186" i="1"/>
  <c r="AK186" i="1"/>
  <c r="AJ186" i="1"/>
  <c r="AI186" i="1"/>
  <c r="AH186" i="1"/>
  <c r="AT185" i="1"/>
  <c r="AS185" i="1"/>
  <c r="AQ185" i="1"/>
  <c r="AO185" i="1"/>
  <c r="AM185" i="1"/>
  <c r="AN185" i="1" s="1"/>
  <c r="AL185" i="1"/>
  <c r="AK185" i="1"/>
  <c r="AJ185" i="1"/>
  <c r="AI185" i="1"/>
  <c r="AH185" i="1"/>
  <c r="AT184" i="1"/>
  <c r="AS184" i="1"/>
  <c r="AQ184" i="1"/>
  <c r="AO184" i="1"/>
  <c r="AM184" i="1"/>
  <c r="AN184" i="1" s="1"/>
  <c r="AL184" i="1"/>
  <c r="AK184" i="1"/>
  <c r="AJ184" i="1"/>
  <c r="AI184" i="1"/>
  <c r="AH184" i="1"/>
  <c r="AT183" i="1"/>
  <c r="AS183" i="1"/>
  <c r="AQ183" i="1"/>
  <c r="AO183" i="1"/>
  <c r="AM183" i="1"/>
  <c r="AN183" i="1" s="1"/>
  <c r="AL183" i="1"/>
  <c r="AK183" i="1"/>
  <c r="AJ183" i="1"/>
  <c r="AI183" i="1"/>
  <c r="AH183" i="1"/>
  <c r="AT182" i="1"/>
  <c r="AS182" i="1"/>
  <c r="AQ182" i="1"/>
  <c r="AO182" i="1"/>
  <c r="AM182" i="1"/>
  <c r="AN182" i="1" s="1"/>
  <c r="AL182" i="1"/>
  <c r="AK182" i="1"/>
  <c r="AJ182" i="1"/>
  <c r="AI182" i="1"/>
  <c r="AH182" i="1"/>
  <c r="AT181" i="1"/>
  <c r="AS181" i="1"/>
  <c r="AQ181" i="1"/>
  <c r="AO181" i="1"/>
  <c r="AM181" i="1"/>
  <c r="AN181" i="1" s="1"/>
  <c r="AL181" i="1"/>
  <c r="AK181" i="1"/>
  <c r="AJ181" i="1"/>
  <c r="AI181" i="1"/>
  <c r="AH181" i="1"/>
  <c r="AT180" i="1"/>
  <c r="AS180" i="1"/>
  <c r="AQ180" i="1"/>
  <c r="AO180" i="1"/>
  <c r="AM180" i="1"/>
  <c r="AN180" i="1" s="1"/>
  <c r="AL180" i="1"/>
  <c r="AK180" i="1"/>
  <c r="AJ180" i="1"/>
  <c r="AI180" i="1"/>
  <c r="AH180" i="1"/>
  <c r="AT179" i="1"/>
  <c r="AS179" i="1"/>
  <c r="AQ179" i="1"/>
  <c r="AO179" i="1"/>
  <c r="AM179" i="1"/>
  <c r="AN179" i="1" s="1"/>
  <c r="AL179" i="1"/>
  <c r="AK179" i="1"/>
  <c r="AJ179" i="1"/>
  <c r="AI179" i="1"/>
  <c r="AH179" i="1"/>
  <c r="AT178" i="1"/>
  <c r="AS178" i="1"/>
  <c r="AQ178" i="1"/>
  <c r="AO178" i="1"/>
  <c r="AM178" i="1"/>
  <c r="AN178" i="1" s="1"/>
  <c r="AL178" i="1"/>
  <c r="AK178" i="1"/>
  <c r="AJ178" i="1"/>
  <c r="AI178" i="1"/>
  <c r="AH178" i="1"/>
  <c r="AT177" i="1"/>
  <c r="AS177" i="1"/>
  <c r="AQ177" i="1"/>
  <c r="AO177" i="1"/>
  <c r="AM177" i="1"/>
  <c r="AN177" i="1" s="1"/>
  <c r="AL177" i="1"/>
  <c r="AK177" i="1"/>
  <c r="AJ177" i="1"/>
  <c r="AI177" i="1"/>
  <c r="AH177" i="1"/>
  <c r="AT176" i="1"/>
  <c r="AS176" i="1"/>
  <c r="AQ176" i="1"/>
  <c r="AO176" i="1"/>
  <c r="AM176" i="1"/>
  <c r="AN176" i="1" s="1"/>
  <c r="AL176" i="1"/>
  <c r="AK176" i="1"/>
  <c r="AJ176" i="1"/>
  <c r="AI176" i="1"/>
  <c r="AH176" i="1"/>
  <c r="AT175" i="1"/>
  <c r="AS175" i="1"/>
  <c r="AQ175" i="1"/>
  <c r="AO175" i="1"/>
  <c r="AM175" i="1"/>
  <c r="AN175" i="1" s="1"/>
  <c r="AL175" i="1"/>
  <c r="AK175" i="1"/>
  <c r="AJ175" i="1"/>
  <c r="AI175" i="1"/>
  <c r="AH175" i="1"/>
  <c r="AT174" i="1"/>
  <c r="AS174" i="1"/>
  <c r="AQ174" i="1"/>
  <c r="AO174" i="1"/>
  <c r="AM174" i="1"/>
  <c r="AN174" i="1" s="1"/>
  <c r="AL174" i="1"/>
  <c r="AK174" i="1"/>
  <c r="AJ174" i="1"/>
  <c r="AI174" i="1"/>
  <c r="AH174" i="1"/>
  <c r="AT173" i="1"/>
  <c r="AS173" i="1"/>
  <c r="AQ173" i="1"/>
  <c r="AO173" i="1"/>
  <c r="AM173" i="1"/>
  <c r="AN173" i="1" s="1"/>
  <c r="AL173" i="1"/>
  <c r="AK173" i="1"/>
  <c r="AJ173" i="1"/>
  <c r="AI173" i="1"/>
  <c r="AH173" i="1"/>
  <c r="AT172" i="1"/>
  <c r="AS172" i="1"/>
  <c r="AQ172" i="1"/>
  <c r="AO172" i="1"/>
  <c r="AM172" i="1"/>
  <c r="AN172" i="1" s="1"/>
  <c r="AP172" i="1" s="1"/>
  <c r="AL172" i="1"/>
  <c r="AK172" i="1"/>
  <c r="AJ172" i="1"/>
  <c r="AI172" i="1"/>
  <c r="AH172" i="1"/>
  <c r="AT171" i="1"/>
  <c r="AS171" i="1"/>
  <c r="AQ171" i="1"/>
  <c r="AO171" i="1"/>
  <c r="AM171" i="1"/>
  <c r="AN171" i="1" s="1"/>
  <c r="AL171" i="1"/>
  <c r="AK171" i="1"/>
  <c r="AJ171" i="1"/>
  <c r="AI171" i="1"/>
  <c r="AH171" i="1"/>
  <c r="AT170" i="1"/>
  <c r="AS170" i="1"/>
  <c r="AQ170" i="1"/>
  <c r="AO170" i="1"/>
  <c r="AM170" i="1"/>
  <c r="AN170" i="1" s="1"/>
  <c r="AL170" i="1"/>
  <c r="AK170" i="1"/>
  <c r="AJ170" i="1"/>
  <c r="AI170" i="1"/>
  <c r="AH170" i="1"/>
  <c r="AT169" i="1"/>
  <c r="AS169" i="1"/>
  <c r="AQ169" i="1"/>
  <c r="AO169" i="1"/>
  <c r="AM169" i="1"/>
  <c r="AN169" i="1" s="1"/>
  <c r="AL169" i="1"/>
  <c r="AK169" i="1"/>
  <c r="AJ169" i="1"/>
  <c r="AI169" i="1"/>
  <c r="AH169" i="1"/>
  <c r="AT168" i="1"/>
  <c r="AS168" i="1"/>
  <c r="AQ168" i="1"/>
  <c r="AO168" i="1"/>
  <c r="AM168" i="1"/>
  <c r="AN168" i="1" s="1"/>
  <c r="AL168" i="1"/>
  <c r="AK168" i="1"/>
  <c r="AJ168" i="1"/>
  <c r="AI168" i="1"/>
  <c r="AH168" i="1"/>
  <c r="AT167" i="1"/>
  <c r="AS167" i="1"/>
  <c r="AQ167" i="1"/>
  <c r="AO167" i="1"/>
  <c r="AM167" i="1"/>
  <c r="AN167" i="1" s="1"/>
  <c r="AL167" i="1"/>
  <c r="AK167" i="1"/>
  <c r="AJ167" i="1"/>
  <c r="AI167" i="1"/>
  <c r="AH167" i="1"/>
  <c r="AT166" i="1"/>
  <c r="AS166" i="1"/>
  <c r="AQ166" i="1"/>
  <c r="AO166" i="1"/>
  <c r="AM166" i="1"/>
  <c r="AN166" i="1" s="1"/>
  <c r="AL166" i="1"/>
  <c r="AK166" i="1"/>
  <c r="AJ166" i="1"/>
  <c r="AI166" i="1"/>
  <c r="AH166" i="1"/>
  <c r="AT165" i="1"/>
  <c r="AS165" i="1"/>
  <c r="AQ165" i="1"/>
  <c r="AO165" i="1"/>
  <c r="AM165" i="1"/>
  <c r="AN165" i="1" s="1"/>
  <c r="AL165" i="1"/>
  <c r="AK165" i="1"/>
  <c r="AJ165" i="1"/>
  <c r="AI165" i="1"/>
  <c r="AH165" i="1"/>
  <c r="AT164" i="1"/>
  <c r="AS164" i="1"/>
  <c r="AQ164" i="1"/>
  <c r="AO164" i="1"/>
  <c r="AM164" i="1"/>
  <c r="AN164" i="1" s="1"/>
  <c r="AL164" i="1"/>
  <c r="AK164" i="1"/>
  <c r="AJ164" i="1"/>
  <c r="AI164" i="1"/>
  <c r="AH164" i="1"/>
  <c r="AT163" i="1"/>
  <c r="AS163" i="1"/>
  <c r="AQ163" i="1"/>
  <c r="AO163" i="1"/>
  <c r="AM163" i="1"/>
  <c r="AN163" i="1" s="1"/>
  <c r="AL163" i="1"/>
  <c r="AK163" i="1"/>
  <c r="AJ163" i="1"/>
  <c r="AI163" i="1"/>
  <c r="AH163" i="1"/>
  <c r="AT162" i="1"/>
  <c r="AS162" i="1"/>
  <c r="AQ162" i="1"/>
  <c r="AO162" i="1"/>
  <c r="AM162" i="1"/>
  <c r="AN162" i="1" s="1"/>
  <c r="AL162" i="1"/>
  <c r="AK162" i="1"/>
  <c r="AJ162" i="1"/>
  <c r="AI162" i="1"/>
  <c r="AH162" i="1"/>
  <c r="AT161" i="1"/>
  <c r="AS161" i="1"/>
  <c r="AQ161" i="1"/>
  <c r="AO161" i="1"/>
  <c r="AM161" i="1"/>
  <c r="AN161" i="1" s="1"/>
  <c r="AL161" i="1"/>
  <c r="AK161" i="1"/>
  <c r="AJ161" i="1"/>
  <c r="AI161" i="1"/>
  <c r="AH161" i="1"/>
  <c r="AT160" i="1"/>
  <c r="AS160" i="1"/>
  <c r="AQ160" i="1"/>
  <c r="AO160" i="1"/>
  <c r="AM160" i="1"/>
  <c r="AN160" i="1" s="1"/>
  <c r="AL160" i="1"/>
  <c r="AK160" i="1"/>
  <c r="AJ160" i="1"/>
  <c r="AI160" i="1"/>
  <c r="AH160" i="1"/>
  <c r="AT159" i="1"/>
  <c r="AS159" i="1"/>
  <c r="AQ159" i="1"/>
  <c r="AO159" i="1"/>
  <c r="AM159" i="1"/>
  <c r="AN159" i="1" s="1"/>
  <c r="AL159" i="1"/>
  <c r="AK159" i="1"/>
  <c r="AJ159" i="1"/>
  <c r="AI159" i="1"/>
  <c r="AH159" i="1"/>
  <c r="AT158" i="1"/>
  <c r="AS158" i="1"/>
  <c r="AQ158" i="1"/>
  <c r="AO158" i="1"/>
  <c r="AM158" i="1"/>
  <c r="AN158" i="1" s="1"/>
  <c r="AL158" i="1"/>
  <c r="AK158" i="1"/>
  <c r="AJ158" i="1"/>
  <c r="AI158" i="1"/>
  <c r="AH158" i="1"/>
  <c r="AT157" i="1"/>
  <c r="AS157" i="1"/>
  <c r="AQ157" i="1"/>
  <c r="AO157" i="1"/>
  <c r="AM157" i="1"/>
  <c r="AN157" i="1" s="1"/>
  <c r="AP157" i="1" s="1"/>
  <c r="AL157" i="1"/>
  <c r="AK157" i="1"/>
  <c r="AJ157" i="1"/>
  <c r="AI157" i="1"/>
  <c r="AH157" i="1"/>
  <c r="AT156" i="1"/>
  <c r="AS156" i="1"/>
  <c r="AQ156" i="1"/>
  <c r="AO156" i="1"/>
  <c r="AM156" i="1"/>
  <c r="AN156" i="1" s="1"/>
  <c r="AL156" i="1"/>
  <c r="AK156" i="1"/>
  <c r="AJ156" i="1"/>
  <c r="AI156" i="1"/>
  <c r="AH156" i="1"/>
  <c r="AT155" i="1"/>
  <c r="AS155" i="1"/>
  <c r="AQ155" i="1"/>
  <c r="AO155" i="1"/>
  <c r="AM155" i="1"/>
  <c r="AN155" i="1" s="1"/>
  <c r="AL155" i="1"/>
  <c r="AK155" i="1"/>
  <c r="AJ155" i="1"/>
  <c r="AI155" i="1"/>
  <c r="AH155" i="1"/>
  <c r="AT154" i="1"/>
  <c r="AS154" i="1"/>
  <c r="AQ154" i="1"/>
  <c r="AO154" i="1"/>
  <c r="AM154" i="1"/>
  <c r="AN154" i="1" s="1"/>
  <c r="AL154" i="1"/>
  <c r="AK154" i="1"/>
  <c r="AJ154" i="1"/>
  <c r="AI154" i="1"/>
  <c r="AH154" i="1"/>
  <c r="AT153" i="1"/>
  <c r="AS153" i="1"/>
  <c r="AQ153" i="1"/>
  <c r="AO153" i="1"/>
  <c r="AM153" i="1"/>
  <c r="AN153" i="1" s="1"/>
  <c r="AL153" i="1"/>
  <c r="AK153" i="1"/>
  <c r="AJ153" i="1"/>
  <c r="AI153" i="1"/>
  <c r="AH153" i="1"/>
  <c r="AT152" i="1"/>
  <c r="AS152" i="1"/>
  <c r="AQ152" i="1"/>
  <c r="AO152" i="1"/>
  <c r="AM152" i="1"/>
  <c r="AN152" i="1" s="1"/>
  <c r="AL152" i="1"/>
  <c r="AK152" i="1"/>
  <c r="AJ152" i="1"/>
  <c r="AI152" i="1"/>
  <c r="AH152" i="1"/>
  <c r="AT151" i="1"/>
  <c r="AS151" i="1"/>
  <c r="AQ151" i="1"/>
  <c r="AO151" i="1"/>
  <c r="AM151" i="1"/>
  <c r="AN151" i="1" s="1"/>
  <c r="AL151" i="1"/>
  <c r="AK151" i="1"/>
  <c r="AJ151" i="1"/>
  <c r="AI151" i="1"/>
  <c r="AH151" i="1"/>
  <c r="AT150" i="1"/>
  <c r="AS150" i="1"/>
  <c r="AQ150" i="1"/>
  <c r="AO150" i="1"/>
  <c r="AM150" i="1"/>
  <c r="AN150" i="1" s="1"/>
  <c r="AL150" i="1"/>
  <c r="AK150" i="1"/>
  <c r="AJ150" i="1"/>
  <c r="AI150" i="1"/>
  <c r="AH150" i="1"/>
  <c r="AT149" i="1"/>
  <c r="AS149" i="1"/>
  <c r="AQ149" i="1"/>
  <c r="AO149" i="1"/>
  <c r="AM149" i="1"/>
  <c r="AN149" i="1" s="1"/>
  <c r="AL149" i="1"/>
  <c r="AK149" i="1"/>
  <c r="AJ149" i="1"/>
  <c r="AI149" i="1"/>
  <c r="AH149" i="1"/>
  <c r="AT148" i="1"/>
  <c r="AS148" i="1"/>
  <c r="AQ148" i="1"/>
  <c r="AO148" i="1"/>
  <c r="AM148" i="1"/>
  <c r="AN148" i="1" s="1"/>
  <c r="AL148" i="1"/>
  <c r="AK148" i="1"/>
  <c r="AJ148" i="1"/>
  <c r="AI148" i="1"/>
  <c r="AH148" i="1"/>
  <c r="AT147" i="1"/>
  <c r="AS147" i="1"/>
  <c r="AQ147" i="1"/>
  <c r="AO147" i="1"/>
  <c r="AM147" i="1"/>
  <c r="AN147" i="1" s="1"/>
  <c r="AL147" i="1"/>
  <c r="AK147" i="1"/>
  <c r="AJ147" i="1"/>
  <c r="AI147" i="1"/>
  <c r="AH147" i="1"/>
  <c r="AT146" i="1"/>
  <c r="AS146" i="1"/>
  <c r="AQ146" i="1"/>
  <c r="AO146" i="1"/>
  <c r="AM146" i="1"/>
  <c r="AN146" i="1" s="1"/>
  <c r="AL146" i="1"/>
  <c r="AK146" i="1"/>
  <c r="AJ146" i="1"/>
  <c r="AI146" i="1"/>
  <c r="AH146" i="1"/>
  <c r="AT145" i="1"/>
  <c r="AS145" i="1"/>
  <c r="AQ145" i="1"/>
  <c r="AO145" i="1"/>
  <c r="AM145" i="1"/>
  <c r="AN145" i="1" s="1"/>
  <c r="AL145" i="1"/>
  <c r="AK145" i="1"/>
  <c r="AJ145" i="1"/>
  <c r="AI145" i="1"/>
  <c r="AH145" i="1"/>
  <c r="AT144" i="1"/>
  <c r="AS144" i="1"/>
  <c r="AQ144" i="1"/>
  <c r="AO144" i="1"/>
  <c r="AM144" i="1"/>
  <c r="AN144" i="1" s="1"/>
  <c r="AL144" i="1"/>
  <c r="AK144" i="1"/>
  <c r="AJ144" i="1"/>
  <c r="AI144" i="1"/>
  <c r="AH144" i="1"/>
  <c r="AT143" i="1"/>
  <c r="AS143" i="1"/>
  <c r="AQ143" i="1"/>
  <c r="AO143" i="1"/>
  <c r="AM143" i="1"/>
  <c r="AN143" i="1" s="1"/>
  <c r="AL143" i="1"/>
  <c r="AK143" i="1"/>
  <c r="AJ143" i="1"/>
  <c r="AI143" i="1"/>
  <c r="AH143" i="1"/>
  <c r="AT142" i="1"/>
  <c r="AS142" i="1"/>
  <c r="AQ142" i="1"/>
  <c r="AO142" i="1"/>
  <c r="AM142" i="1"/>
  <c r="AN142" i="1" s="1"/>
  <c r="AL142" i="1"/>
  <c r="AK142" i="1"/>
  <c r="AJ142" i="1"/>
  <c r="AI142" i="1"/>
  <c r="AH142" i="1"/>
  <c r="AT141" i="1"/>
  <c r="AS141" i="1"/>
  <c r="AQ141" i="1"/>
  <c r="AO141" i="1"/>
  <c r="AM141" i="1"/>
  <c r="AN141" i="1" s="1"/>
  <c r="AL141" i="1"/>
  <c r="AK141" i="1"/>
  <c r="AJ141" i="1"/>
  <c r="AI141" i="1"/>
  <c r="AH141" i="1"/>
  <c r="AT140" i="1"/>
  <c r="AS140" i="1"/>
  <c r="AQ140" i="1"/>
  <c r="AO140" i="1"/>
  <c r="AM140" i="1"/>
  <c r="AN140" i="1" s="1"/>
  <c r="AL140" i="1"/>
  <c r="AK140" i="1"/>
  <c r="AJ140" i="1"/>
  <c r="AI140" i="1"/>
  <c r="AH140" i="1"/>
  <c r="AT139" i="1"/>
  <c r="AS139" i="1"/>
  <c r="AQ139" i="1"/>
  <c r="AO139" i="1"/>
  <c r="AM139" i="1"/>
  <c r="AN139" i="1" s="1"/>
  <c r="AL139" i="1"/>
  <c r="AK139" i="1"/>
  <c r="AJ139" i="1"/>
  <c r="AI139" i="1"/>
  <c r="AH139" i="1"/>
  <c r="AT138" i="1"/>
  <c r="AS138" i="1"/>
  <c r="AQ138" i="1"/>
  <c r="AO138" i="1"/>
  <c r="AM138" i="1"/>
  <c r="AN138" i="1" s="1"/>
  <c r="AL138" i="1"/>
  <c r="AK138" i="1"/>
  <c r="AJ138" i="1"/>
  <c r="AI138" i="1"/>
  <c r="AH138" i="1"/>
  <c r="AT137" i="1"/>
  <c r="AS137" i="1"/>
  <c r="AQ137" i="1"/>
  <c r="AO137" i="1"/>
  <c r="AM137" i="1"/>
  <c r="AN137" i="1" s="1"/>
  <c r="AL137" i="1"/>
  <c r="AK137" i="1"/>
  <c r="AJ137" i="1"/>
  <c r="AI137" i="1"/>
  <c r="AH137" i="1"/>
  <c r="AT136" i="1"/>
  <c r="AS136" i="1"/>
  <c r="AQ136" i="1"/>
  <c r="AO136" i="1"/>
  <c r="AM136" i="1"/>
  <c r="AN136" i="1" s="1"/>
  <c r="AL136" i="1"/>
  <c r="AK136" i="1"/>
  <c r="AJ136" i="1"/>
  <c r="AI136" i="1"/>
  <c r="AH136" i="1"/>
  <c r="AT135" i="1"/>
  <c r="AS135" i="1"/>
  <c r="AQ135" i="1"/>
  <c r="AO135" i="1"/>
  <c r="AM135" i="1"/>
  <c r="AN135" i="1" s="1"/>
  <c r="AL135" i="1"/>
  <c r="AK135" i="1"/>
  <c r="AJ135" i="1"/>
  <c r="AI135" i="1"/>
  <c r="AH135" i="1"/>
  <c r="AT134" i="1"/>
  <c r="AS134" i="1"/>
  <c r="AQ134" i="1"/>
  <c r="AO134" i="1"/>
  <c r="AM134" i="1"/>
  <c r="AN134" i="1" s="1"/>
  <c r="AL134" i="1"/>
  <c r="AK134" i="1"/>
  <c r="AJ134" i="1"/>
  <c r="AI134" i="1"/>
  <c r="AH134" i="1"/>
  <c r="AT133" i="1"/>
  <c r="AS133" i="1"/>
  <c r="AQ133" i="1"/>
  <c r="AO133" i="1"/>
  <c r="AM133" i="1"/>
  <c r="AN133" i="1" s="1"/>
  <c r="AL133" i="1"/>
  <c r="AK133" i="1"/>
  <c r="AJ133" i="1"/>
  <c r="AI133" i="1"/>
  <c r="AH133" i="1"/>
  <c r="AT132" i="1"/>
  <c r="AS132" i="1"/>
  <c r="AQ132" i="1"/>
  <c r="AO132" i="1"/>
  <c r="AM132" i="1"/>
  <c r="AN132" i="1" s="1"/>
  <c r="AL132" i="1"/>
  <c r="AK132" i="1"/>
  <c r="AJ132" i="1"/>
  <c r="AI132" i="1"/>
  <c r="AH132" i="1"/>
  <c r="AT131" i="1"/>
  <c r="AS131" i="1"/>
  <c r="AQ131" i="1"/>
  <c r="AO131" i="1"/>
  <c r="AM131" i="1"/>
  <c r="AN131" i="1" s="1"/>
  <c r="AL131" i="1"/>
  <c r="AK131" i="1"/>
  <c r="AJ131" i="1"/>
  <c r="AI131" i="1"/>
  <c r="AH131" i="1"/>
  <c r="AT130" i="1"/>
  <c r="AS130" i="1"/>
  <c r="AQ130" i="1"/>
  <c r="AO130" i="1"/>
  <c r="AM130" i="1"/>
  <c r="AN130" i="1" s="1"/>
  <c r="AL130" i="1"/>
  <c r="AK130" i="1"/>
  <c r="AJ130" i="1"/>
  <c r="AI130" i="1"/>
  <c r="AH130" i="1"/>
  <c r="AT129" i="1"/>
  <c r="AS129" i="1"/>
  <c r="AQ129" i="1"/>
  <c r="AO129" i="1"/>
  <c r="AM129" i="1"/>
  <c r="AN129" i="1" s="1"/>
  <c r="AL129" i="1"/>
  <c r="AK129" i="1"/>
  <c r="AJ129" i="1"/>
  <c r="AI129" i="1"/>
  <c r="AH129" i="1"/>
  <c r="AT128" i="1"/>
  <c r="AS128" i="1"/>
  <c r="AQ128" i="1"/>
  <c r="AO128" i="1"/>
  <c r="AM128" i="1"/>
  <c r="AN128" i="1" s="1"/>
  <c r="AL128" i="1"/>
  <c r="AK128" i="1"/>
  <c r="AJ128" i="1"/>
  <c r="AI128" i="1"/>
  <c r="AH128" i="1"/>
  <c r="AT127" i="1"/>
  <c r="AS127" i="1"/>
  <c r="AQ127" i="1"/>
  <c r="AO127" i="1"/>
  <c r="AM127" i="1"/>
  <c r="AN127" i="1" s="1"/>
  <c r="AL127" i="1"/>
  <c r="AK127" i="1"/>
  <c r="AJ127" i="1"/>
  <c r="AI127" i="1"/>
  <c r="AH127" i="1"/>
  <c r="AT126" i="1"/>
  <c r="AS126" i="1"/>
  <c r="AQ126" i="1"/>
  <c r="AO126" i="1"/>
  <c r="AM126" i="1"/>
  <c r="AN126" i="1" s="1"/>
  <c r="AL126" i="1"/>
  <c r="AK126" i="1"/>
  <c r="AJ126" i="1"/>
  <c r="AI126" i="1"/>
  <c r="AH126" i="1"/>
  <c r="AT125" i="1"/>
  <c r="AS125" i="1"/>
  <c r="AQ125" i="1"/>
  <c r="AO125" i="1"/>
  <c r="AM125" i="1"/>
  <c r="AN125" i="1" s="1"/>
  <c r="AL125" i="1"/>
  <c r="AK125" i="1"/>
  <c r="AJ125" i="1"/>
  <c r="AI125" i="1"/>
  <c r="AH125" i="1"/>
  <c r="AT124" i="1"/>
  <c r="AS124" i="1"/>
  <c r="AQ124" i="1"/>
  <c r="AO124" i="1"/>
  <c r="AM124" i="1"/>
  <c r="AN124" i="1" s="1"/>
  <c r="AL124" i="1"/>
  <c r="AK124" i="1"/>
  <c r="AJ124" i="1"/>
  <c r="AI124" i="1"/>
  <c r="AH124" i="1"/>
  <c r="AT123" i="1"/>
  <c r="AS123" i="1"/>
  <c r="AQ123" i="1"/>
  <c r="AO123" i="1"/>
  <c r="AM123" i="1"/>
  <c r="AN123" i="1" s="1"/>
  <c r="AL123" i="1"/>
  <c r="AK123" i="1"/>
  <c r="AJ123" i="1"/>
  <c r="AI123" i="1"/>
  <c r="AH123" i="1"/>
  <c r="AT122" i="1"/>
  <c r="AS122" i="1"/>
  <c r="AQ122" i="1"/>
  <c r="AO122" i="1"/>
  <c r="AM122" i="1"/>
  <c r="AN122" i="1" s="1"/>
  <c r="AL122" i="1"/>
  <c r="AK122" i="1"/>
  <c r="AJ122" i="1"/>
  <c r="AI122" i="1"/>
  <c r="AH122" i="1"/>
  <c r="AT121" i="1"/>
  <c r="AS121" i="1"/>
  <c r="AQ121" i="1"/>
  <c r="AO121" i="1"/>
  <c r="AN121" i="1"/>
  <c r="AM121" i="1"/>
  <c r="AL121" i="1"/>
  <c r="AK121" i="1"/>
  <c r="AJ121" i="1"/>
  <c r="AI121" i="1"/>
  <c r="AH121" i="1"/>
  <c r="AT120" i="1"/>
  <c r="AS120" i="1"/>
  <c r="AQ120" i="1"/>
  <c r="AO120" i="1"/>
  <c r="AM120" i="1"/>
  <c r="AN120" i="1" s="1"/>
  <c r="AL120" i="1"/>
  <c r="AK120" i="1"/>
  <c r="AJ120" i="1"/>
  <c r="AI120" i="1"/>
  <c r="AH120" i="1"/>
  <c r="AT119" i="1"/>
  <c r="AS119" i="1"/>
  <c r="AQ119" i="1"/>
  <c r="AO119" i="1"/>
  <c r="AM119" i="1"/>
  <c r="AN119" i="1" s="1"/>
  <c r="AL119" i="1"/>
  <c r="AK119" i="1"/>
  <c r="AJ119" i="1"/>
  <c r="AI119" i="1"/>
  <c r="AH119" i="1"/>
  <c r="AT118" i="1"/>
  <c r="AS118" i="1"/>
  <c r="AQ118" i="1"/>
  <c r="AO118" i="1"/>
  <c r="AM118" i="1"/>
  <c r="AN118" i="1" s="1"/>
  <c r="AL118" i="1"/>
  <c r="AK118" i="1"/>
  <c r="AJ118" i="1"/>
  <c r="AI118" i="1"/>
  <c r="AH118" i="1"/>
  <c r="AT117" i="1"/>
  <c r="AS117" i="1"/>
  <c r="AQ117" i="1"/>
  <c r="AO117" i="1"/>
  <c r="AM117" i="1"/>
  <c r="AN117" i="1" s="1"/>
  <c r="AL117" i="1"/>
  <c r="AK117" i="1"/>
  <c r="AJ117" i="1"/>
  <c r="AI117" i="1"/>
  <c r="AH117" i="1"/>
  <c r="AT116" i="1"/>
  <c r="AS116" i="1"/>
  <c r="AQ116" i="1"/>
  <c r="AO116" i="1"/>
  <c r="AM116" i="1"/>
  <c r="AN116" i="1" s="1"/>
  <c r="AL116" i="1"/>
  <c r="AK116" i="1"/>
  <c r="AJ116" i="1"/>
  <c r="AI116" i="1"/>
  <c r="AH116" i="1"/>
  <c r="AT115" i="1"/>
  <c r="AS115" i="1"/>
  <c r="AQ115" i="1"/>
  <c r="AO115" i="1"/>
  <c r="AM115" i="1"/>
  <c r="AN115" i="1" s="1"/>
  <c r="AL115" i="1"/>
  <c r="AK115" i="1"/>
  <c r="AJ115" i="1"/>
  <c r="AI115" i="1"/>
  <c r="AH115" i="1"/>
  <c r="AT114" i="1"/>
  <c r="AS114" i="1"/>
  <c r="AQ114" i="1"/>
  <c r="AO114" i="1"/>
  <c r="AM114" i="1"/>
  <c r="AN114" i="1" s="1"/>
  <c r="AL114" i="1"/>
  <c r="AK114" i="1"/>
  <c r="AJ114" i="1"/>
  <c r="AI114" i="1"/>
  <c r="AH114" i="1"/>
  <c r="AT113" i="1"/>
  <c r="AS113" i="1"/>
  <c r="AQ113" i="1"/>
  <c r="AO113" i="1"/>
  <c r="AM113" i="1"/>
  <c r="AN113" i="1" s="1"/>
  <c r="AL113" i="1"/>
  <c r="AK113" i="1"/>
  <c r="AJ113" i="1"/>
  <c r="AI113" i="1"/>
  <c r="AH113" i="1"/>
  <c r="AT112" i="1"/>
  <c r="AS112" i="1"/>
  <c r="AQ112" i="1"/>
  <c r="AO112" i="1"/>
  <c r="AM112" i="1"/>
  <c r="AN112" i="1" s="1"/>
  <c r="AL112" i="1"/>
  <c r="AK112" i="1"/>
  <c r="AJ112" i="1"/>
  <c r="AI112" i="1"/>
  <c r="AH112" i="1"/>
  <c r="AT111" i="1"/>
  <c r="AS111" i="1"/>
  <c r="AQ111" i="1"/>
  <c r="AO111" i="1"/>
  <c r="AM111" i="1"/>
  <c r="AN111" i="1" s="1"/>
  <c r="AL111" i="1"/>
  <c r="AK111" i="1"/>
  <c r="AJ111" i="1"/>
  <c r="AI111" i="1"/>
  <c r="AH111" i="1"/>
  <c r="AT110" i="1"/>
  <c r="AS110" i="1"/>
  <c r="AQ110" i="1"/>
  <c r="AO110" i="1"/>
  <c r="AM110" i="1"/>
  <c r="AN110" i="1" s="1"/>
  <c r="AL110" i="1"/>
  <c r="AK110" i="1"/>
  <c r="AJ110" i="1"/>
  <c r="AI110" i="1"/>
  <c r="AH110" i="1"/>
  <c r="AT109" i="1"/>
  <c r="AS109" i="1"/>
  <c r="AQ109" i="1"/>
  <c r="AO109" i="1"/>
  <c r="AM109" i="1"/>
  <c r="AN109" i="1" s="1"/>
  <c r="AL109" i="1"/>
  <c r="AK109" i="1"/>
  <c r="AJ109" i="1"/>
  <c r="AI109" i="1"/>
  <c r="AH109" i="1"/>
  <c r="AT108" i="1"/>
  <c r="AS108" i="1"/>
  <c r="AQ108" i="1"/>
  <c r="AO108" i="1"/>
  <c r="AM108" i="1"/>
  <c r="AN108" i="1" s="1"/>
  <c r="AL108" i="1"/>
  <c r="AK108" i="1"/>
  <c r="AJ108" i="1"/>
  <c r="AI108" i="1"/>
  <c r="AH108" i="1"/>
  <c r="AT107" i="1"/>
  <c r="AS107" i="1"/>
  <c r="AQ107" i="1"/>
  <c r="AO107" i="1"/>
  <c r="AM107" i="1"/>
  <c r="AN107" i="1" s="1"/>
  <c r="AL107" i="1"/>
  <c r="AK107" i="1"/>
  <c r="AJ107" i="1"/>
  <c r="AI107" i="1"/>
  <c r="AH107" i="1"/>
  <c r="AT106" i="1"/>
  <c r="AS106" i="1"/>
  <c r="AQ106" i="1"/>
  <c r="AO106" i="1"/>
  <c r="AM106" i="1"/>
  <c r="AN106" i="1" s="1"/>
  <c r="AL106" i="1"/>
  <c r="AK106" i="1"/>
  <c r="AJ106" i="1"/>
  <c r="AI106" i="1"/>
  <c r="AH106" i="1"/>
  <c r="AT105" i="1"/>
  <c r="AS105" i="1"/>
  <c r="AQ105" i="1"/>
  <c r="AO105" i="1"/>
  <c r="AM105" i="1"/>
  <c r="AN105" i="1" s="1"/>
  <c r="AL105" i="1"/>
  <c r="AK105" i="1"/>
  <c r="AJ105" i="1"/>
  <c r="AI105" i="1"/>
  <c r="AH105" i="1"/>
  <c r="AT104" i="1"/>
  <c r="AS104" i="1"/>
  <c r="AQ104" i="1"/>
  <c r="AO104" i="1"/>
  <c r="AM104" i="1"/>
  <c r="AN104" i="1" s="1"/>
  <c r="AL104" i="1"/>
  <c r="AK104" i="1"/>
  <c r="AJ104" i="1"/>
  <c r="AI104" i="1"/>
  <c r="AH104" i="1"/>
  <c r="AT103" i="1"/>
  <c r="AS103" i="1"/>
  <c r="AQ103" i="1"/>
  <c r="AO103" i="1"/>
  <c r="AM103" i="1"/>
  <c r="AN103" i="1" s="1"/>
  <c r="AL103" i="1"/>
  <c r="AK103" i="1"/>
  <c r="AJ103" i="1"/>
  <c r="AI103" i="1"/>
  <c r="AH103" i="1"/>
  <c r="AT102" i="1"/>
  <c r="AS102" i="1"/>
  <c r="AQ102" i="1"/>
  <c r="AO102" i="1"/>
  <c r="AM102" i="1"/>
  <c r="AN102" i="1" s="1"/>
  <c r="AL102" i="1"/>
  <c r="AK102" i="1"/>
  <c r="AJ102" i="1"/>
  <c r="AI102" i="1"/>
  <c r="AH102" i="1"/>
  <c r="AT101" i="1"/>
  <c r="AS101" i="1"/>
  <c r="AQ101" i="1"/>
  <c r="AO101" i="1"/>
  <c r="AM101" i="1"/>
  <c r="AN101" i="1" s="1"/>
  <c r="AL101" i="1"/>
  <c r="AK101" i="1"/>
  <c r="AJ101" i="1"/>
  <c r="AI101" i="1"/>
  <c r="AH101" i="1"/>
  <c r="AT100" i="1"/>
  <c r="AS100" i="1"/>
  <c r="AQ100" i="1"/>
  <c r="AO100" i="1"/>
  <c r="AM100" i="1"/>
  <c r="AN100" i="1" s="1"/>
  <c r="AL100" i="1"/>
  <c r="AK100" i="1"/>
  <c r="AJ100" i="1"/>
  <c r="AI100" i="1"/>
  <c r="AH100" i="1"/>
  <c r="AT99" i="1"/>
  <c r="AS99" i="1"/>
  <c r="AQ99" i="1"/>
  <c r="AO99" i="1"/>
  <c r="AM99" i="1"/>
  <c r="AN99" i="1" s="1"/>
  <c r="AL99" i="1"/>
  <c r="AK99" i="1"/>
  <c r="AJ99" i="1"/>
  <c r="AI99" i="1"/>
  <c r="AH99" i="1"/>
  <c r="AT98" i="1"/>
  <c r="AS98" i="1"/>
  <c r="AQ98" i="1"/>
  <c r="AO98" i="1"/>
  <c r="AM98" i="1"/>
  <c r="AN98" i="1" s="1"/>
  <c r="AL98" i="1"/>
  <c r="AK98" i="1"/>
  <c r="AJ98" i="1"/>
  <c r="AI98" i="1"/>
  <c r="AH98" i="1"/>
  <c r="AT97" i="1"/>
  <c r="AS97" i="1"/>
  <c r="AQ97" i="1"/>
  <c r="AO97" i="1"/>
  <c r="AM97" i="1"/>
  <c r="AN97" i="1" s="1"/>
  <c r="AL97" i="1"/>
  <c r="AK97" i="1"/>
  <c r="AJ97" i="1"/>
  <c r="AI97" i="1"/>
  <c r="AH97" i="1"/>
  <c r="AT96" i="1"/>
  <c r="AS96" i="1"/>
  <c r="AQ96" i="1"/>
  <c r="AO96" i="1"/>
  <c r="AM96" i="1"/>
  <c r="AN96" i="1" s="1"/>
  <c r="AL96" i="1"/>
  <c r="AK96" i="1"/>
  <c r="AJ96" i="1"/>
  <c r="AI96" i="1"/>
  <c r="AH96" i="1"/>
  <c r="AT95" i="1"/>
  <c r="AS95" i="1"/>
  <c r="AQ95" i="1"/>
  <c r="AO95" i="1"/>
  <c r="AM95" i="1"/>
  <c r="AN95" i="1" s="1"/>
  <c r="AL95" i="1"/>
  <c r="AK95" i="1"/>
  <c r="AJ95" i="1"/>
  <c r="AI95" i="1"/>
  <c r="AH95" i="1"/>
  <c r="AT94" i="1"/>
  <c r="AS94" i="1"/>
  <c r="AQ94" i="1"/>
  <c r="AO94" i="1"/>
  <c r="AM94" i="1"/>
  <c r="AN94" i="1" s="1"/>
  <c r="AL94" i="1"/>
  <c r="AK94" i="1"/>
  <c r="AJ94" i="1"/>
  <c r="AI94" i="1"/>
  <c r="AH94" i="1"/>
  <c r="AT93" i="1"/>
  <c r="AS93" i="1"/>
  <c r="AQ93" i="1"/>
  <c r="AO93" i="1"/>
  <c r="AM93" i="1"/>
  <c r="AN93" i="1" s="1"/>
  <c r="AL93" i="1"/>
  <c r="AK93" i="1"/>
  <c r="AJ93" i="1"/>
  <c r="AI93" i="1"/>
  <c r="AH93" i="1"/>
  <c r="AT92" i="1"/>
  <c r="AS92" i="1"/>
  <c r="AQ92" i="1"/>
  <c r="AO92" i="1"/>
  <c r="AM92" i="1"/>
  <c r="AN92" i="1" s="1"/>
  <c r="AL92" i="1"/>
  <c r="AK92" i="1"/>
  <c r="AJ92" i="1"/>
  <c r="AI92" i="1"/>
  <c r="AH92" i="1"/>
  <c r="AT91" i="1"/>
  <c r="AS91" i="1"/>
  <c r="AQ91" i="1"/>
  <c r="AO91" i="1"/>
  <c r="AM91" i="1"/>
  <c r="AN91" i="1" s="1"/>
  <c r="AL91" i="1"/>
  <c r="AK91" i="1"/>
  <c r="AJ91" i="1"/>
  <c r="AI91" i="1"/>
  <c r="AH91" i="1"/>
  <c r="AT90" i="1"/>
  <c r="AS90" i="1"/>
  <c r="AQ90" i="1"/>
  <c r="AO90" i="1"/>
  <c r="AM90" i="1"/>
  <c r="AN90" i="1" s="1"/>
  <c r="AL90" i="1"/>
  <c r="AK90" i="1"/>
  <c r="AJ90" i="1"/>
  <c r="AI90" i="1"/>
  <c r="AH90" i="1"/>
  <c r="AT89" i="1"/>
  <c r="AS89" i="1"/>
  <c r="AQ89" i="1"/>
  <c r="AO89" i="1"/>
  <c r="AM89" i="1"/>
  <c r="AN89" i="1" s="1"/>
  <c r="AL89" i="1"/>
  <c r="AK89" i="1"/>
  <c r="AJ89" i="1"/>
  <c r="AI89" i="1"/>
  <c r="AH89" i="1"/>
  <c r="AT88" i="1"/>
  <c r="AS88" i="1"/>
  <c r="AQ88" i="1"/>
  <c r="AO88" i="1"/>
  <c r="AM88" i="1"/>
  <c r="AN88" i="1" s="1"/>
  <c r="AL88" i="1"/>
  <c r="AK88" i="1"/>
  <c r="AJ88" i="1"/>
  <c r="AI88" i="1"/>
  <c r="AH88" i="1"/>
  <c r="AT87" i="1"/>
  <c r="AS87" i="1"/>
  <c r="AQ87" i="1"/>
  <c r="AO87" i="1"/>
  <c r="AM87" i="1"/>
  <c r="AN87" i="1" s="1"/>
  <c r="AL87" i="1"/>
  <c r="AK87" i="1"/>
  <c r="AJ87" i="1"/>
  <c r="AI87" i="1"/>
  <c r="AH87" i="1"/>
  <c r="AT86" i="1"/>
  <c r="AS86" i="1"/>
  <c r="AQ86" i="1"/>
  <c r="AO86" i="1"/>
  <c r="AM86" i="1"/>
  <c r="AN86" i="1" s="1"/>
  <c r="AL86" i="1"/>
  <c r="AK86" i="1"/>
  <c r="AJ86" i="1"/>
  <c r="AI86" i="1"/>
  <c r="AH86" i="1"/>
  <c r="AT85" i="1"/>
  <c r="AS85" i="1"/>
  <c r="AQ85" i="1"/>
  <c r="AO85" i="1"/>
  <c r="AM85" i="1"/>
  <c r="AN85" i="1" s="1"/>
  <c r="AL85" i="1"/>
  <c r="AK85" i="1"/>
  <c r="AJ85" i="1"/>
  <c r="AI85" i="1"/>
  <c r="AH85" i="1"/>
  <c r="AT84" i="1"/>
  <c r="AS84" i="1"/>
  <c r="AQ84" i="1"/>
  <c r="AO84" i="1"/>
  <c r="AM84" i="1"/>
  <c r="AN84" i="1" s="1"/>
  <c r="AL84" i="1"/>
  <c r="AK84" i="1"/>
  <c r="AJ84" i="1"/>
  <c r="AI84" i="1"/>
  <c r="AH84" i="1"/>
  <c r="AT83" i="1"/>
  <c r="AS83" i="1"/>
  <c r="AQ83" i="1"/>
  <c r="AO83" i="1"/>
  <c r="AM83" i="1"/>
  <c r="AN83" i="1" s="1"/>
  <c r="AL83" i="1"/>
  <c r="AK83" i="1"/>
  <c r="AJ83" i="1"/>
  <c r="AI83" i="1"/>
  <c r="AH83" i="1"/>
  <c r="AT82" i="1"/>
  <c r="AS82" i="1"/>
  <c r="AQ82" i="1"/>
  <c r="AO82" i="1"/>
  <c r="AM82" i="1"/>
  <c r="AN82" i="1" s="1"/>
  <c r="AL82" i="1"/>
  <c r="AK82" i="1"/>
  <c r="AJ82" i="1"/>
  <c r="AI82" i="1"/>
  <c r="AH82" i="1"/>
  <c r="AT81" i="1"/>
  <c r="AS81" i="1"/>
  <c r="AQ81" i="1"/>
  <c r="AO81" i="1"/>
  <c r="AM81" i="1"/>
  <c r="AN81" i="1" s="1"/>
  <c r="AL81" i="1"/>
  <c r="AK81" i="1"/>
  <c r="AJ81" i="1"/>
  <c r="AI81" i="1"/>
  <c r="AH81" i="1"/>
  <c r="AT80" i="1"/>
  <c r="AS80" i="1"/>
  <c r="AQ80" i="1"/>
  <c r="AO80" i="1"/>
  <c r="AM80" i="1"/>
  <c r="AN80" i="1" s="1"/>
  <c r="AL80" i="1"/>
  <c r="AK80" i="1"/>
  <c r="AJ80" i="1"/>
  <c r="AI80" i="1"/>
  <c r="AH80" i="1"/>
  <c r="AT79" i="1"/>
  <c r="AS79" i="1"/>
  <c r="AQ79" i="1"/>
  <c r="AO79" i="1"/>
  <c r="AM79" i="1"/>
  <c r="AN79" i="1" s="1"/>
  <c r="AL79" i="1"/>
  <c r="AK79" i="1"/>
  <c r="AJ79" i="1"/>
  <c r="AI79" i="1"/>
  <c r="AH79" i="1"/>
  <c r="AT78" i="1"/>
  <c r="AS78" i="1"/>
  <c r="AQ78" i="1"/>
  <c r="AO78" i="1"/>
  <c r="AM78" i="1"/>
  <c r="AN78" i="1" s="1"/>
  <c r="AL78" i="1"/>
  <c r="AK78" i="1"/>
  <c r="AJ78" i="1"/>
  <c r="AI78" i="1"/>
  <c r="AH78" i="1"/>
  <c r="AT77" i="1"/>
  <c r="AS77" i="1"/>
  <c r="AQ77" i="1"/>
  <c r="AO77" i="1"/>
  <c r="AM77" i="1"/>
  <c r="AN77" i="1" s="1"/>
  <c r="AL77" i="1"/>
  <c r="AK77" i="1"/>
  <c r="AJ77" i="1"/>
  <c r="AI77" i="1"/>
  <c r="AH77" i="1"/>
  <c r="AT76" i="1"/>
  <c r="AS76" i="1"/>
  <c r="AQ76" i="1"/>
  <c r="AO76" i="1"/>
  <c r="AM76" i="1"/>
  <c r="AN76" i="1" s="1"/>
  <c r="AL76" i="1"/>
  <c r="AK76" i="1"/>
  <c r="AJ76" i="1"/>
  <c r="AI76" i="1"/>
  <c r="AH76" i="1"/>
  <c r="AT75" i="1"/>
  <c r="AS75" i="1"/>
  <c r="AQ75" i="1"/>
  <c r="AO75" i="1"/>
  <c r="AM75" i="1"/>
  <c r="AN75" i="1" s="1"/>
  <c r="AL75" i="1"/>
  <c r="AK75" i="1"/>
  <c r="AJ75" i="1"/>
  <c r="AI75" i="1"/>
  <c r="AH75" i="1"/>
  <c r="AT74" i="1"/>
  <c r="AS74" i="1"/>
  <c r="AQ74" i="1"/>
  <c r="AO74" i="1"/>
  <c r="AM74" i="1"/>
  <c r="AN74" i="1" s="1"/>
  <c r="AL74" i="1"/>
  <c r="AK74" i="1"/>
  <c r="AJ74" i="1"/>
  <c r="AI74" i="1"/>
  <c r="AH74" i="1"/>
  <c r="AT73" i="1"/>
  <c r="AS73" i="1"/>
  <c r="AQ73" i="1"/>
  <c r="AO73" i="1"/>
  <c r="AM73" i="1"/>
  <c r="AN73" i="1" s="1"/>
  <c r="AL73" i="1"/>
  <c r="AK73" i="1"/>
  <c r="AJ73" i="1"/>
  <c r="AI73" i="1"/>
  <c r="AH73" i="1"/>
  <c r="AT72" i="1"/>
  <c r="AS72" i="1"/>
  <c r="AQ72" i="1"/>
  <c r="AO72" i="1"/>
  <c r="AM72" i="1"/>
  <c r="AN72" i="1" s="1"/>
  <c r="AL72" i="1"/>
  <c r="AK72" i="1"/>
  <c r="AJ72" i="1"/>
  <c r="AI72" i="1"/>
  <c r="AH72" i="1"/>
  <c r="AT71" i="1"/>
  <c r="AS71" i="1"/>
  <c r="AQ71" i="1"/>
  <c r="AO71" i="1"/>
  <c r="AM71" i="1"/>
  <c r="AN71" i="1" s="1"/>
  <c r="AL71" i="1"/>
  <c r="AK71" i="1"/>
  <c r="AJ71" i="1"/>
  <c r="AI71" i="1"/>
  <c r="AH71" i="1"/>
  <c r="AT70" i="1"/>
  <c r="AS70" i="1"/>
  <c r="AQ70" i="1"/>
  <c r="AO70" i="1"/>
  <c r="AM70" i="1"/>
  <c r="AN70" i="1" s="1"/>
  <c r="AL70" i="1"/>
  <c r="AK70" i="1"/>
  <c r="AJ70" i="1"/>
  <c r="AI70" i="1"/>
  <c r="AH70" i="1"/>
  <c r="AT69" i="1"/>
  <c r="AS69" i="1"/>
  <c r="AQ69" i="1"/>
  <c r="AO69" i="1"/>
  <c r="AM69" i="1"/>
  <c r="AN69" i="1" s="1"/>
  <c r="AL69" i="1"/>
  <c r="AK69" i="1"/>
  <c r="AJ69" i="1"/>
  <c r="AI69" i="1"/>
  <c r="AH69" i="1"/>
  <c r="AT68" i="1"/>
  <c r="AS68" i="1"/>
  <c r="AQ68" i="1"/>
  <c r="AO68" i="1"/>
  <c r="AM68" i="1"/>
  <c r="AN68" i="1" s="1"/>
  <c r="AL68" i="1"/>
  <c r="AK68" i="1"/>
  <c r="AJ68" i="1"/>
  <c r="AI68" i="1"/>
  <c r="AH68" i="1"/>
  <c r="AT67" i="1"/>
  <c r="AS67" i="1"/>
  <c r="AQ67" i="1"/>
  <c r="AO67" i="1"/>
  <c r="AM67" i="1"/>
  <c r="AN67" i="1" s="1"/>
  <c r="AL67" i="1"/>
  <c r="AK67" i="1"/>
  <c r="AJ67" i="1"/>
  <c r="AI67" i="1"/>
  <c r="AH67" i="1"/>
  <c r="AT66" i="1"/>
  <c r="AS66" i="1"/>
  <c r="AQ66" i="1"/>
  <c r="AO66" i="1"/>
  <c r="AM66" i="1"/>
  <c r="AN66" i="1" s="1"/>
  <c r="AL66" i="1"/>
  <c r="AK66" i="1"/>
  <c r="AJ66" i="1"/>
  <c r="AI66" i="1"/>
  <c r="AH66" i="1"/>
  <c r="AT65" i="1"/>
  <c r="AS65" i="1"/>
  <c r="AQ65" i="1"/>
  <c r="AO65" i="1"/>
  <c r="AM65" i="1"/>
  <c r="AN65" i="1" s="1"/>
  <c r="AL65" i="1"/>
  <c r="AK65" i="1"/>
  <c r="AJ65" i="1"/>
  <c r="AI65" i="1"/>
  <c r="AH65" i="1"/>
  <c r="AT64" i="1"/>
  <c r="AS64" i="1"/>
  <c r="AQ64" i="1"/>
  <c r="AO64" i="1"/>
  <c r="AM64" i="1"/>
  <c r="AN64" i="1" s="1"/>
  <c r="AL64" i="1"/>
  <c r="AK64" i="1"/>
  <c r="AJ64" i="1"/>
  <c r="AI64" i="1"/>
  <c r="AH64" i="1"/>
  <c r="AT63" i="1"/>
  <c r="AS63" i="1"/>
  <c r="AQ63" i="1"/>
  <c r="AO63" i="1"/>
  <c r="AM63" i="1"/>
  <c r="AN63" i="1" s="1"/>
  <c r="AL63" i="1"/>
  <c r="AK63" i="1"/>
  <c r="AJ63" i="1"/>
  <c r="AI63" i="1"/>
  <c r="AH63" i="1"/>
  <c r="AT62" i="1"/>
  <c r="AS62" i="1"/>
  <c r="AQ62" i="1"/>
  <c r="AO62" i="1"/>
  <c r="AM62" i="1"/>
  <c r="AN62" i="1" s="1"/>
  <c r="AL62" i="1"/>
  <c r="AK62" i="1"/>
  <c r="AJ62" i="1"/>
  <c r="AI62" i="1"/>
  <c r="AH62" i="1"/>
  <c r="AT61" i="1"/>
  <c r="AS61" i="1"/>
  <c r="AQ61" i="1"/>
  <c r="AO61" i="1"/>
  <c r="AM61" i="1"/>
  <c r="AN61" i="1" s="1"/>
  <c r="AP61" i="1" s="1"/>
  <c r="AL61" i="1"/>
  <c r="AK61" i="1"/>
  <c r="AJ61" i="1"/>
  <c r="AI61" i="1"/>
  <c r="AH61" i="1"/>
  <c r="AT60" i="1"/>
  <c r="AS60" i="1"/>
  <c r="AQ60" i="1"/>
  <c r="AO60" i="1"/>
  <c r="AM60" i="1"/>
  <c r="AN60" i="1" s="1"/>
  <c r="AL60" i="1"/>
  <c r="AK60" i="1"/>
  <c r="AJ60" i="1"/>
  <c r="AI60" i="1"/>
  <c r="AH60" i="1"/>
  <c r="AT59" i="1"/>
  <c r="AS59" i="1"/>
  <c r="AQ59" i="1"/>
  <c r="AO59" i="1"/>
  <c r="AM59" i="1"/>
  <c r="AN59" i="1" s="1"/>
  <c r="AL59" i="1"/>
  <c r="AK59" i="1"/>
  <c r="AJ59" i="1"/>
  <c r="AI59" i="1"/>
  <c r="AH59" i="1"/>
  <c r="AT58" i="1"/>
  <c r="AS58" i="1"/>
  <c r="AQ58" i="1"/>
  <c r="AO58" i="1"/>
  <c r="AM58" i="1"/>
  <c r="AN58" i="1" s="1"/>
  <c r="AL58" i="1"/>
  <c r="AK58" i="1"/>
  <c r="AJ58" i="1"/>
  <c r="AI58" i="1"/>
  <c r="AH58" i="1"/>
  <c r="AT57" i="1"/>
  <c r="AS57" i="1"/>
  <c r="AQ57" i="1"/>
  <c r="AO57" i="1"/>
  <c r="AN57" i="1"/>
  <c r="AM57" i="1"/>
  <c r="AL57" i="1"/>
  <c r="AK57" i="1"/>
  <c r="AJ57" i="1"/>
  <c r="AI57" i="1"/>
  <c r="AH57" i="1"/>
  <c r="AT56" i="1"/>
  <c r="AS56" i="1"/>
  <c r="AQ56" i="1"/>
  <c r="AO56" i="1"/>
  <c r="AM56" i="1"/>
  <c r="AN56" i="1" s="1"/>
  <c r="AL56" i="1"/>
  <c r="AK56" i="1"/>
  <c r="AJ56" i="1"/>
  <c r="AI56" i="1"/>
  <c r="AH56" i="1"/>
  <c r="AT55" i="1"/>
  <c r="AS55" i="1"/>
  <c r="AQ55" i="1"/>
  <c r="AO55" i="1"/>
  <c r="AM55" i="1"/>
  <c r="AN55" i="1" s="1"/>
  <c r="AL55" i="1"/>
  <c r="AK55" i="1"/>
  <c r="AJ55" i="1"/>
  <c r="AI55" i="1"/>
  <c r="AH55" i="1"/>
  <c r="AT54" i="1"/>
  <c r="AS54" i="1"/>
  <c r="AQ54" i="1"/>
  <c r="AO54" i="1"/>
  <c r="AM54" i="1"/>
  <c r="AN54" i="1" s="1"/>
  <c r="AL54" i="1"/>
  <c r="AK54" i="1"/>
  <c r="AJ54" i="1"/>
  <c r="AI54" i="1"/>
  <c r="AH54" i="1"/>
  <c r="AT53" i="1"/>
  <c r="AS53" i="1"/>
  <c r="AQ53" i="1"/>
  <c r="AO53" i="1"/>
  <c r="AM53" i="1"/>
  <c r="AN53" i="1" s="1"/>
  <c r="AL53" i="1"/>
  <c r="AK53" i="1"/>
  <c r="AJ53" i="1"/>
  <c r="AI53" i="1"/>
  <c r="AH53" i="1"/>
  <c r="AT52" i="1"/>
  <c r="AS52" i="1"/>
  <c r="AQ52" i="1"/>
  <c r="AO52" i="1"/>
  <c r="AM52" i="1"/>
  <c r="AN52" i="1" s="1"/>
  <c r="AL52" i="1"/>
  <c r="AK52" i="1"/>
  <c r="AJ52" i="1"/>
  <c r="AI52" i="1"/>
  <c r="AH52" i="1"/>
  <c r="AT51" i="1"/>
  <c r="AS51" i="1"/>
  <c r="AQ51" i="1"/>
  <c r="AO51" i="1"/>
  <c r="AM51" i="1"/>
  <c r="AN51" i="1" s="1"/>
  <c r="AL51" i="1"/>
  <c r="AK51" i="1"/>
  <c r="AJ51" i="1"/>
  <c r="AI51" i="1"/>
  <c r="AH51" i="1"/>
  <c r="AT50" i="1"/>
  <c r="AS50" i="1"/>
  <c r="AQ50" i="1"/>
  <c r="AO50" i="1"/>
  <c r="AM50" i="1"/>
  <c r="AN50" i="1" s="1"/>
  <c r="AL50" i="1"/>
  <c r="AK50" i="1"/>
  <c r="AJ50" i="1"/>
  <c r="AI50" i="1"/>
  <c r="AH50" i="1"/>
  <c r="AT49" i="1"/>
  <c r="AS49" i="1"/>
  <c r="AQ49" i="1"/>
  <c r="AO49" i="1"/>
  <c r="AM49" i="1"/>
  <c r="AN49" i="1" s="1"/>
  <c r="AL49" i="1"/>
  <c r="AK49" i="1"/>
  <c r="AJ49" i="1"/>
  <c r="AI49" i="1"/>
  <c r="AH49" i="1"/>
  <c r="AT48" i="1"/>
  <c r="AS48" i="1"/>
  <c r="AQ48" i="1"/>
  <c r="AO48" i="1"/>
  <c r="AM48" i="1"/>
  <c r="AN48" i="1" s="1"/>
  <c r="AL48" i="1"/>
  <c r="AK48" i="1"/>
  <c r="AJ48" i="1"/>
  <c r="AI48" i="1"/>
  <c r="AH48" i="1"/>
  <c r="AT47" i="1"/>
  <c r="AS47" i="1"/>
  <c r="AQ47" i="1"/>
  <c r="AO47" i="1"/>
  <c r="AM47" i="1"/>
  <c r="AN47" i="1" s="1"/>
  <c r="AL47" i="1"/>
  <c r="AK47" i="1"/>
  <c r="AJ47" i="1"/>
  <c r="AI47" i="1"/>
  <c r="AH47" i="1"/>
  <c r="AT46" i="1"/>
  <c r="AS46" i="1"/>
  <c r="AQ46" i="1"/>
  <c r="AO46" i="1"/>
  <c r="AM46" i="1"/>
  <c r="AN46" i="1" s="1"/>
  <c r="AL46" i="1"/>
  <c r="AK46" i="1"/>
  <c r="AJ46" i="1"/>
  <c r="AI46" i="1"/>
  <c r="AH46" i="1"/>
  <c r="AT45" i="1"/>
  <c r="AS45" i="1"/>
  <c r="AQ45" i="1"/>
  <c r="AO45" i="1"/>
  <c r="AM45" i="1"/>
  <c r="AN45" i="1" s="1"/>
  <c r="AL45" i="1"/>
  <c r="AK45" i="1"/>
  <c r="AJ45" i="1"/>
  <c r="AI45" i="1"/>
  <c r="AH45" i="1"/>
  <c r="AT44" i="1"/>
  <c r="AS44" i="1"/>
  <c r="AQ44" i="1"/>
  <c r="AO44" i="1"/>
  <c r="AM44" i="1"/>
  <c r="AN44" i="1" s="1"/>
  <c r="AL44" i="1"/>
  <c r="AK44" i="1"/>
  <c r="AJ44" i="1"/>
  <c r="AI44" i="1"/>
  <c r="AH44" i="1"/>
  <c r="AT43" i="1"/>
  <c r="AS43" i="1"/>
  <c r="AQ43" i="1"/>
  <c r="AO43" i="1"/>
  <c r="AM43" i="1"/>
  <c r="AN43" i="1" s="1"/>
  <c r="AL43" i="1"/>
  <c r="AK43" i="1"/>
  <c r="AJ43" i="1"/>
  <c r="AI43" i="1"/>
  <c r="AH43" i="1"/>
  <c r="AT42" i="1"/>
  <c r="AS42" i="1"/>
  <c r="AQ42" i="1"/>
  <c r="AO42" i="1"/>
  <c r="AM42" i="1"/>
  <c r="AN42" i="1" s="1"/>
  <c r="AL42" i="1"/>
  <c r="AK42" i="1"/>
  <c r="AJ42" i="1"/>
  <c r="AI42" i="1"/>
  <c r="AH42" i="1"/>
  <c r="AT41" i="1"/>
  <c r="AS41" i="1"/>
  <c r="AQ41" i="1"/>
  <c r="AO41" i="1"/>
  <c r="AM41" i="1"/>
  <c r="AN41" i="1" s="1"/>
  <c r="AL41" i="1"/>
  <c r="AK41" i="1"/>
  <c r="AJ41" i="1"/>
  <c r="AI41" i="1"/>
  <c r="AH41" i="1"/>
  <c r="AT40" i="1"/>
  <c r="AS40" i="1"/>
  <c r="AQ40" i="1"/>
  <c r="AO40" i="1"/>
  <c r="AM40" i="1"/>
  <c r="AN40" i="1" s="1"/>
  <c r="AL40" i="1"/>
  <c r="AK40" i="1"/>
  <c r="AJ40" i="1"/>
  <c r="AI40" i="1"/>
  <c r="AH40" i="1"/>
  <c r="AT39" i="1"/>
  <c r="AS39" i="1"/>
  <c r="AQ39" i="1"/>
  <c r="AO39" i="1"/>
  <c r="AM39" i="1"/>
  <c r="AN39" i="1" s="1"/>
  <c r="AL39" i="1"/>
  <c r="AK39" i="1"/>
  <c r="AJ39" i="1"/>
  <c r="AI39" i="1"/>
  <c r="AH39" i="1"/>
  <c r="AT38" i="1"/>
  <c r="AS38" i="1"/>
  <c r="AQ38" i="1"/>
  <c r="AO38" i="1"/>
  <c r="AM38" i="1"/>
  <c r="AN38" i="1" s="1"/>
  <c r="AL38" i="1"/>
  <c r="AK38" i="1"/>
  <c r="AJ38" i="1"/>
  <c r="AI38" i="1"/>
  <c r="AH38" i="1"/>
  <c r="AT37" i="1"/>
  <c r="AS37" i="1"/>
  <c r="AQ37" i="1"/>
  <c r="AO37" i="1"/>
  <c r="AM37" i="1"/>
  <c r="AN37" i="1" s="1"/>
  <c r="AL37" i="1"/>
  <c r="AK37" i="1"/>
  <c r="AJ37" i="1"/>
  <c r="AI37" i="1"/>
  <c r="AH37" i="1"/>
  <c r="AT36" i="1"/>
  <c r="AS36" i="1"/>
  <c r="AQ36" i="1"/>
  <c r="AO36" i="1"/>
  <c r="AM36" i="1"/>
  <c r="AN36" i="1" s="1"/>
  <c r="AL36" i="1"/>
  <c r="AK36" i="1"/>
  <c r="AJ36" i="1"/>
  <c r="AI36" i="1"/>
  <c r="AH36" i="1"/>
  <c r="AT35" i="1"/>
  <c r="AS35" i="1"/>
  <c r="AQ35" i="1"/>
  <c r="AO35" i="1"/>
  <c r="AM35" i="1"/>
  <c r="AN35" i="1" s="1"/>
  <c r="AL35" i="1"/>
  <c r="AK35" i="1"/>
  <c r="AJ35" i="1"/>
  <c r="AI35" i="1"/>
  <c r="AH35" i="1"/>
  <c r="AT34" i="1"/>
  <c r="AS34" i="1"/>
  <c r="AQ34" i="1"/>
  <c r="AO34" i="1"/>
  <c r="AM34" i="1"/>
  <c r="AN34" i="1" s="1"/>
  <c r="AL34" i="1"/>
  <c r="AK34" i="1"/>
  <c r="AJ34" i="1"/>
  <c r="AI34" i="1"/>
  <c r="AH34" i="1"/>
  <c r="AT33" i="1"/>
  <c r="AS33" i="1"/>
  <c r="AQ33" i="1"/>
  <c r="AO33" i="1"/>
  <c r="AM33" i="1"/>
  <c r="AN33" i="1" s="1"/>
  <c r="AL33" i="1"/>
  <c r="AK33" i="1"/>
  <c r="AJ33" i="1"/>
  <c r="AI33" i="1"/>
  <c r="AH33" i="1"/>
  <c r="AT32" i="1"/>
  <c r="AS32" i="1"/>
  <c r="AQ32" i="1"/>
  <c r="AO32" i="1"/>
  <c r="AM32" i="1"/>
  <c r="AN32" i="1" s="1"/>
  <c r="AL32" i="1"/>
  <c r="AK32" i="1"/>
  <c r="AJ32" i="1"/>
  <c r="AI32" i="1"/>
  <c r="AH32" i="1"/>
  <c r="AT31" i="1"/>
  <c r="AS31" i="1"/>
  <c r="AQ31" i="1"/>
  <c r="AO31" i="1"/>
  <c r="AM31" i="1"/>
  <c r="AN31" i="1" s="1"/>
  <c r="AL31" i="1"/>
  <c r="AK31" i="1"/>
  <c r="AJ31" i="1"/>
  <c r="AI31" i="1"/>
  <c r="AH31" i="1"/>
  <c r="AT30" i="1"/>
  <c r="AS30" i="1"/>
  <c r="AQ30" i="1"/>
  <c r="AO30" i="1"/>
  <c r="AM30" i="1"/>
  <c r="AN30" i="1" s="1"/>
  <c r="AL30" i="1"/>
  <c r="AK30" i="1"/>
  <c r="AJ30" i="1"/>
  <c r="AI30" i="1"/>
  <c r="AH30" i="1"/>
  <c r="AT29" i="1"/>
  <c r="AS29" i="1"/>
  <c r="AQ29" i="1"/>
  <c r="AO29" i="1"/>
  <c r="AM29" i="1"/>
  <c r="AN29" i="1" s="1"/>
  <c r="AL29" i="1"/>
  <c r="AK29" i="1"/>
  <c r="AJ29" i="1"/>
  <c r="AI29" i="1"/>
  <c r="AH29" i="1"/>
  <c r="AT28" i="1"/>
  <c r="AS28" i="1"/>
  <c r="AQ28" i="1"/>
  <c r="AO28" i="1"/>
  <c r="AM28" i="1"/>
  <c r="AN28" i="1" s="1"/>
  <c r="AL28" i="1"/>
  <c r="AK28" i="1"/>
  <c r="AJ28" i="1"/>
  <c r="AI28" i="1"/>
  <c r="AH28" i="1"/>
  <c r="AT27" i="1"/>
  <c r="AS27" i="1"/>
  <c r="AQ27" i="1"/>
  <c r="AO27" i="1"/>
  <c r="AM27" i="1"/>
  <c r="AN27" i="1" s="1"/>
  <c r="AL27" i="1"/>
  <c r="AK27" i="1"/>
  <c r="AJ27" i="1"/>
  <c r="AI27" i="1"/>
  <c r="AH27" i="1"/>
  <c r="AT26" i="1"/>
  <c r="AS26" i="1"/>
  <c r="AQ26" i="1"/>
  <c r="AO26" i="1"/>
  <c r="AM26" i="1"/>
  <c r="AN26" i="1" s="1"/>
  <c r="AL26" i="1"/>
  <c r="AK26" i="1"/>
  <c r="AJ26" i="1"/>
  <c r="AI26" i="1"/>
  <c r="AH26" i="1"/>
  <c r="AT25" i="1"/>
  <c r="AS25" i="1"/>
  <c r="AQ25" i="1"/>
  <c r="AO25" i="1"/>
  <c r="AM25" i="1"/>
  <c r="AN25" i="1" s="1"/>
  <c r="AL25" i="1"/>
  <c r="AK25" i="1"/>
  <c r="AJ25" i="1"/>
  <c r="AI25" i="1"/>
  <c r="AH25" i="1"/>
  <c r="AT24" i="1"/>
  <c r="AS24" i="1"/>
  <c r="AQ24" i="1"/>
  <c r="AO24" i="1"/>
  <c r="AM24" i="1"/>
  <c r="AN24" i="1" s="1"/>
  <c r="AL24" i="1"/>
  <c r="AK24" i="1"/>
  <c r="AJ24" i="1"/>
  <c r="AI24" i="1"/>
  <c r="AH24" i="1"/>
  <c r="AT23" i="1"/>
  <c r="AS23" i="1"/>
  <c r="AQ23" i="1"/>
  <c r="AO23" i="1"/>
  <c r="AM23" i="1"/>
  <c r="AN23" i="1" s="1"/>
  <c r="AL23" i="1"/>
  <c r="AK23" i="1"/>
  <c r="AJ23" i="1"/>
  <c r="AI23" i="1"/>
  <c r="AH23" i="1"/>
  <c r="AT22" i="1"/>
  <c r="AS22" i="1"/>
  <c r="AQ22" i="1"/>
  <c r="AO22" i="1"/>
  <c r="AM22" i="1"/>
  <c r="AN22" i="1" s="1"/>
  <c r="AL22" i="1"/>
  <c r="AK22" i="1"/>
  <c r="AJ22" i="1"/>
  <c r="AI22" i="1"/>
  <c r="AH22" i="1"/>
  <c r="AT21" i="1"/>
  <c r="AS21" i="1"/>
  <c r="AQ21" i="1"/>
  <c r="AO21" i="1"/>
  <c r="AM21" i="1"/>
  <c r="AN21" i="1" s="1"/>
  <c r="AL21" i="1"/>
  <c r="AK21" i="1"/>
  <c r="AJ21" i="1"/>
  <c r="AI21" i="1"/>
  <c r="AH21" i="1"/>
  <c r="AT20" i="1"/>
  <c r="AS20" i="1"/>
  <c r="AQ20" i="1"/>
  <c r="AO20" i="1"/>
  <c r="AM20" i="1"/>
  <c r="AN20" i="1" s="1"/>
  <c r="AL20" i="1"/>
  <c r="AK20" i="1"/>
  <c r="AJ20" i="1"/>
  <c r="AI20" i="1"/>
  <c r="AH20" i="1"/>
  <c r="AT19" i="1"/>
  <c r="AS19" i="1"/>
  <c r="AQ19" i="1"/>
  <c r="AO19" i="1"/>
  <c r="AM19" i="1"/>
  <c r="AN19" i="1" s="1"/>
  <c r="AL19" i="1"/>
  <c r="AK19" i="1"/>
  <c r="AJ19" i="1"/>
  <c r="AI19" i="1"/>
  <c r="AH19" i="1"/>
  <c r="AT18" i="1"/>
  <c r="AS18" i="1"/>
  <c r="AQ18" i="1"/>
  <c r="AO18" i="1"/>
  <c r="AM18" i="1"/>
  <c r="AN18" i="1" s="1"/>
  <c r="AL18" i="1"/>
  <c r="AK18" i="1"/>
  <c r="AJ18" i="1"/>
  <c r="AI18" i="1"/>
  <c r="AH18" i="1"/>
  <c r="AT17" i="1"/>
  <c r="AS17" i="1"/>
  <c r="AQ17" i="1"/>
  <c r="AO17" i="1"/>
  <c r="AM17" i="1"/>
  <c r="AN17" i="1" s="1"/>
  <c r="AL17" i="1"/>
  <c r="AK17" i="1"/>
  <c r="AJ17" i="1"/>
  <c r="AI17" i="1"/>
  <c r="AH17" i="1"/>
  <c r="AT16" i="1"/>
  <c r="AS16" i="1"/>
  <c r="AQ16" i="1"/>
  <c r="AO16" i="1"/>
  <c r="AM16" i="1"/>
  <c r="AN16" i="1" s="1"/>
  <c r="AL16" i="1"/>
  <c r="AK16" i="1"/>
  <c r="AJ16" i="1"/>
  <c r="AI16" i="1"/>
  <c r="AH16" i="1"/>
  <c r="AT15" i="1"/>
  <c r="AS15" i="1"/>
  <c r="AQ15" i="1"/>
  <c r="AO15" i="1"/>
  <c r="AM15" i="1"/>
  <c r="AN15" i="1" s="1"/>
  <c r="AL15" i="1"/>
  <c r="AK15" i="1"/>
  <c r="AJ15" i="1"/>
  <c r="AI15" i="1"/>
  <c r="AH15" i="1"/>
  <c r="AT14" i="1"/>
  <c r="AS14" i="1"/>
  <c r="AQ14" i="1"/>
  <c r="AO14" i="1"/>
  <c r="AM14" i="1"/>
  <c r="AN14" i="1" s="1"/>
  <c r="AL14" i="1"/>
  <c r="AK14" i="1"/>
  <c r="AJ14" i="1"/>
  <c r="AI14" i="1"/>
  <c r="AH14" i="1"/>
  <c r="AT13" i="1"/>
  <c r="AS13" i="1"/>
  <c r="AQ13" i="1"/>
  <c r="AO13" i="1"/>
  <c r="AM13" i="1"/>
  <c r="AN13" i="1" s="1"/>
  <c r="AL13" i="1"/>
  <c r="AK13" i="1"/>
  <c r="AJ13" i="1"/>
  <c r="AI13" i="1"/>
  <c r="AH13" i="1"/>
  <c r="AT12" i="1"/>
  <c r="AS12" i="1"/>
  <c r="AQ12" i="1"/>
  <c r="AO12" i="1"/>
  <c r="AM12" i="1"/>
  <c r="AN12" i="1" s="1"/>
  <c r="AL12" i="1"/>
  <c r="AK12" i="1"/>
  <c r="AJ12" i="1"/>
  <c r="AI12" i="1"/>
  <c r="AH12" i="1"/>
  <c r="AT11" i="1"/>
  <c r="AS11" i="1"/>
  <c r="AQ11" i="1"/>
  <c r="AO11" i="1"/>
  <c r="AM11" i="1"/>
  <c r="AN11" i="1" s="1"/>
  <c r="AL11" i="1"/>
  <c r="AK11" i="1"/>
  <c r="AJ11" i="1"/>
  <c r="AI11" i="1"/>
  <c r="AH11" i="1"/>
  <c r="AT10" i="1"/>
  <c r="AS10" i="1"/>
  <c r="AQ10" i="1"/>
  <c r="AO10" i="1"/>
  <c r="AM10" i="1"/>
  <c r="AN10" i="1" s="1"/>
  <c r="AL10" i="1"/>
  <c r="AK10" i="1"/>
  <c r="AJ10" i="1"/>
  <c r="AI10" i="1"/>
  <c r="AH10" i="1"/>
  <c r="AT9" i="1"/>
  <c r="AS9" i="1"/>
  <c r="AQ9" i="1"/>
  <c r="AO9" i="1"/>
  <c r="AM9" i="1"/>
  <c r="AN9" i="1" s="1"/>
  <c r="AL9" i="1"/>
  <c r="AK9" i="1"/>
  <c r="AJ9" i="1"/>
  <c r="AI9" i="1"/>
  <c r="AH9" i="1"/>
  <c r="AT8" i="1"/>
  <c r="AS8" i="1"/>
  <c r="AQ8" i="1"/>
  <c r="AO8" i="1"/>
  <c r="AM8" i="1"/>
  <c r="AN8" i="1" s="1"/>
  <c r="AL8" i="1"/>
  <c r="AK8" i="1"/>
  <c r="AJ8" i="1"/>
  <c r="AI8" i="1"/>
  <c r="AH8" i="1"/>
  <c r="AT7" i="1"/>
  <c r="AS7" i="1"/>
  <c r="AQ7" i="1"/>
  <c r="AO7" i="1"/>
  <c r="AM7" i="1"/>
  <c r="AN7" i="1" s="1"/>
  <c r="AL7" i="1"/>
  <c r="AK7" i="1"/>
  <c r="AJ7" i="1"/>
  <c r="AI7" i="1"/>
  <c r="AH7" i="1"/>
  <c r="AT6" i="1"/>
  <c r="AS6" i="1"/>
  <c r="AQ6" i="1"/>
  <c r="AO6" i="1"/>
  <c r="AM6" i="1"/>
  <c r="AN6" i="1" s="1"/>
  <c r="AL6" i="1"/>
  <c r="AK6" i="1"/>
  <c r="AJ6" i="1"/>
  <c r="AI6" i="1"/>
  <c r="AH6" i="1"/>
  <c r="AT5" i="1"/>
  <c r="AS5" i="1"/>
  <c r="AQ5" i="1"/>
  <c r="AO5" i="1"/>
  <c r="AM5" i="1"/>
  <c r="AN5" i="1" s="1"/>
  <c r="AL5" i="1"/>
  <c r="AK5" i="1"/>
  <c r="AJ5" i="1"/>
  <c r="AI5" i="1"/>
  <c r="AH5" i="1"/>
  <c r="AT4" i="1"/>
  <c r="AS4" i="1"/>
  <c r="AQ4" i="1"/>
  <c r="AO4" i="1"/>
  <c r="AM4" i="1"/>
  <c r="AN4" i="1" s="1"/>
  <c r="AL4" i="1"/>
  <c r="AK4" i="1"/>
  <c r="AJ4" i="1"/>
  <c r="AI4" i="1"/>
  <c r="AH4" i="1"/>
  <c r="AT3" i="1"/>
  <c r="AS3" i="1"/>
  <c r="AQ3" i="1"/>
  <c r="AO3" i="1"/>
  <c r="AM3" i="1"/>
  <c r="AN3" i="1" s="1"/>
  <c r="AL3" i="1"/>
  <c r="AK3" i="1"/>
  <c r="AJ3" i="1"/>
  <c r="AI3" i="1"/>
  <c r="AH3" i="1"/>
  <c r="AT2" i="1"/>
  <c r="AS2" i="1"/>
  <c r="AQ2" i="1"/>
  <c r="AO2" i="1"/>
  <c r="AN2" i="1"/>
  <c r="AM2" i="1"/>
  <c r="AL2" i="1"/>
  <c r="AK2" i="1"/>
  <c r="AJ2" i="1"/>
  <c r="AI2" i="1"/>
  <c r="AH2" i="1"/>
  <c r="AP862" i="1" l="1"/>
  <c r="AP927" i="1"/>
  <c r="AP486" i="1"/>
  <c r="AP782" i="1"/>
  <c r="AR782" i="1" s="1"/>
  <c r="AP784" i="1"/>
  <c r="AP786" i="1"/>
  <c r="AP788" i="1"/>
  <c r="AV796" i="1"/>
  <c r="AP796" i="1"/>
  <c r="AR796" i="1" s="1"/>
  <c r="AP802" i="1"/>
  <c r="AP861" i="1"/>
  <c r="AP865" i="1"/>
  <c r="AR865" i="1" s="1"/>
  <c r="AU865" i="1" s="1"/>
  <c r="AP932" i="1"/>
  <c r="AP934" i="1"/>
  <c r="AP936" i="1"/>
  <c r="AU433" i="1"/>
  <c r="AP433" i="1"/>
  <c r="AR433" i="1" s="1"/>
  <c r="AP435" i="1"/>
  <c r="AR435" i="1" s="1"/>
  <c r="AP445" i="1"/>
  <c r="AR445" i="1" s="1"/>
  <c r="AP447" i="1"/>
  <c r="AR447" i="1" s="1"/>
  <c r="AP565" i="1"/>
  <c r="AR565" i="1" s="1"/>
  <c r="AP567" i="1"/>
  <c r="AR567" i="1" s="1"/>
  <c r="AP653" i="1"/>
  <c r="AR653" i="1" s="1"/>
  <c r="AV653" i="1" s="1"/>
  <c r="AP655" i="1"/>
  <c r="AP659" i="1"/>
  <c r="AR659" i="1" s="1"/>
  <c r="AP667" i="1"/>
  <c r="AP669" i="1"/>
  <c r="AR669" i="1" s="1"/>
  <c r="AV669" i="1" s="1"/>
  <c r="AP671" i="1"/>
  <c r="AP691" i="1"/>
  <c r="AP693" i="1"/>
  <c r="AP695" i="1"/>
  <c r="AR695" i="1" s="1"/>
  <c r="AP699" i="1"/>
  <c r="AP711" i="1"/>
  <c r="AP721" i="1"/>
  <c r="AP738" i="1"/>
  <c r="AR738" i="1" s="1"/>
  <c r="AP740" i="1"/>
  <c r="AR740" i="1" s="1"/>
  <c r="AP846" i="1"/>
  <c r="AP23" i="1"/>
  <c r="AR23" i="1" s="1"/>
  <c r="AP48" i="1"/>
  <c r="AR48" i="1" s="1"/>
  <c r="AP50" i="1"/>
  <c r="AP52" i="1"/>
  <c r="AR52" i="1" s="1"/>
  <c r="AV52" i="1" s="1"/>
  <c r="AP54" i="1"/>
  <c r="AR54" i="1" s="1"/>
  <c r="AV54" i="1" s="1"/>
  <c r="AP56" i="1"/>
  <c r="AR56" i="1" s="1"/>
  <c r="AP63" i="1"/>
  <c r="AR63" i="1" s="1"/>
  <c r="AP65" i="1"/>
  <c r="AP109" i="1"/>
  <c r="AP111" i="1"/>
  <c r="AR111" i="1" s="1"/>
  <c r="AP113" i="1"/>
  <c r="AP167" i="1"/>
  <c r="AP175" i="1"/>
  <c r="AR175" i="1" s="1"/>
  <c r="AP179" i="1"/>
  <c r="AR179" i="1" s="1"/>
  <c r="AV179" i="1" s="1"/>
  <c r="AP181" i="1"/>
  <c r="AR181" i="1" s="1"/>
  <c r="AP183" i="1"/>
  <c r="AP280" i="1"/>
  <c r="AR280" i="1" s="1"/>
  <c r="AP282" i="1"/>
  <c r="AR282" i="1" s="1"/>
  <c r="AV282" i="1" s="1"/>
  <c r="AP395" i="1"/>
  <c r="AP430" i="1"/>
  <c r="AP490" i="1"/>
  <c r="AP496" i="1"/>
  <c r="AP552" i="1"/>
  <c r="AP562" i="1"/>
  <c r="AP569" i="1"/>
  <c r="AP575" i="1"/>
  <c r="AR575" i="1" s="1"/>
  <c r="AP579" i="1"/>
  <c r="AR579" i="1" s="1"/>
  <c r="AU579" i="1" s="1"/>
  <c r="AP581" i="1"/>
  <c r="AP608" i="1"/>
  <c r="AR608" i="1" s="1"/>
  <c r="AV608" i="1" s="1"/>
  <c r="AP622" i="1"/>
  <c r="AP642" i="1"/>
  <c r="AR642" i="1" s="1"/>
  <c r="AU642" i="1" s="1"/>
  <c r="AP771" i="1"/>
  <c r="AR835" i="1"/>
  <c r="AU835" i="1" s="1"/>
  <c r="AR932" i="1"/>
  <c r="C31" i="4"/>
  <c r="AP102" i="1"/>
  <c r="AR102" i="1" s="1"/>
  <c r="AP104" i="1"/>
  <c r="AR104" i="1" s="1"/>
  <c r="AV104" i="1" s="1"/>
  <c r="AP323" i="1"/>
  <c r="AP325" i="1"/>
  <c r="AP358" i="1"/>
  <c r="AP417" i="1"/>
  <c r="AR417" i="1" s="1"/>
  <c r="AP469" i="1"/>
  <c r="AP471" i="1"/>
  <c r="AP477" i="1"/>
  <c r="AR477" i="1" s="1"/>
  <c r="AV477" i="1" s="1"/>
  <c r="AP481" i="1"/>
  <c r="AP483" i="1"/>
  <c r="AP521" i="1"/>
  <c r="AP531" i="1"/>
  <c r="AR531" i="1" s="1"/>
  <c r="AV531" i="1" s="1"/>
  <c r="AP621" i="1"/>
  <c r="AR621" i="1" s="1"/>
  <c r="AP627" i="1"/>
  <c r="AP680" i="1"/>
  <c r="AR680" i="1" s="1"/>
  <c r="AV680" i="1" s="1"/>
  <c r="AP727" i="1"/>
  <c r="AR727" i="1" s="1"/>
  <c r="AU727" i="1" s="1"/>
  <c r="AP763" i="1"/>
  <c r="AR763" i="1" s="1"/>
  <c r="AP787" i="1"/>
  <c r="AP789" i="1"/>
  <c r="AR789" i="1" s="1"/>
  <c r="AP811" i="1"/>
  <c r="AP813" i="1"/>
  <c r="AP819" i="1"/>
  <c r="AR819" i="1" s="1"/>
  <c r="AP867" i="1"/>
  <c r="AP873" i="1"/>
  <c r="AR873" i="1" s="1"/>
  <c r="AV873" i="1" s="1"/>
  <c r="AP915" i="1"/>
  <c r="AP959" i="1"/>
  <c r="AP36" i="1"/>
  <c r="AR36" i="1" s="1"/>
  <c r="AP93" i="1"/>
  <c r="AR93" i="1" s="1"/>
  <c r="AU93" i="1" s="1"/>
  <c r="AP118" i="1"/>
  <c r="AR118" i="1" s="1"/>
  <c r="AV118" i="1" s="1"/>
  <c r="AP120" i="1"/>
  <c r="AR120" i="1" s="1"/>
  <c r="AV120" i="1" s="1"/>
  <c r="AP125" i="1"/>
  <c r="AP127" i="1"/>
  <c r="AR127" i="1" s="1"/>
  <c r="AP129" i="1"/>
  <c r="AP186" i="1"/>
  <c r="AP188" i="1"/>
  <c r="AP190" i="1"/>
  <c r="AR190" i="1" s="1"/>
  <c r="AP210" i="1"/>
  <c r="AR210" i="1" s="1"/>
  <c r="AP247" i="1"/>
  <c r="AP249" i="1"/>
  <c r="AP251" i="1"/>
  <c r="AP253" i="1"/>
  <c r="AR296" i="1"/>
  <c r="AP298" i="1"/>
  <c r="AR298" i="1" s="1"/>
  <c r="AP300" i="1"/>
  <c r="AR300" i="1" s="1"/>
  <c r="AV300" i="1" s="1"/>
  <c r="AP302" i="1"/>
  <c r="AP312" i="1"/>
  <c r="AR312" i="1" s="1"/>
  <c r="AP402" i="1"/>
  <c r="AP458" i="1"/>
  <c r="AR458" i="1" s="1"/>
  <c r="AU458" i="1" s="1"/>
  <c r="AP588" i="1"/>
  <c r="AP601" i="1"/>
  <c r="AP724" i="1"/>
  <c r="AP726" i="1"/>
  <c r="AR726" i="1" s="1"/>
  <c r="AV726" i="1" s="1"/>
  <c r="AP728" i="1"/>
  <c r="AP758" i="1"/>
  <c r="AR758" i="1" s="1"/>
  <c r="AP760" i="1"/>
  <c r="AP883" i="1"/>
  <c r="AR883" i="1" s="1"/>
  <c r="AP919" i="1"/>
  <c r="AP921" i="1"/>
  <c r="AP925" i="1"/>
  <c r="AR925" i="1" s="1"/>
  <c r="AP941" i="1"/>
  <c r="AR941" i="1" s="1"/>
  <c r="AP949" i="1"/>
  <c r="AR949" i="1" s="1"/>
  <c r="AP955" i="1"/>
  <c r="AR955" i="1" s="1"/>
  <c r="AP958" i="1"/>
  <c r="AR958" i="1" s="1"/>
  <c r="AP960" i="1"/>
  <c r="AR960" i="1" s="1"/>
  <c r="AV960" i="1" s="1"/>
  <c r="AP962" i="1"/>
  <c r="AP964" i="1"/>
  <c r="AP980" i="1"/>
  <c r="AP982" i="1"/>
  <c r="AR982" i="1" s="1"/>
  <c r="AP984" i="1"/>
  <c r="AP211" i="1"/>
  <c r="AP803" i="1"/>
  <c r="AP25" i="1"/>
  <c r="AR25" i="1" s="1"/>
  <c r="AP27" i="1"/>
  <c r="AR27" i="1" s="1"/>
  <c r="AP38" i="1"/>
  <c r="AR38" i="1" s="1"/>
  <c r="AP40" i="1"/>
  <c r="AR40" i="1" s="1"/>
  <c r="AV40" i="1" s="1"/>
  <c r="AP42" i="1"/>
  <c r="AR42" i="1" s="1"/>
  <c r="AP86" i="1"/>
  <c r="AR86" i="1" s="1"/>
  <c r="AV86" i="1" s="1"/>
  <c r="AP88" i="1"/>
  <c r="AR88" i="1" s="1"/>
  <c r="AV88" i="1" s="1"/>
  <c r="AP95" i="1"/>
  <c r="AR95" i="1" s="1"/>
  <c r="AP97" i="1"/>
  <c r="AR97" i="1" s="1"/>
  <c r="AP148" i="1"/>
  <c r="AR148" i="1" s="1"/>
  <c r="AP159" i="1"/>
  <c r="AR159" i="1" s="1"/>
  <c r="AP204" i="1"/>
  <c r="AP212" i="1"/>
  <c r="AR212" i="1" s="1"/>
  <c r="AV212" i="1" s="1"/>
  <c r="AP233" i="1"/>
  <c r="AR233" i="1" s="1"/>
  <c r="AV233" i="1" s="1"/>
  <c r="AP237" i="1"/>
  <c r="AP239" i="1"/>
  <c r="AR239" i="1" s="1"/>
  <c r="AP244" i="1"/>
  <c r="AR244" i="1" s="1"/>
  <c r="AV244" i="1" s="1"/>
  <c r="AP273" i="1"/>
  <c r="AP284" i="1"/>
  <c r="AR284" i="1" s="1"/>
  <c r="AP286" i="1"/>
  <c r="AR286" i="1" s="1"/>
  <c r="AR358" i="1"/>
  <c r="AP411" i="1"/>
  <c r="AR411" i="1" s="1"/>
  <c r="AP413" i="1"/>
  <c r="AR413" i="1" s="1"/>
  <c r="AP415" i="1"/>
  <c r="AR415" i="1" s="1"/>
  <c r="AR496" i="1"/>
  <c r="AP544" i="1"/>
  <c r="AR544" i="1" s="1"/>
  <c r="AV544" i="1" s="1"/>
  <c r="AP546" i="1"/>
  <c r="AP550" i="1"/>
  <c r="AR550" i="1" s="1"/>
  <c r="AV550" i="1" s="1"/>
  <c r="AP645" i="1"/>
  <c r="AR645" i="1" s="1"/>
  <c r="AV645" i="1" s="1"/>
  <c r="AP647" i="1"/>
  <c r="AR647" i="1" s="1"/>
  <c r="AU647" i="1" s="1"/>
  <c r="AP729" i="1"/>
  <c r="AR729" i="1" s="1"/>
  <c r="AV729" i="1" s="1"/>
  <c r="AP765" i="1"/>
  <c r="AP767" i="1"/>
  <c r="AR767" i="1" s="1"/>
  <c r="AU767" i="1" s="1"/>
  <c r="AR862" i="1"/>
  <c r="AP868" i="1"/>
  <c r="AR868" i="1" s="1"/>
  <c r="AV868" i="1" s="1"/>
  <c r="AP870" i="1"/>
  <c r="AR870" i="1" s="1"/>
  <c r="AP878" i="1"/>
  <c r="AR878" i="1" s="1"/>
  <c r="AV878" i="1" s="1"/>
  <c r="AP899" i="1"/>
  <c r="AR899" i="1" s="1"/>
  <c r="AP904" i="1"/>
  <c r="AP215" i="1"/>
  <c r="D50" i="4"/>
  <c r="AP2" i="1"/>
  <c r="AR2" i="1" s="1"/>
  <c r="AP4" i="1"/>
  <c r="AR4" i="1" s="1"/>
  <c r="AP6" i="1"/>
  <c r="AR6" i="1" s="1"/>
  <c r="AP8" i="1"/>
  <c r="AR8" i="1" s="1"/>
  <c r="AV8" i="1" s="1"/>
  <c r="AP10" i="1"/>
  <c r="AR10" i="1" s="1"/>
  <c r="AP14" i="1"/>
  <c r="AR14" i="1" s="1"/>
  <c r="AP16" i="1"/>
  <c r="AR16" i="1" s="1"/>
  <c r="AP18" i="1"/>
  <c r="AR18" i="1" s="1"/>
  <c r="AP20" i="1"/>
  <c r="AR20" i="1" s="1"/>
  <c r="AP22" i="1"/>
  <c r="AR22" i="1" s="1"/>
  <c r="AV22" i="1" s="1"/>
  <c r="AP70" i="1"/>
  <c r="AR70" i="1" s="1"/>
  <c r="AV70" i="1" s="1"/>
  <c r="AP72" i="1"/>
  <c r="AR72" i="1" s="1"/>
  <c r="AP77" i="1"/>
  <c r="AP79" i="1"/>
  <c r="AR79" i="1" s="1"/>
  <c r="AP81" i="1"/>
  <c r="AP134" i="1"/>
  <c r="AR134" i="1" s="1"/>
  <c r="AP136" i="1"/>
  <c r="AR136" i="1" s="1"/>
  <c r="AV136" i="1" s="1"/>
  <c r="AP141" i="1"/>
  <c r="AP163" i="1"/>
  <c r="AP205" i="1"/>
  <c r="AR205" i="1" s="1"/>
  <c r="AU205" i="1" s="1"/>
  <c r="AP226" i="1"/>
  <c r="AR226" i="1" s="1"/>
  <c r="AP228" i="1"/>
  <c r="AR228" i="1" s="1"/>
  <c r="AP230" i="1"/>
  <c r="AR230" i="1" s="1"/>
  <c r="AP248" i="1"/>
  <c r="AR248" i="1" s="1"/>
  <c r="AP250" i="1"/>
  <c r="AR250" i="1" s="1"/>
  <c r="AP254" i="1"/>
  <c r="AR254" i="1" s="1"/>
  <c r="AP256" i="1"/>
  <c r="AP258" i="1"/>
  <c r="AR258" i="1" s="1"/>
  <c r="AP262" i="1"/>
  <c r="AR262" i="1" s="1"/>
  <c r="AP270" i="1"/>
  <c r="AR270" i="1" s="1"/>
  <c r="AP307" i="1"/>
  <c r="AP309" i="1"/>
  <c r="AR309" i="1" s="1"/>
  <c r="AP314" i="1"/>
  <c r="AR314" i="1" s="1"/>
  <c r="AP316" i="1"/>
  <c r="AR316" i="1" s="1"/>
  <c r="AR322" i="1"/>
  <c r="AP459" i="1"/>
  <c r="AR459" i="1" s="1"/>
  <c r="AU459" i="1" s="1"/>
  <c r="AP461" i="1"/>
  <c r="AR461" i="1" s="1"/>
  <c r="AP463" i="1"/>
  <c r="AR463" i="1" s="1"/>
  <c r="AP467" i="1"/>
  <c r="AR467" i="1" s="1"/>
  <c r="AR469" i="1"/>
  <c r="AR667" i="1"/>
  <c r="AP706" i="1"/>
  <c r="AP714" i="1"/>
  <c r="AR714" i="1" s="1"/>
  <c r="AV714" i="1" s="1"/>
  <c r="AP716" i="1"/>
  <c r="AR716" i="1" s="1"/>
  <c r="AV716" i="1" s="1"/>
  <c r="AP718" i="1"/>
  <c r="AP880" i="1"/>
  <c r="AR980" i="1"/>
  <c r="AP990" i="1"/>
  <c r="AR324" i="1"/>
  <c r="AP326" i="1"/>
  <c r="AR326" i="1" s="1"/>
  <c r="AP328" i="1"/>
  <c r="AR328" i="1" s="1"/>
  <c r="AV328" i="1" s="1"/>
  <c r="AP330" i="1"/>
  <c r="AR330" i="1" s="1"/>
  <c r="AP345" i="1"/>
  <c r="AP353" i="1"/>
  <c r="AP360" i="1"/>
  <c r="AR360" i="1" s="1"/>
  <c r="AP371" i="1"/>
  <c r="AR371" i="1" s="1"/>
  <c r="AP375" i="1"/>
  <c r="AP386" i="1"/>
  <c r="AR386" i="1" s="1"/>
  <c r="AP393" i="1"/>
  <c r="AR393" i="1" s="1"/>
  <c r="AV393" i="1" s="1"/>
  <c r="AP397" i="1"/>
  <c r="AR397" i="1" s="1"/>
  <c r="AP419" i="1"/>
  <c r="AR419" i="1" s="1"/>
  <c r="AP421" i="1"/>
  <c r="AR421" i="1" s="1"/>
  <c r="AP423" i="1"/>
  <c r="AR423" i="1" s="1"/>
  <c r="AP436" i="1"/>
  <c r="AR436" i="1" s="1"/>
  <c r="AV436" i="1" s="1"/>
  <c r="AP502" i="1"/>
  <c r="AP509" i="1"/>
  <c r="AR509" i="1" s="1"/>
  <c r="AP518" i="1"/>
  <c r="AP533" i="1"/>
  <c r="AR533" i="1" s="1"/>
  <c r="AP535" i="1"/>
  <c r="AR535" i="1" s="1"/>
  <c r="AP537" i="1"/>
  <c r="AP566" i="1"/>
  <c r="AR566" i="1" s="1"/>
  <c r="AV566" i="1" s="1"/>
  <c r="AP598" i="1"/>
  <c r="AP648" i="1"/>
  <c r="AR648" i="1" s="1"/>
  <c r="AR671" i="1"/>
  <c r="AR693" i="1"/>
  <c r="AV693" i="1" s="1"/>
  <c r="AR699" i="1"/>
  <c r="AR711" i="1"/>
  <c r="AR721" i="1"/>
  <c r="AR760" i="1"/>
  <c r="AV760" i="1" s="1"/>
  <c r="AR787" i="1"/>
  <c r="AR802" i="1"/>
  <c r="AP815" i="1"/>
  <c r="AR815" i="1" s="1"/>
  <c r="AP879" i="1"/>
  <c r="AR879" i="1" s="1"/>
  <c r="AR903" i="1"/>
  <c r="AU903" i="1" s="1"/>
  <c r="AP908" i="1"/>
  <c r="AR908" i="1" s="1"/>
  <c r="AR934" i="1"/>
  <c r="AP947" i="1"/>
  <c r="AP970" i="1"/>
  <c r="AR984" i="1"/>
  <c r="AP995" i="1"/>
  <c r="AR395" i="1"/>
  <c r="AP442" i="1"/>
  <c r="AP453" i="1"/>
  <c r="AR453" i="1" s="1"/>
  <c r="AP455" i="1"/>
  <c r="AR455" i="1" s="1"/>
  <c r="AV455" i="1" s="1"/>
  <c r="AP468" i="1"/>
  <c r="AP487" i="1"/>
  <c r="AR487" i="1" s="1"/>
  <c r="AP491" i="1"/>
  <c r="AR491" i="1" s="1"/>
  <c r="AP493" i="1"/>
  <c r="AR493" i="1" s="1"/>
  <c r="AV493" i="1" s="1"/>
  <c r="AP495" i="1"/>
  <c r="AP506" i="1"/>
  <c r="AR506" i="1" s="1"/>
  <c r="AP530" i="1"/>
  <c r="AP553" i="1"/>
  <c r="AR553" i="1" s="1"/>
  <c r="AV553" i="1" s="1"/>
  <c r="AP557" i="1"/>
  <c r="AP559" i="1"/>
  <c r="AP561" i="1"/>
  <c r="AP563" i="1"/>
  <c r="AR563" i="1" s="1"/>
  <c r="AP568" i="1"/>
  <c r="AP570" i="1"/>
  <c r="AP572" i="1"/>
  <c r="AP591" i="1"/>
  <c r="AR591" i="1" s="1"/>
  <c r="AP593" i="1"/>
  <c r="AR593" i="1" s="1"/>
  <c r="AP604" i="1"/>
  <c r="AR604" i="1" s="1"/>
  <c r="AV604" i="1" s="1"/>
  <c r="AP611" i="1"/>
  <c r="AR611" i="1" s="1"/>
  <c r="AP613" i="1"/>
  <c r="AR613" i="1" s="1"/>
  <c r="AV613" i="1" s="1"/>
  <c r="AP617" i="1"/>
  <c r="AR617" i="1" s="1"/>
  <c r="AP632" i="1"/>
  <c r="AR632" i="1" s="1"/>
  <c r="AP664" i="1"/>
  <c r="AR664" i="1" s="1"/>
  <c r="AP666" i="1"/>
  <c r="AR666" i="1" s="1"/>
  <c r="AU666" i="1" s="1"/>
  <c r="AP734" i="1"/>
  <c r="AR734" i="1" s="1"/>
  <c r="AP736" i="1"/>
  <c r="AR736" i="1" s="1"/>
  <c r="AU736" i="1" s="1"/>
  <c r="AP814" i="1"/>
  <c r="AR814" i="1" s="1"/>
  <c r="AV814" i="1" s="1"/>
  <c r="AP895" i="1"/>
  <c r="AP963" i="1"/>
  <c r="AP967" i="1"/>
  <c r="AP969" i="1"/>
  <c r="AR969" i="1" s="1"/>
  <c r="AP973" i="1"/>
  <c r="AP986" i="1"/>
  <c r="AP992" i="1"/>
  <c r="AP994" i="1"/>
  <c r="AR994" i="1" s="1"/>
  <c r="AP29" i="1"/>
  <c r="AP31" i="1"/>
  <c r="AR31" i="1" s="1"/>
  <c r="AP33" i="1"/>
  <c r="AR33" i="1" s="1"/>
  <c r="AP35" i="1"/>
  <c r="AR35" i="1" s="1"/>
  <c r="AP47" i="1"/>
  <c r="AR47" i="1" s="1"/>
  <c r="AV47" i="1" s="1"/>
  <c r="AP67" i="1"/>
  <c r="AR67" i="1" s="1"/>
  <c r="AP74" i="1"/>
  <c r="AP83" i="1"/>
  <c r="AR83" i="1" s="1"/>
  <c r="AP90" i="1"/>
  <c r="AP99" i="1"/>
  <c r="AR99" i="1" s="1"/>
  <c r="AP106" i="1"/>
  <c r="AP115" i="1"/>
  <c r="AR115" i="1" s="1"/>
  <c r="AP122" i="1"/>
  <c r="AP131" i="1"/>
  <c r="AR131" i="1" s="1"/>
  <c r="AU131" i="1" s="1"/>
  <c r="AP138" i="1"/>
  <c r="AP147" i="1"/>
  <c r="AR147" i="1" s="1"/>
  <c r="AV147" i="1" s="1"/>
  <c r="AP156" i="1"/>
  <c r="AR156" i="1" s="1"/>
  <c r="AU156" i="1" s="1"/>
  <c r="AP165" i="1"/>
  <c r="AR165" i="1" s="1"/>
  <c r="AP174" i="1"/>
  <c r="AR174" i="1" s="1"/>
  <c r="AR188" i="1"/>
  <c r="AV188" i="1" s="1"/>
  <c r="AP194" i="1"/>
  <c r="AR194" i="1" s="1"/>
  <c r="AP213" i="1"/>
  <c r="AP221" i="1"/>
  <c r="AR221" i="1" s="1"/>
  <c r="AU221" i="1" s="1"/>
  <c r="AP232" i="1"/>
  <c r="AP234" i="1"/>
  <c r="AR234" i="1" s="1"/>
  <c r="AP236" i="1"/>
  <c r="AR236" i="1" s="1"/>
  <c r="AP238" i="1"/>
  <c r="AR238" i="1" s="1"/>
  <c r="AV238" i="1" s="1"/>
  <c r="AP243" i="1"/>
  <c r="AP290" i="1"/>
  <c r="AR290" i="1" s="1"/>
  <c r="AV290" i="1" s="1"/>
  <c r="AP306" i="1"/>
  <c r="AR306" i="1" s="1"/>
  <c r="AP308" i="1"/>
  <c r="AR308" i="1" s="1"/>
  <c r="AP310" i="1"/>
  <c r="AR310" i="1" s="1"/>
  <c r="AP315" i="1"/>
  <c r="AP334" i="1"/>
  <c r="AR334" i="1" s="1"/>
  <c r="AP370" i="1"/>
  <c r="AR370" i="1" s="1"/>
  <c r="AV370" i="1" s="1"/>
  <c r="AP372" i="1"/>
  <c r="AP465" i="1"/>
  <c r="AR465" i="1" s="1"/>
  <c r="AP478" i="1"/>
  <c r="AR478" i="1" s="1"/>
  <c r="AU478" i="1" s="1"/>
  <c r="AP480" i="1"/>
  <c r="AP484" i="1"/>
  <c r="AR484" i="1" s="1"/>
  <c r="AV484" i="1" s="1"/>
  <c r="AP522" i="1"/>
  <c r="AR522" i="1" s="1"/>
  <c r="AV522" i="1" s="1"/>
  <c r="AR545" i="1"/>
  <c r="AP585" i="1"/>
  <c r="AR585" i="1" s="1"/>
  <c r="AP595" i="1"/>
  <c r="AR595" i="1" s="1"/>
  <c r="AP597" i="1"/>
  <c r="AR597" i="1" s="1"/>
  <c r="AR620" i="1"/>
  <c r="AR622" i="1"/>
  <c r="AP770" i="1"/>
  <c r="AR770" i="1" s="1"/>
  <c r="AP772" i="1"/>
  <c r="AR772" i="1" s="1"/>
  <c r="AP774" i="1"/>
  <c r="AR774" i="1" s="1"/>
  <c r="AP7" i="1"/>
  <c r="AR7" i="1" s="1"/>
  <c r="AP9" i="1"/>
  <c r="AR9" i="1" s="1"/>
  <c r="AP11" i="1"/>
  <c r="AR11" i="1" s="1"/>
  <c r="AP13" i="1"/>
  <c r="AR13" i="1" s="1"/>
  <c r="AP19" i="1"/>
  <c r="AR19" i="1" s="1"/>
  <c r="AU19" i="1" s="1"/>
  <c r="AP21" i="1"/>
  <c r="AR21" i="1" s="1"/>
  <c r="AV21" i="1" s="1"/>
  <c r="AP24" i="1"/>
  <c r="AR24" i="1" s="1"/>
  <c r="AP26" i="1"/>
  <c r="AR26" i="1" s="1"/>
  <c r="AV26" i="1" s="1"/>
  <c r="AP37" i="1"/>
  <c r="AR37" i="1" s="1"/>
  <c r="AP39" i="1"/>
  <c r="AR39" i="1" s="1"/>
  <c r="AP44" i="1"/>
  <c r="AR44" i="1" s="1"/>
  <c r="AV44" i="1" s="1"/>
  <c r="AP53" i="1"/>
  <c r="AP55" i="1"/>
  <c r="AR55" i="1" s="1"/>
  <c r="AU55" i="1" s="1"/>
  <c r="AP62" i="1"/>
  <c r="AP64" i="1"/>
  <c r="AR64" i="1" s="1"/>
  <c r="AV64" i="1" s="1"/>
  <c r="AP69" i="1"/>
  <c r="AP71" i="1"/>
  <c r="AR71" i="1" s="1"/>
  <c r="AP78" i="1"/>
  <c r="AP80" i="1"/>
  <c r="AR80" i="1" s="1"/>
  <c r="AV80" i="1" s="1"/>
  <c r="AP85" i="1"/>
  <c r="AP87" i="1"/>
  <c r="AR87" i="1" s="1"/>
  <c r="AU87" i="1" s="1"/>
  <c r="AP94" i="1"/>
  <c r="AP96" i="1"/>
  <c r="AR96" i="1" s="1"/>
  <c r="AV96" i="1" s="1"/>
  <c r="AP101" i="1"/>
  <c r="AP103" i="1"/>
  <c r="AR103" i="1" s="1"/>
  <c r="AP110" i="1"/>
  <c r="AP112" i="1"/>
  <c r="AR112" i="1" s="1"/>
  <c r="AV112" i="1" s="1"/>
  <c r="AP117" i="1"/>
  <c r="AP119" i="1"/>
  <c r="AR119" i="1" s="1"/>
  <c r="AP126" i="1"/>
  <c r="AP128" i="1"/>
  <c r="AR128" i="1" s="1"/>
  <c r="AV128" i="1" s="1"/>
  <c r="AP133" i="1"/>
  <c r="AP135" i="1"/>
  <c r="AR135" i="1" s="1"/>
  <c r="AP142" i="1"/>
  <c r="AP144" i="1"/>
  <c r="AR144" i="1" s="1"/>
  <c r="AP149" i="1"/>
  <c r="AR149" i="1" s="1"/>
  <c r="AP151" i="1"/>
  <c r="AR151" i="1" s="1"/>
  <c r="AV151" i="1" s="1"/>
  <c r="AP171" i="1"/>
  <c r="AR171" i="1" s="1"/>
  <c r="AR172" i="1"/>
  <c r="AU172" i="1" s="1"/>
  <c r="AP202" i="1"/>
  <c r="AP206" i="1"/>
  <c r="AR206" i="1" s="1"/>
  <c r="AR211" i="1"/>
  <c r="AV211" i="1" s="1"/>
  <c r="AR215" i="1"/>
  <c r="AV215" i="1" s="1"/>
  <c r="AP242" i="1"/>
  <c r="AR251" i="1"/>
  <c r="AP299" i="1"/>
  <c r="AP331" i="1"/>
  <c r="AP338" i="1"/>
  <c r="AR338" i="1" s="1"/>
  <c r="AP340" i="1"/>
  <c r="AR340" i="1" s="1"/>
  <c r="AP342" i="1"/>
  <c r="AR342" i="1" s="1"/>
  <c r="AP344" i="1"/>
  <c r="AR344" i="1" s="1"/>
  <c r="AP346" i="1"/>
  <c r="AR346" i="1" s="1"/>
  <c r="AV346" i="1" s="1"/>
  <c r="AP361" i="1"/>
  <c r="AR361" i="1" s="1"/>
  <c r="AP365" i="1"/>
  <c r="AP369" i="1"/>
  <c r="AP380" i="1"/>
  <c r="AR380" i="1" s="1"/>
  <c r="AP385" i="1"/>
  <c r="AR385" i="1" s="1"/>
  <c r="AP399" i="1"/>
  <c r="AP429" i="1"/>
  <c r="AR511" i="1"/>
  <c r="AP513" i="1"/>
  <c r="AR513" i="1" s="1"/>
  <c r="AP515" i="1"/>
  <c r="AR515" i="1" s="1"/>
  <c r="AP517" i="1"/>
  <c r="AR517" i="1" s="1"/>
  <c r="AP536" i="1"/>
  <c r="AP538" i="1"/>
  <c r="AR538" i="1" s="1"/>
  <c r="AV538" i="1" s="1"/>
  <c r="AP540" i="1"/>
  <c r="AR540" i="1" s="1"/>
  <c r="AR557" i="1"/>
  <c r="AR601" i="1"/>
  <c r="AR627" i="1"/>
  <c r="AP838" i="1"/>
  <c r="AR838" i="1" s="1"/>
  <c r="AP840" i="1"/>
  <c r="AR840" i="1" s="1"/>
  <c r="AV840" i="1" s="1"/>
  <c r="AP884" i="1"/>
  <c r="AR884" i="1" s="1"/>
  <c r="AP937" i="1"/>
  <c r="AR937" i="1" s="1"/>
  <c r="AR959" i="1"/>
  <c r="D54" i="4"/>
  <c r="C28" i="4"/>
  <c r="AP28" i="1"/>
  <c r="AR28" i="1" s="1"/>
  <c r="AP30" i="1"/>
  <c r="AR30" i="1" s="1"/>
  <c r="AV30" i="1" s="1"/>
  <c r="AP32" i="1"/>
  <c r="AR32" i="1" s="1"/>
  <c r="AP34" i="1"/>
  <c r="AP46" i="1"/>
  <c r="AP57" i="1"/>
  <c r="AR57" i="1" s="1"/>
  <c r="AP59" i="1"/>
  <c r="AR59" i="1" s="1"/>
  <c r="AV59" i="1" s="1"/>
  <c r="AU66" i="1"/>
  <c r="AP66" i="1"/>
  <c r="AR66" i="1" s="1"/>
  <c r="AP73" i="1"/>
  <c r="AP75" i="1"/>
  <c r="AR75" i="1" s="1"/>
  <c r="AU82" i="1"/>
  <c r="AP82" i="1"/>
  <c r="AR82" i="1" s="1"/>
  <c r="AP89" i="1"/>
  <c r="AP91" i="1"/>
  <c r="AR91" i="1" s="1"/>
  <c r="AU98" i="1"/>
  <c r="AP98" i="1"/>
  <c r="AR98" i="1" s="1"/>
  <c r="AP105" i="1"/>
  <c r="AP107" i="1"/>
  <c r="AR107" i="1" s="1"/>
  <c r="AU114" i="1"/>
  <c r="AP114" i="1"/>
  <c r="AR114" i="1" s="1"/>
  <c r="AP121" i="1"/>
  <c r="AP123" i="1"/>
  <c r="AR123" i="1" s="1"/>
  <c r="AU130" i="1"/>
  <c r="AP130" i="1"/>
  <c r="AR130" i="1" s="1"/>
  <c r="AP137" i="1"/>
  <c r="AP139" i="1"/>
  <c r="AR139" i="1" s="1"/>
  <c r="AP164" i="1"/>
  <c r="AR164" i="1" s="1"/>
  <c r="AR167" i="1"/>
  <c r="AP173" i="1"/>
  <c r="AP182" i="1"/>
  <c r="AR182" i="1" s="1"/>
  <c r="AR183" i="1"/>
  <c r="AP189" i="1"/>
  <c r="AP197" i="1"/>
  <c r="AR204" i="1"/>
  <c r="AV204" i="1" s="1"/>
  <c r="AP218" i="1"/>
  <c r="AP246" i="1"/>
  <c r="AR246" i="1" s="1"/>
  <c r="AP265" i="1"/>
  <c r="AR265" i="1" s="1"/>
  <c r="AV265" i="1" s="1"/>
  <c r="AP269" i="1"/>
  <c r="AP291" i="1"/>
  <c r="AP293" i="1"/>
  <c r="AP318" i="1"/>
  <c r="AR318" i="1" s="1"/>
  <c r="AP373" i="1"/>
  <c r="AR373" i="1" s="1"/>
  <c r="AP382" i="1"/>
  <c r="AP387" i="1"/>
  <c r="AR387" i="1" s="1"/>
  <c r="AP403" i="1"/>
  <c r="AR403" i="1" s="1"/>
  <c r="AP437" i="1"/>
  <c r="AR437" i="1" s="1"/>
  <c r="AP449" i="1"/>
  <c r="AR449" i="1" s="1"/>
  <c r="AP451" i="1"/>
  <c r="AR451" i="1" s="1"/>
  <c r="AP505" i="1"/>
  <c r="AR505" i="1" s="1"/>
  <c r="AV505" i="1" s="1"/>
  <c r="AP523" i="1"/>
  <c r="AR523" i="1" s="1"/>
  <c r="AP584" i="1"/>
  <c r="AP607" i="1"/>
  <c r="AP672" i="1"/>
  <c r="AR672" i="1" s="1"/>
  <c r="AV672" i="1" s="1"/>
  <c r="AP674" i="1"/>
  <c r="AR674" i="1" s="1"/>
  <c r="AU674" i="1" s="1"/>
  <c r="AP743" i="1"/>
  <c r="AR743" i="1" s="1"/>
  <c r="AP752" i="1"/>
  <c r="AR803" i="1"/>
  <c r="AU803" i="1" s="1"/>
  <c r="AU819" i="1"/>
  <c r="AP894" i="1"/>
  <c r="AR894" i="1" s="1"/>
  <c r="AR904" i="1"/>
  <c r="AP910" i="1"/>
  <c r="AP912" i="1"/>
  <c r="AP917" i="1"/>
  <c r="AR917" i="1" s="1"/>
  <c r="AV917" i="1" s="1"/>
  <c r="AP926" i="1"/>
  <c r="AR926" i="1" s="1"/>
  <c r="AP928" i="1"/>
  <c r="AR928" i="1" s="1"/>
  <c r="AP930" i="1"/>
  <c r="AR930" i="1" s="1"/>
  <c r="AP985" i="1"/>
  <c r="AR985" i="1" s="1"/>
  <c r="AR430" i="1"/>
  <c r="AU430" i="1" s="1"/>
  <c r="AP431" i="1"/>
  <c r="AR431" i="1" s="1"/>
  <c r="AR442" i="1"/>
  <c r="AU442" i="1" s="1"/>
  <c r="AR468" i="1"/>
  <c r="AV468" i="1" s="1"/>
  <c r="AR481" i="1"/>
  <c r="AU481" i="1" s="1"/>
  <c r="AU490" i="1"/>
  <c r="AR490" i="1"/>
  <c r="AP498" i="1"/>
  <c r="AR559" i="1"/>
  <c r="AV559" i="1" s="1"/>
  <c r="AR561" i="1"/>
  <c r="AR570" i="1"/>
  <c r="AV570" i="1" s="1"/>
  <c r="AR572" i="1"/>
  <c r="AV572" i="1" s="1"/>
  <c r="AP577" i="1"/>
  <c r="AR577" i="1" s="1"/>
  <c r="AR588" i="1"/>
  <c r="AV588" i="1" s="1"/>
  <c r="AR598" i="1"/>
  <c r="AV598" i="1" s="1"/>
  <c r="AP609" i="1"/>
  <c r="AR609" i="1" s="1"/>
  <c r="AP625" i="1"/>
  <c r="AR625" i="1" s="1"/>
  <c r="AR691" i="1"/>
  <c r="AP778" i="1"/>
  <c r="AR784" i="1"/>
  <c r="AR786" i="1"/>
  <c r="AP810" i="1"/>
  <c r="AR810" i="1" s="1"/>
  <c r="AV810" i="1" s="1"/>
  <c r="AR861" i="1"/>
  <c r="AP866" i="1"/>
  <c r="AR866" i="1" s="1"/>
  <c r="AR880" i="1"/>
  <c r="AR895" i="1"/>
  <c r="AR957" i="1"/>
  <c r="AV957" i="1" s="1"/>
  <c r="AR962" i="1"/>
  <c r="AR964" i="1"/>
  <c r="AR990" i="1"/>
  <c r="AV990" i="1" s="1"/>
  <c r="AR992" i="1"/>
  <c r="AP143" i="1"/>
  <c r="AR143" i="1" s="1"/>
  <c r="AP150" i="1"/>
  <c r="AR150" i="1" s="1"/>
  <c r="AP155" i="1"/>
  <c r="AR155" i="1" s="1"/>
  <c r="AV155" i="1" s="1"/>
  <c r="AP158" i="1"/>
  <c r="AR158" i="1" s="1"/>
  <c r="AP180" i="1"/>
  <c r="AR180" i="1" s="1"/>
  <c r="AP196" i="1"/>
  <c r="AP198" i="1"/>
  <c r="AR198" i="1" s="1"/>
  <c r="AU198" i="1" s="1"/>
  <c r="AP220" i="1"/>
  <c r="AR220" i="1" s="1"/>
  <c r="AP222" i="1"/>
  <c r="AR222" i="1" s="1"/>
  <c r="AP257" i="1"/>
  <c r="AP264" i="1"/>
  <c r="AR264" i="1" s="1"/>
  <c r="AV264" i="1" s="1"/>
  <c r="AP272" i="1"/>
  <c r="AP274" i="1"/>
  <c r="AR274" i="1" s="1"/>
  <c r="AP278" i="1"/>
  <c r="AR278" i="1" s="1"/>
  <c r="AP283" i="1"/>
  <c r="AR283" i="1" s="1"/>
  <c r="AV283" i="1" s="1"/>
  <c r="AP292" i="1"/>
  <c r="AR292" i="1" s="1"/>
  <c r="AP294" i="1"/>
  <c r="AR294" i="1" s="1"/>
  <c r="AP332" i="1"/>
  <c r="AR332" i="1" s="1"/>
  <c r="AP339" i="1"/>
  <c r="AP341" i="1"/>
  <c r="AP348" i="1"/>
  <c r="AR348" i="1" s="1"/>
  <c r="AP350" i="1"/>
  <c r="AR350" i="1" s="1"/>
  <c r="AU350" i="1" s="1"/>
  <c r="AP400" i="1"/>
  <c r="AR400" i="1" s="1"/>
  <c r="AU400" i="1" s="1"/>
  <c r="AP405" i="1"/>
  <c r="AR405" i="1" s="1"/>
  <c r="AP420" i="1"/>
  <c r="AR420" i="1" s="1"/>
  <c r="AV420" i="1" s="1"/>
  <c r="AP439" i="1"/>
  <c r="AR439" i="1" s="1"/>
  <c r="AP452" i="1"/>
  <c r="AR452" i="1" s="1"/>
  <c r="AV452" i="1" s="1"/>
  <c r="AP472" i="1"/>
  <c r="AR472" i="1" s="1"/>
  <c r="AV472" i="1" s="1"/>
  <c r="AP474" i="1"/>
  <c r="AR474" i="1" s="1"/>
  <c r="AU474" i="1" s="1"/>
  <c r="AP479" i="1"/>
  <c r="AR479" i="1" s="1"/>
  <c r="AP499" i="1"/>
  <c r="AP525" i="1"/>
  <c r="AR525" i="1" s="1"/>
  <c r="AP527" i="1"/>
  <c r="AR527" i="1" s="1"/>
  <c r="AP529" i="1"/>
  <c r="AR529" i="1" s="1"/>
  <c r="AP534" i="1"/>
  <c r="AP543" i="1"/>
  <c r="AP547" i="1"/>
  <c r="AR547" i="1" s="1"/>
  <c r="AU547" i="1" s="1"/>
  <c r="AP549" i="1"/>
  <c r="AR549" i="1" s="1"/>
  <c r="AV549" i="1" s="1"/>
  <c r="AP554" i="1"/>
  <c r="AR554" i="1" s="1"/>
  <c r="AV554" i="1" s="1"/>
  <c r="AP556" i="1"/>
  <c r="AR556" i="1" s="1"/>
  <c r="AV556" i="1" s="1"/>
  <c r="AP576" i="1"/>
  <c r="AR576" i="1" s="1"/>
  <c r="AV576" i="1" s="1"/>
  <c r="AP578" i="1"/>
  <c r="AP582" i="1"/>
  <c r="AR582" i="1" s="1"/>
  <c r="AV582" i="1" s="1"/>
  <c r="AP614" i="1"/>
  <c r="AR614" i="1" s="1"/>
  <c r="AV614" i="1" s="1"/>
  <c r="AP626" i="1"/>
  <c r="AR626" i="1" s="1"/>
  <c r="AV629" i="1"/>
  <c r="AP629" i="1"/>
  <c r="AR629" i="1" s="1"/>
  <c r="AP631" i="1"/>
  <c r="AP650" i="1"/>
  <c r="AR650" i="1" s="1"/>
  <c r="AU650" i="1" s="1"/>
  <c r="AP677" i="1"/>
  <c r="AR677" i="1" s="1"/>
  <c r="AV677" i="1" s="1"/>
  <c r="AP679" i="1"/>
  <c r="AR679" i="1" s="1"/>
  <c r="AU679" i="1" s="1"/>
  <c r="AP688" i="1"/>
  <c r="AR688" i="1" s="1"/>
  <c r="AU688" i="1" s="1"/>
  <c r="AP690" i="1"/>
  <c r="AR690" i="1" s="1"/>
  <c r="AU690" i="1" s="1"/>
  <c r="AR706" i="1"/>
  <c r="AU706" i="1" s="1"/>
  <c r="AP712" i="1"/>
  <c r="AR712" i="1" s="1"/>
  <c r="AR718" i="1"/>
  <c r="AP744" i="1"/>
  <c r="AR744" i="1" s="1"/>
  <c r="AP746" i="1"/>
  <c r="AR746" i="1" s="1"/>
  <c r="AP751" i="1"/>
  <c r="AP766" i="1"/>
  <c r="AR811" i="1"/>
  <c r="AR813" i="1"/>
  <c r="AV813" i="1" s="1"/>
  <c r="AP834" i="1"/>
  <c r="AP847" i="1"/>
  <c r="AR847" i="1" s="1"/>
  <c r="AP849" i="1"/>
  <c r="AR849" i="1" s="1"/>
  <c r="AP858" i="1"/>
  <c r="AR858" i="1" s="1"/>
  <c r="AP860" i="1"/>
  <c r="AR860" i="1" s="1"/>
  <c r="AV860" i="1" s="1"/>
  <c r="AP874" i="1"/>
  <c r="AR874" i="1" s="1"/>
  <c r="AP876" i="1"/>
  <c r="AR876" i="1" s="1"/>
  <c r="AP886" i="1"/>
  <c r="AP888" i="1"/>
  <c r="AP900" i="1"/>
  <c r="AP906" i="1"/>
  <c r="AP918" i="1"/>
  <c r="AR918" i="1" s="1"/>
  <c r="AP920" i="1"/>
  <c r="AR920" i="1" s="1"/>
  <c r="AU920" i="1" s="1"/>
  <c r="AP922" i="1"/>
  <c r="AR922" i="1" s="1"/>
  <c r="AV922" i="1" s="1"/>
  <c r="AP924" i="1"/>
  <c r="AP938" i="1"/>
  <c r="AR938" i="1" s="1"/>
  <c r="AV938" i="1" s="1"/>
  <c r="AP940" i="1"/>
  <c r="AR940" i="1" s="1"/>
  <c r="AP942" i="1"/>
  <c r="AR942" i="1" s="1"/>
  <c r="AP946" i="1"/>
  <c r="AR946" i="1" s="1"/>
  <c r="AV946" i="1" s="1"/>
  <c r="AP948" i="1"/>
  <c r="AR948" i="1" s="1"/>
  <c r="AV948" i="1" s="1"/>
  <c r="AR970" i="1"/>
  <c r="AP976" i="1"/>
  <c r="AR976" i="1" s="1"/>
  <c r="AV976" i="1" s="1"/>
  <c r="AP989" i="1"/>
  <c r="AR989" i="1" s="1"/>
  <c r="AP634" i="1"/>
  <c r="AR634" i="1" s="1"/>
  <c r="AU634" i="1" s="1"/>
  <c r="AP637" i="1"/>
  <c r="AR637" i="1" s="1"/>
  <c r="AV637" i="1" s="1"/>
  <c r="AU639" i="1"/>
  <c r="AP639" i="1"/>
  <c r="AR639" i="1" s="1"/>
  <c r="AP656" i="1"/>
  <c r="AR656" i="1" s="1"/>
  <c r="AP658" i="1"/>
  <c r="AR658" i="1" s="1"/>
  <c r="AU658" i="1" s="1"/>
  <c r="AV661" i="1"/>
  <c r="AP661" i="1"/>
  <c r="AR661" i="1" s="1"/>
  <c r="AP663" i="1"/>
  <c r="AP682" i="1"/>
  <c r="AR682" i="1" s="1"/>
  <c r="AU682" i="1" s="1"/>
  <c r="AP685" i="1"/>
  <c r="AR685" i="1" s="1"/>
  <c r="AV685" i="1" s="1"/>
  <c r="AP687" i="1"/>
  <c r="AP696" i="1"/>
  <c r="AR696" i="1" s="1"/>
  <c r="AP698" i="1"/>
  <c r="AR698" i="1" s="1"/>
  <c r="AU698" i="1" s="1"/>
  <c r="AP701" i="1"/>
  <c r="AR701" i="1" s="1"/>
  <c r="AV701" i="1" s="1"/>
  <c r="AP703" i="1"/>
  <c r="AR703" i="1" s="1"/>
  <c r="AP739" i="1"/>
  <c r="AP779" i="1"/>
  <c r="AR779" i="1" s="1"/>
  <c r="AP791" i="1"/>
  <c r="AP793" i="1"/>
  <c r="AR793" i="1" s="1"/>
  <c r="AV793" i="1" s="1"/>
  <c r="AP798" i="1"/>
  <c r="AR798" i="1" s="1"/>
  <c r="AP823" i="1"/>
  <c r="AR823" i="1" s="1"/>
  <c r="AP825" i="1"/>
  <c r="AR825" i="1" s="1"/>
  <c r="AU825" i="1" s="1"/>
  <c r="AP826" i="1"/>
  <c r="AR826" i="1" s="1"/>
  <c r="AV826" i="1" s="1"/>
  <c r="AP832" i="1"/>
  <c r="AR832" i="1" s="1"/>
  <c r="AP839" i="1"/>
  <c r="AR839" i="1" s="1"/>
  <c r="AP841" i="1"/>
  <c r="AP852" i="1"/>
  <c r="AR852" i="1" s="1"/>
  <c r="AV852" i="1" s="1"/>
  <c r="AP855" i="1"/>
  <c r="AR855" i="1" s="1"/>
  <c r="AP857" i="1"/>
  <c r="AR857" i="1" s="1"/>
  <c r="AV857" i="1" s="1"/>
  <c r="AP864" i="1"/>
  <c r="AR864" i="1" s="1"/>
  <c r="AP887" i="1"/>
  <c r="AR887" i="1" s="1"/>
  <c r="AU887" i="1" s="1"/>
  <c r="AP889" i="1"/>
  <c r="AR889" i="1" s="1"/>
  <c r="AV889" i="1" s="1"/>
  <c r="AP911" i="1"/>
  <c r="AR911" i="1" s="1"/>
  <c r="AP916" i="1"/>
  <c r="AR916" i="1" s="1"/>
  <c r="AP931" i="1"/>
  <c r="AR931" i="1" s="1"/>
  <c r="AP952" i="1"/>
  <c r="AR952" i="1" s="1"/>
  <c r="AP954" i="1"/>
  <c r="AP968" i="1"/>
  <c r="AP979" i="1"/>
  <c r="AP991" i="1"/>
  <c r="AP997" i="1"/>
  <c r="AV38" i="1"/>
  <c r="AU70" i="1"/>
  <c r="AU118" i="1"/>
  <c r="AU250" i="1"/>
  <c r="AU278" i="1"/>
  <c r="C39" i="4"/>
  <c r="D52" i="4"/>
  <c r="C32" i="4"/>
  <c r="AP43" i="1"/>
  <c r="AR43" i="1" s="1"/>
  <c r="AV43" i="1" s="1"/>
  <c r="AR50" i="1"/>
  <c r="AU58" i="1"/>
  <c r="AP58" i="1"/>
  <c r="AR58" i="1" s="1"/>
  <c r="AV58" i="1" s="1"/>
  <c r="AP60" i="1"/>
  <c r="AR60" i="1" s="1"/>
  <c r="AV60" i="1" s="1"/>
  <c r="AR74" i="1"/>
  <c r="AV74" i="1" s="1"/>
  <c r="AP76" i="1"/>
  <c r="AR76" i="1" s="1"/>
  <c r="AV76" i="1" s="1"/>
  <c r="AR90" i="1"/>
  <c r="AV90" i="1" s="1"/>
  <c r="AP92" i="1"/>
  <c r="AR92" i="1" s="1"/>
  <c r="AV92" i="1" s="1"/>
  <c r="AR106" i="1"/>
  <c r="AV106" i="1" s="1"/>
  <c r="AP108" i="1"/>
  <c r="AR108" i="1" s="1"/>
  <c r="AR122" i="1"/>
  <c r="AV122" i="1" s="1"/>
  <c r="AP124" i="1"/>
  <c r="AR124" i="1" s="1"/>
  <c r="AV124" i="1" s="1"/>
  <c r="AR138" i="1"/>
  <c r="AV138" i="1" s="1"/>
  <c r="AP140" i="1"/>
  <c r="AR140" i="1" s="1"/>
  <c r="AP195" i="1"/>
  <c r="AR195" i="1" s="1"/>
  <c r="AP199" i="1"/>
  <c r="AR199" i="1" s="1"/>
  <c r="AP214" i="1"/>
  <c r="AR214" i="1" s="1"/>
  <c r="AR242" i="1"/>
  <c r="AU242" i="1" s="1"/>
  <c r="AP252" i="1"/>
  <c r="AR252" i="1" s="1"/>
  <c r="AU254" i="1"/>
  <c r="AU294" i="1"/>
  <c r="AR302" i="1"/>
  <c r="AU302" i="1" s="1"/>
  <c r="AR399" i="1"/>
  <c r="AU399" i="1" s="1"/>
  <c r="AP3" i="1"/>
  <c r="AR3" i="1" s="1"/>
  <c r="AV33" i="1"/>
  <c r="AU79" i="1"/>
  <c r="AU342" i="1"/>
  <c r="B62" i="4"/>
  <c r="E39" i="4"/>
  <c r="D34" i="5" s="1"/>
  <c r="AU24" i="1"/>
  <c r="C17" i="4"/>
  <c r="AR29" i="1"/>
  <c r="AV29" i="1" s="1"/>
  <c r="AR34" i="1"/>
  <c r="AV34" i="1" s="1"/>
  <c r="AR46" i="1"/>
  <c r="AR53" i="1"/>
  <c r="AR62" i="1"/>
  <c r="AV62" i="1" s="1"/>
  <c r="AU78" i="1"/>
  <c r="AR78" i="1"/>
  <c r="AV78" i="1" s="1"/>
  <c r="AR94" i="1"/>
  <c r="AV94" i="1" s="1"/>
  <c r="AR110" i="1"/>
  <c r="AV110" i="1" s="1"/>
  <c r="AR126" i="1"/>
  <c r="AU142" i="1"/>
  <c r="AR142" i="1"/>
  <c r="AV142" i="1" s="1"/>
  <c r="AR196" i="1"/>
  <c r="AU222" i="1"/>
  <c r="AU310" i="1"/>
  <c r="AU86" i="1"/>
  <c r="AU158" i="1"/>
  <c r="AV540" i="1"/>
  <c r="D51" i="4"/>
  <c r="B66" i="4"/>
  <c r="C38" i="4"/>
  <c r="AP5" i="1"/>
  <c r="AR5" i="1" s="1"/>
  <c r="AP12" i="1"/>
  <c r="AR12" i="1" s="1"/>
  <c r="AP15" i="1"/>
  <c r="AR15" i="1" s="1"/>
  <c r="AP17" i="1"/>
  <c r="AR17" i="1" s="1"/>
  <c r="AV17" i="1" s="1"/>
  <c r="AU22" i="1"/>
  <c r="AU36" i="1"/>
  <c r="AP51" i="1"/>
  <c r="AR51" i="1" s="1"/>
  <c r="AV51" i="1" s="1"/>
  <c r="AV66" i="1"/>
  <c r="AP68" i="1"/>
  <c r="AR68" i="1" s="1"/>
  <c r="AV68" i="1" s="1"/>
  <c r="AV82" i="1"/>
  <c r="AP84" i="1"/>
  <c r="AR84" i="1" s="1"/>
  <c r="AV84" i="1" s="1"/>
  <c r="AV98" i="1"/>
  <c r="AP100" i="1"/>
  <c r="AR100" i="1" s="1"/>
  <c r="AV100" i="1" s="1"/>
  <c r="AV114" i="1"/>
  <c r="AP116" i="1"/>
  <c r="AR116" i="1" s="1"/>
  <c r="AV116" i="1" s="1"/>
  <c r="AV130" i="1"/>
  <c r="AP132" i="1"/>
  <c r="AR132" i="1" s="1"/>
  <c r="AV132" i="1" s="1"/>
  <c r="AP166" i="1"/>
  <c r="AR166" i="1" s="1"/>
  <c r="AU174" i="1"/>
  <c r="AP235" i="1"/>
  <c r="AR235" i="1" s="1"/>
  <c r="AU235" i="1" s="1"/>
  <c r="AP266" i="1"/>
  <c r="AR266" i="1" s="1"/>
  <c r="AP268" i="1"/>
  <c r="AR268" i="1" s="1"/>
  <c r="AU270" i="1"/>
  <c r="AU326" i="1"/>
  <c r="AP41" i="1"/>
  <c r="AR41" i="1" s="1"/>
  <c r="AV41" i="1" s="1"/>
  <c r="AP45" i="1"/>
  <c r="AR45" i="1" s="1"/>
  <c r="AV45" i="1" s="1"/>
  <c r="AP49" i="1"/>
  <c r="AR49" i="1" s="1"/>
  <c r="AV49" i="1" s="1"/>
  <c r="AU57" i="1"/>
  <c r="AP145" i="1"/>
  <c r="AR145" i="1" s="1"/>
  <c r="AP152" i="1"/>
  <c r="AR152" i="1" s="1"/>
  <c r="AU152" i="1" s="1"/>
  <c r="AP161" i="1"/>
  <c r="AR161" i="1" s="1"/>
  <c r="AV161" i="1" s="1"/>
  <c r="AP168" i="1"/>
  <c r="AR168" i="1" s="1"/>
  <c r="AU168" i="1" s="1"/>
  <c r="AP177" i="1"/>
  <c r="AR177" i="1" s="1"/>
  <c r="AP184" i="1"/>
  <c r="AR184" i="1" s="1"/>
  <c r="AU184" i="1" s="1"/>
  <c r="AP193" i="1"/>
  <c r="AR193" i="1" s="1"/>
  <c r="AV193" i="1" s="1"/>
  <c r="AP200" i="1"/>
  <c r="AR200" i="1" s="1"/>
  <c r="AP209" i="1"/>
  <c r="AR209" i="1" s="1"/>
  <c r="AV209" i="1" s="1"/>
  <c r="AP216" i="1"/>
  <c r="AR216" i="1" s="1"/>
  <c r="AP225" i="1"/>
  <c r="AR225" i="1" s="1"/>
  <c r="AV225" i="1" s="1"/>
  <c r="AP227" i="1"/>
  <c r="AR227" i="1" s="1"/>
  <c r="AP229" i="1"/>
  <c r="AR229" i="1" s="1"/>
  <c r="AU229" i="1" s="1"/>
  <c r="AP231" i="1"/>
  <c r="AR231" i="1" s="1"/>
  <c r="AP240" i="1"/>
  <c r="AR240" i="1" s="1"/>
  <c r="AU246" i="1"/>
  <c r="AP259" i="1"/>
  <c r="AR259" i="1" s="1"/>
  <c r="AV259" i="1" s="1"/>
  <c r="AP261" i="1"/>
  <c r="AR261" i="1" s="1"/>
  <c r="AV261" i="1" s="1"/>
  <c r="AP267" i="1"/>
  <c r="AR267" i="1" s="1"/>
  <c r="AV267" i="1" s="1"/>
  <c r="AP275" i="1"/>
  <c r="AR275" i="1" s="1"/>
  <c r="AV275" i="1" s="1"/>
  <c r="AP277" i="1"/>
  <c r="AR277" i="1" s="1"/>
  <c r="AU277" i="1" s="1"/>
  <c r="AP281" i="1"/>
  <c r="AR281" i="1" s="1"/>
  <c r="AV281" i="1" s="1"/>
  <c r="AU286" i="1"/>
  <c r="AP289" i="1"/>
  <c r="AP297" i="1"/>
  <c r="AR297" i="1" s="1"/>
  <c r="AP305" i="1"/>
  <c r="AP313" i="1"/>
  <c r="AR313" i="1" s="1"/>
  <c r="AV313" i="1" s="1"/>
  <c r="AP321" i="1"/>
  <c r="AP329" i="1"/>
  <c r="AR329" i="1" s="1"/>
  <c r="AU334" i="1"/>
  <c r="AP337" i="1"/>
  <c r="AR345" i="1"/>
  <c r="AV345" i="1" s="1"/>
  <c r="AP352" i="1"/>
  <c r="AR352" i="1" s="1"/>
  <c r="AV352" i="1" s="1"/>
  <c r="AP383" i="1"/>
  <c r="AR383" i="1" s="1"/>
  <c r="AU383" i="1" s="1"/>
  <c r="AR389" i="1"/>
  <c r="AR402" i="1"/>
  <c r="AU402" i="1" s="1"/>
  <c r="AP407" i="1"/>
  <c r="AR407" i="1" s="1"/>
  <c r="AV407" i="1" s="1"/>
  <c r="AP424" i="1"/>
  <c r="AR424" i="1" s="1"/>
  <c r="AV424" i="1" s="1"/>
  <c r="AP427" i="1"/>
  <c r="AR427" i="1" s="1"/>
  <c r="AR429" i="1"/>
  <c r="AV429" i="1" s="1"/>
  <c r="AP456" i="1"/>
  <c r="AR456" i="1" s="1"/>
  <c r="AV456" i="1" s="1"/>
  <c r="AR483" i="1"/>
  <c r="AR581" i="1"/>
  <c r="AV581" i="1" s="1"/>
  <c r="AU696" i="1"/>
  <c r="AU813" i="1"/>
  <c r="AV964" i="1"/>
  <c r="AR61" i="1"/>
  <c r="AU61" i="1" s="1"/>
  <c r="AR65" i="1"/>
  <c r="AU65" i="1" s="1"/>
  <c r="AR69" i="1"/>
  <c r="AU69" i="1" s="1"/>
  <c r="AR73" i="1"/>
  <c r="AR77" i="1"/>
  <c r="AU77" i="1" s="1"/>
  <c r="AR81" i="1"/>
  <c r="AU81" i="1" s="1"/>
  <c r="AU84" i="1"/>
  <c r="AR85" i="1"/>
  <c r="AR89" i="1"/>
  <c r="AU89" i="1" s="1"/>
  <c r="AU92" i="1"/>
  <c r="AU96" i="1"/>
  <c r="AR101" i="1"/>
  <c r="AU101" i="1" s="1"/>
  <c r="AU104" i="1"/>
  <c r="AR105" i="1"/>
  <c r="AR109" i="1"/>
  <c r="AU109" i="1" s="1"/>
  <c r="AU112" i="1"/>
  <c r="AR113" i="1"/>
  <c r="AR117" i="1"/>
  <c r="AU117" i="1" s="1"/>
  <c r="AU120" i="1"/>
  <c r="AR121" i="1"/>
  <c r="AU121" i="1" s="1"/>
  <c r="AR125" i="1"/>
  <c r="AU125" i="1" s="1"/>
  <c r="AU128" i="1"/>
  <c r="AR129" i="1"/>
  <c r="AU129" i="1" s="1"/>
  <c r="AR133" i="1"/>
  <c r="AU133" i="1" s="1"/>
  <c r="AU136" i="1"/>
  <c r="AR137" i="1"/>
  <c r="AU137" i="1" s="1"/>
  <c r="AR141" i="1"/>
  <c r="AU141" i="1" s="1"/>
  <c r="AU144" i="1"/>
  <c r="AU150" i="1"/>
  <c r="AR157" i="1"/>
  <c r="AV157" i="1" s="1"/>
  <c r="AR163" i="1"/>
  <c r="AV163" i="1" s="1"/>
  <c r="AR173" i="1"/>
  <c r="AV173" i="1" s="1"/>
  <c r="AU182" i="1"/>
  <c r="AR186" i="1"/>
  <c r="AP187" i="1"/>
  <c r="AR187" i="1" s="1"/>
  <c r="AV187" i="1" s="1"/>
  <c r="AP191" i="1"/>
  <c r="AR191" i="1" s="1"/>
  <c r="AU195" i="1"/>
  <c r="AR202" i="1"/>
  <c r="AP203" i="1"/>
  <c r="AR203" i="1" s="1"/>
  <c r="AU203" i="1" s="1"/>
  <c r="AP207" i="1"/>
  <c r="AR207" i="1" s="1"/>
  <c r="AV207" i="1" s="1"/>
  <c r="AU211" i="1"/>
  <c r="AR218" i="1"/>
  <c r="AP219" i="1"/>
  <c r="AR219" i="1" s="1"/>
  <c r="AP223" i="1"/>
  <c r="AR223" i="1" s="1"/>
  <c r="AR232" i="1"/>
  <c r="AU234" i="1"/>
  <c r="AR243" i="1"/>
  <c r="AV243" i="1" s="1"/>
  <c r="AR247" i="1"/>
  <c r="AV247" i="1" s="1"/>
  <c r="AR249" i="1"/>
  <c r="AV249" i="1" s="1"/>
  <c r="AR256" i="1"/>
  <c r="AR272" i="1"/>
  <c r="AR291" i="1"/>
  <c r="AV291" i="1" s="1"/>
  <c r="AR293" i="1"/>
  <c r="AR299" i="1"/>
  <c r="AV299" i="1" s="1"/>
  <c r="AR307" i="1"/>
  <c r="AV307" i="1" s="1"/>
  <c r="AR315" i="1"/>
  <c r="AV315" i="1" s="1"/>
  <c r="AR323" i="1"/>
  <c r="AV323" i="1" s="1"/>
  <c r="AR325" i="1"/>
  <c r="AV325" i="1" s="1"/>
  <c r="AR331" i="1"/>
  <c r="AV331" i="1" s="1"/>
  <c r="AR339" i="1"/>
  <c r="AV339" i="1" s="1"/>
  <c r="AU341" i="1"/>
  <c r="AR341" i="1"/>
  <c r="AV341" i="1" s="1"/>
  <c r="AP349" i="1"/>
  <c r="AP354" i="1"/>
  <c r="AR354" i="1" s="1"/>
  <c r="AP356" i="1"/>
  <c r="AR356" i="1" s="1"/>
  <c r="AP362" i="1"/>
  <c r="AR362" i="1" s="1"/>
  <c r="AV362" i="1" s="1"/>
  <c r="AP364" i="1"/>
  <c r="AR364" i="1" s="1"/>
  <c r="AP366" i="1"/>
  <c r="AR366" i="1" s="1"/>
  <c r="AU366" i="1" s="1"/>
  <c r="AR375" i="1"/>
  <c r="AU375" i="1" s="1"/>
  <c r="AR382" i="1"/>
  <c r="AP418" i="1"/>
  <c r="AR418" i="1" s="1"/>
  <c r="AU418" i="1" s="1"/>
  <c r="AP440" i="1"/>
  <c r="AR440" i="1" s="1"/>
  <c r="AV440" i="1" s="1"/>
  <c r="AP443" i="1"/>
  <c r="AR443" i="1" s="1"/>
  <c r="AR471" i="1"/>
  <c r="AR521" i="1"/>
  <c r="AR537" i="1"/>
  <c r="AU537" i="1" s="1"/>
  <c r="AR569" i="1"/>
  <c r="AU611" i="1"/>
  <c r="AP794" i="1"/>
  <c r="AR794" i="1" s="1"/>
  <c r="E32" i="4"/>
  <c r="D27" i="5" s="1"/>
  <c r="AP153" i="1"/>
  <c r="AR153" i="1" s="1"/>
  <c r="AV153" i="1" s="1"/>
  <c r="AP160" i="1"/>
  <c r="AR160" i="1" s="1"/>
  <c r="AU160" i="1" s="1"/>
  <c r="AP169" i="1"/>
  <c r="AR169" i="1" s="1"/>
  <c r="AV169" i="1" s="1"/>
  <c r="AP176" i="1"/>
  <c r="AR176" i="1" s="1"/>
  <c r="AU176" i="1" s="1"/>
  <c r="AV185" i="1"/>
  <c r="AP185" i="1"/>
  <c r="AR185" i="1" s="1"/>
  <c r="AP192" i="1"/>
  <c r="AR192" i="1" s="1"/>
  <c r="AP201" i="1"/>
  <c r="AR201" i="1" s="1"/>
  <c r="AV201" i="1" s="1"/>
  <c r="AP208" i="1"/>
  <c r="AR208" i="1" s="1"/>
  <c r="AU208" i="1" s="1"/>
  <c r="AP217" i="1"/>
  <c r="AR217" i="1" s="1"/>
  <c r="AV217" i="1" s="1"/>
  <c r="AP224" i="1"/>
  <c r="AR224" i="1" s="1"/>
  <c r="AU226" i="1"/>
  <c r="AU227" i="1"/>
  <c r="AU230" i="1"/>
  <c r="AP241" i="1"/>
  <c r="AR241" i="1" s="1"/>
  <c r="AV241" i="1" s="1"/>
  <c r="AP245" i="1"/>
  <c r="AR245" i="1" s="1"/>
  <c r="AU245" i="1" s="1"/>
  <c r="AP260" i="1"/>
  <c r="AR260" i="1" s="1"/>
  <c r="AU262" i="1"/>
  <c r="AP276" i="1"/>
  <c r="AR276" i="1" s="1"/>
  <c r="AP285" i="1"/>
  <c r="AR285" i="1" s="1"/>
  <c r="AU285" i="1" s="1"/>
  <c r="AP288" i="1"/>
  <c r="AR288" i="1" s="1"/>
  <c r="AP301" i="1"/>
  <c r="AP304" i="1"/>
  <c r="AR304" i="1" s="1"/>
  <c r="AP317" i="1"/>
  <c r="AR317" i="1" s="1"/>
  <c r="AU317" i="1" s="1"/>
  <c r="AP368" i="1"/>
  <c r="AR368" i="1" s="1"/>
  <c r="AR372" i="1"/>
  <c r="AP374" i="1"/>
  <c r="AR374" i="1" s="1"/>
  <c r="AP376" i="1"/>
  <c r="AR376" i="1" s="1"/>
  <c r="AV376" i="1" s="1"/>
  <c r="AP378" i="1"/>
  <c r="AR378" i="1" s="1"/>
  <c r="AP401" i="1"/>
  <c r="AR401" i="1" s="1"/>
  <c r="AP408" i="1"/>
  <c r="AR408" i="1" s="1"/>
  <c r="AP410" i="1"/>
  <c r="AR410" i="1" s="1"/>
  <c r="AU410" i="1" s="1"/>
  <c r="AP489" i="1"/>
  <c r="AR489" i="1" s="1"/>
  <c r="AV489" i="1" s="1"/>
  <c r="AP503" i="1"/>
  <c r="AR503" i="1" s="1"/>
  <c r="AP555" i="1"/>
  <c r="AR555" i="1" s="1"/>
  <c r="AU555" i="1" s="1"/>
  <c r="AP592" i="1"/>
  <c r="AR592" i="1" s="1"/>
  <c r="AV592" i="1" s="1"/>
  <c r="AU595" i="1"/>
  <c r="AP635" i="1"/>
  <c r="AR635" i="1" s="1"/>
  <c r="AP446" i="1"/>
  <c r="AR446" i="1" s="1"/>
  <c r="AU446" i="1" s="1"/>
  <c r="AU449" i="1"/>
  <c r="AP462" i="1"/>
  <c r="AR462" i="1" s="1"/>
  <c r="AU462" i="1" s="1"/>
  <c r="AU465" i="1"/>
  <c r="AP473" i="1"/>
  <c r="AR473" i="1" s="1"/>
  <c r="AV473" i="1" s="1"/>
  <c r="AP488" i="1"/>
  <c r="AR488" i="1" s="1"/>
  <c r="AV488" i="1" s="1"/>
  <c r="AR498" i="1"/>
  <c r="AP507" i="1"/>
  <c r="AR507" i="1" s="1"/>
  <c r="AP519" i="1"/>
  <c r="AR519" i="1" s="1"/>
  <c r="AV519" i="1" s="1"/>
  <c r="AP539" i="1"/>
  <c r="AR539" i="1" s="1"/>
  <c r="AP571" i="1"/>
  <c r="AR571" i="1" s="1"/>
  <c r="AU571" i="1" s="1"/>
  <c r="AP586" i="1"/>
  <c r="AR586" i="1" s="1"/>
  <c r="AV586" i="1" s="1"/>
  <c r="AP589" i="1"/>
  <c r="AR589" i="1" s="1"/>
  <c r="AP602" i="1"/>
  <c r="AR602" i="1" s="1"/>
  <c r="AV602" i="1" s="1"/>
  <c r="AP605" i="1"/>
  <c r="AR605" i="1" s="1"/>
  <c r="AR607" i="1"/>
  <c r="AU607" i="1" s="1"/>
  <c r="AP618" i="1"/>
  <c r="AR618" i="1" s="1"/>
  <c r="AV618" i="1" s="1"/>
  <c r="AR631" i="1"/>
  <c r="AU631" i="1" s="1"/>
  <c r="AP651" i="1"/>
  <c r="AR651" i="1" s="1"/>
  <c r="AR663" i="1"/>
  <c r="AU663" i="1" s="1"/>
  <c r="AP683" i="1"/>
  <c r="AR683" i="1" s="1"/>
  <c r="AR728" i="1"/>
  <c r="AP730" i="1"/>
  <c r="AR730" i="1" s="1"/>
  <c r="AP732" i="1"/>
  <c r="AR732" i="1" s="1"/>
  <c r="AV732" i="1" s="1"/>
  <c r="AP737" i="1"/>
  <c r="AR737" i="1" s="1"/>
  <c r="AV737" i="1" s="1"/>
  <c r="AU740" i="1"/>
  <c r="AP756" i="1"/>
  <c r="AR756" i="1" s="1"/>
  <c r="AU756" i="1" s="1"/>
  <c r="AP768" i="1"/>
  <c r="AR768" i="1" s="1"/>
  <c r="AV774" i="1"/>
  <c r="AR906" i="1"/>
  <c r="AV906" i="1" s="1"/>
  <c r="AR927" i="1"/>
  <c r="AR954" i="1"/>
  <c r="AP320" i="1"/>
  <c r="AR320" i="1" s="1"/>
  <c r="AP333" i="1"/>
  <c r="AR333" i="1" s="1"/>
  <c r="AU333" i="1" s="1"/>
  <c r="AP336" i="1"/>
  <c r="AR336" i="1" s="1"/>
  <c r="AP347" i="1"/>
  <c r="AR347" i="1" s="1"/>
  <c r="AV347" i="1" s="1"/>
  <c r="AP355" i="1"/>
  <c r="AR355" i="1" s="1"/>
  <c r="AV355" i="1" s="1"/>
  <c r="AV357" i="1"/>
  <c r="AP357" i="1"/>
  <c r="AR357" i="1" s="1"/>
  <c r="AP363" i="1"/>
  <c r="AR363" i="1" s="1"/>
  <c r="AV363" i="1" s="1"/>
  <c r="AP377" i="1"/>
  <c r="AP390" i="1"/>
  <c r="AR390" i="1" s="1"/>
  <c r="AP392" i="1"/>
  <c r="AR392" i="1" s="1"/>
  <c r="AP404" i="1"/>
  <c r="AP409" i="1"/>
  <c r="AR409" i="1" s="1"/>
  <c r="AV409" i="1" s="1"/>
  <c r="AU421" i="1"/>
  <c r="AP425" i="1"/>
  <c r="AR425" i="1" s="1"/>
  <c r="AV425" i="1" s="1"/>
  <c r="AP475" i="1"/>
  <c r="AR475" i="1" s="1"/>
  <c r="AU475" i="1" s="1"/>
  <c r="AP485" i="1"/>
  <c r="AR485" i="1" s="1"/>
  <c r="AU485" i="1" s="1"/>
  <c r="AP494" i="1"/>
  <c r="AR494" i="1" s="1"/>
  <c r="AP497" i="1"/>
  <c r="AR497" i="1" s="1"/>
  <c r="AR499" i="1"/>
  <c r="AP501" i="1"/>
  <c r="AR501" i="1" s="1"/>
  <c r="AP528" i="1"/>
  <c r="AR528" i="1" s="1"/>
  <c r="AV528" i="1" s="1"/>
  <c r="AU533" i="1"/>
  <c r="AP541" i="1"/>
  <c r="AR541" i="1" s="1"/>
  <c r="AU541" i="1" s="1"/>
  <c r="AR543" i="1"/>
  <c r="AP551" i="1"/>
  <c r="AR551" i="1" s="1"/>
  <c r="AU553" i="1"/>
  <c r="AP560" i="1"/>
  <c r="AR560" i="1" s="1"/>
  <c r="AV560" i="1" s="1"/>
  <c r="AP573" i="1"/>
  <c r="AR573" i="1" s="1"/>
  <c r="AP583" i="1"/>
  <c r="AR583" i="1" s="1"/>
  <c r="AV583" i="1" s="1"/>
  <c r="AP599" i="1"/>
  <c r="AR599" i="1" s="1"/>
  <c r="AU601" i="1"/>
  <c r="AP615" i="1"/>
  <c r="AR615" i="1" s="1"/>
  <c r="AV615" i="1" s="1"/>
  <c r="AU617" i="1"/>
  <c r="AP643" i="1"/>
  <c r="AR643" i="1" s="1"/>
  <c r="AR655" i="1"/>
  <c r="AU655" i="1" s="1"/>
  <c r="AP675" i="1"/>
  <c r="AR675" i="1" s="1"/>
  <c r="AR687" i="1"/>
  <c r="AU687" i="1" s="1"/>
  <c r="AP707" i="1"/>
  <c r="AR707" i="1" s="1"/>
  <c r="AP709" i="1"/>
  <c r="AR709" i="1" s="1"/>
  <c r="AV709" i="1" s="1"/>
  <c r="AR910" i="1"/>
  <c r="AU940" i="1"/>
  <c r="AP974" i="1"/>
  <c r="AR974" i="1" s="1"/>
  <c r="AV974" i="1" s="1"/>
  <c r="AR986" i="1"/>
  <c r="AV986" i="1" s="1"/>
  <c r="AV992" i="1"/>
  <c r="AP998" i="1"/>
  <c r="AR998" i="1" s="1"/>
  <c r="AR999" i="1"/>
  <c r="AP379" i="1"/>
  <c r="AR379" i="1" s="1"/>
  <c r="AP381" i="1"/>
  <c r="AR381" i="1" s="1"/>
  <c r="AV381" i="1" s="1"/>
  <c r="AP384" i="1"/>
  <c r="AR384" i="1" s="1"/>
  <c r="AP388" i="1"/>
  <c r="AP391" i="1"/>
  <c r="AR391" i="1" s="1"/>
  <c r="AV391" i="1" s="1"/>
  <c r="AP394" i="1"/>
  <c r="AR394" i="1" s="1"/>
  <c r="AV394" i="1" s="1"/>
  <c r="AP412" i="1"/>
  <c r="AU415" i="1"/>
  <c r="AP416" i="1"/>
  <c r="AR416" i="1" s="1"/>
  <c r="AV416" i="1" s="1"/>
  <c r="AP422" i="1"/>
  <c r="AR422" i="1" s="1"/>
  <c r="AU422" i="1" s="1"/>
  <c r="AP432" i="1"/>
  <c r="AR432" i="1" s="1"/>
  <c r="AV432" i="1" s="1"/>
  <c r="AP438" i="1"/>
  <c r="AR438" i="1" s="1"/>
  <c r="AU438" i="1" s="1"/>
  <c r="AP448" i="1"/>
  <c r="AR448" i="1" s="1"/>
  <c r="AV448" i="1" s="1"/>
  <c r="AP454" i="1"/>
  <c r="AR454" i="1" s="1"/>
  <c r="AU454" i="1" s="1"/>
  <c r="AU463" i="1"/>
  <c r="AP464" i="1"/>
  <c r="AR464" i="1" s="1"/>
  <c r="AV464" i="1" s="1"/>
  <c r="AP470" i="1"/>
  <c r="AR470" i="1" s="1"/>
  <c r="AU470" i="1" s="1"/>
  <c r="AU479" i="1"/>
  <c r="AR480" i="1"/>
  <c r="AV480" i="1" s="1"/>
  <c r="AR486" i="1"/>
  <c r="AU486" i="1" s="1"/>
  <c r="AR495" i="1"/>
  <c r="AV495" i="1" s="1"/>
  <c r="AU529" i="1"/>
  <c r="AR530" i="1"/>
  <c r="AV530" i="1" s="1"/>
  <c r="AR536" i="1"/>
  <c r="AV536" i="1" s="1"/>
  <c r="AU545" i="1"/>
  <c r="AR546" i="1"/>
  <c r="AV546" i="1" s="1"/>
  <c r="AR552" i="1"/>
  <c r="AV552" i="1" s="1"/>
  <c r="AU561" i="1"/>
  <c r="AR562" i="1"/>
  <c r="AV562" i="1" s="1"/>
  <c r="AR568" i="1"/>
  <c r="AV568" i="1" s="1"/>
  <c r="AR578" i="1"/>
  <c r="AV578" i="1" s="1"/>
  <c r="AR584" i="1"/>
  <c r="AV584" i="1" s="1"/>
  <c r="AP594" i="1"/>
  <c r="AR594" i="1" s="1"/>
  <c r="AV594" i="1" s="1"/>
  <c r="AP600" i="1"/>
  <c r="AR600" i="1" s="1"/>
  <c r="AV600" i="1" s="1"/>
  <c r="AP610" i="1"/>
  <c r="AR610" i="1" s="1"/>
  <c r="AV610" i="1" s="1"/>
  <c r="AP616" i="1"/>
  <c r="AR616" i="1" s="1"/>
  <c r="AV616" i="1" s="1"/>
  <c r="AP623" i="1"/>
  <c r="AR623" i="1" s="1"/>
  <c r="AU623" i="1" s="1"/>
  <c r="AP704" i="1"/>
  <c r="AR704" i="1" s="1"/>
  <c r="AU704" i="1" s="1"/>
  <c r="AP747" i="1"/>
  <c r="AR747" i="1" s="1"/>
  <c r="AU747" i="1" s="1"/>
  <c r="AP750" i="1"/>
  <c r="AR750" i="1" s="1"/>
  <c r="AV750" i="1" s="1"/>
  <c r="AR788" i="1"/>
  <c r="AP830" i="1"/>
  <c r="AR830" i="1" s="1"/>
  <c r="AV830" i="1" s="1"/>
  <c r="AV832" i="1"/>
  <c r="AP853" i="1"/>
  <c r="AR853" i="1" s="1"/>
  <c r="AU864" i="1"/>
  <c r="AR886" i="1"/>
  <c r="AU427" i="1"/>
  <c r="AP428" i="1"/>
  <c r="AR428" i="1" s="1"/>
  <c r="AV428" i="1" s="1"/>
  <c r="AP434" i="1"/>
  <c r="AR434" i="1" s="1"/>
  <c r="AU434" i="1" s="1"/>
  <c r="AP441" i="1"/>
  <c r="AR441" i="1" s="1"/>
  <c r="AV441" i="1" s="1"/>
  <c r="AP444" i="1"/>
  <c r="AR444" i="1" s="1"/>
  <c r="AV444" i="1" s="1"/>
  <c r="AP450" i="1"/>
  <c r="AR450" i="1" s="1"/>
  <c r="AU450" i="1" s="1"/>
  <c r="AU453" i="1"/>
  <c r="AP457" i="1"/>
  <c r="AR457" i="1" s="1"/>
  <c r="AV457" i="1" s="1"/>
  <c r="AP460" i="1"/>
  <c r="AR460" i="1" s="1"/>
  <c r="AV460" i="1" s="1"/>
  <c r="AP466" i="1"/>
  <c r="AR466" i="1" s="1"/>
  <c r="AU466" i="1" s="1"/>
  <c r="AP476" i="1"/>
  <c r="AR476" i="1" s="1"/>
  <c r="AV476" i="1" s="1"/>
  <c r="AP482" i="1"/>
  <c r="AR482" i="1" s="1"/>
  <c r="AU482" i="1" s="1"/>
  <c r="AU491" i="1"/>
  <c r="AP492" i="1"/>
  <c r="AR492" i="1" s="1"/>
  <c r="AV492" i="1" s="1"/>
  <c r="AP510" i="1"/>
  <c r="AP514" i="1"/>
  <c r="AR514" i="1" s="1"/>
  <c r="AV514" i="1" s="1"/>
  <c r="AP526" i="1"/>
  <c r="AP532" i="1"/>
  <c r="AR532" i="1" s="1"/>
  <c r="AV532" i="1" s="1"/>
  <c r="AP542" i="1"/>
  <c r="AP548" i="1"/>
  <c r="AR548" i="1" s="1"/>
  <c r="AV548" i="1" s="1"/>
  <c r="AP558" i="1"/>
  <c r="AR558" i="1" s="1"/>
  <c r="AV558" i="1" s="1"/>
  <c r="AP564" i="1"/>
  <c r="AR564" i="1" s="1"/>
  <c r="AV564" i="1" s="1"/>
  <c r="AP574" i="1"/>
  <c r="AR574" i="1" s="1"/>
  <c r="AV574" i="1" s="1"/>
  <c r="AP580" i="1"/>
  <c r="AR580" i="1" s="1"/>
  <c r="AV580" i="1" s="1"/>
  <c r="AP587" i="1"/>
  <c r="AR587" i="1" s="1"/>
  <c r="AU587" i="1" s="1"/>
  <c r="AP590" i="1"/>
  <c r="AR590" i="1" s="1"/>
  <c r="AV590" i="1" s="1"/>
  <c r="AP596" i="1"/>
  <c r="AR596" i="1" s="1"/>
  <c r="AV596" i="1" s="1"/>
  <c r="AP603" i="1"/>
  <c r="AR603" i="1" s="1"/>
  <c r="AP606" i="1"/>
  <c r="AR606" i="1" s="1"/>
  <c r="AV606" i="1" s="1"/>
  <c r="AP612" i="1"/>
  <c r="AR612" i="1" s="1"/>
  <c r="AV612" i="1" s="1"/>
  <c r="AP619" i="1"/>
  <c r="AR619" i="1" s="1"/>
  <c r="AU619" i="1" s="1"/>
  <c r="AU627" i="1"/>
  <c r="AP628" i="1"/>
  <c r="AR628" i="1" s="1"/>
  <c r="AV628" i="1" s="1"/>
  <c r="AP630" i="1"/>
  <c r="AR630" i="1" s="1"/>
  <c r="AU630" i="1" s="1"/>
  <c r="AP633" i="1"/>
  <c r="AR633" i="1" s="1"/>
  <c r="AV633" i="1" s="1"/>
  <c r="AU635" i="1"/>
  <c r="AP636" i="1"/>
  <c r="AR636" i="1" s="1"/>
  <c r="AV636" i="1" s="1"/>
  <c r="AP638" i="1"/>
  <c r="AR638" i="1" s="1"/>
  <c r="AU638" i="1" s="1"/>
  <c r="AP641" i="1"/>
  <c r="AR641" i="1" s="1"/>
  <c r="AV641" i="1" s="1"/>
  <c r="AU643" i="1"/>
  <c r="AP644" i="1"/>
  <c r="AR644" i="1" s="1"/>
  <c r="AV644" i="1" s="1"/>
  <c r="AP646" i="1"/>
  <c r="AR646" i="1" s="1"/>
  <c r="AU646" i="1" s="1"/>
  <c r="AP649" i="1"/>
  <c r="AR649" i="1" s="1"/>
  <c r="AV649" i="1" s="1"/>
  <c r="AP652" i="1"/>
  <c r="AR652" i="1" s="1"/>
  <c r="AV652" i="1" s="1"/>
  <c r="AP654" i="1"/>
  <c r="AR654" i="1" s="1"/>
  <c r="AU654" i="1" s="1"/>
  <c r="AP657" i="1"/>
  <c r="AR657" i="1" s="1"/>
  <c r="AV657" i="1" s="1"/>
  <c r="AU659" i="1"/>
  <c r="AP660" i="1"/>
  <c r="AR660" i="1" s="1"/>
  <c r="AV660" i="1" s="1"/>
  <c r="AP662" i="1"/>
  <c r="AR662" i="1" s="1"/>
  <c r="AU662" i="1" s="1"/>
  <c r="AP665" i="1"/>
  <c r="AR665" i="1" s="1"/>
  <c r="AV665" i="1" s="1"/>
  <c r="AU667" i="1"/>
  <c r="AP668" i="1"/>
  <c r="AR668" i="1" s="1"/>
  <c r="AV668" i="1" s="1"/>
  <c r="AP670" i="1"/>
  <c r="AR670" i="1" s="1"/>
  <c r="AU670" i="1" s="1"/>
  <c r="AP673" i="1"/>
  <c r="AR673" i="1" s="1"/>
  <c r="AV673" i="1" s="1"/>
  <c r="AP676" i="1"/>
  <c r="AR676" i="1" s="1"/>
  <c r="AV676" i="1" s="1"/>
  <c r="AP678" i="1"/>
  <c r="AR678" i="1" s="1"/>
  <c r="AU678" i="1" s="1"/>
  <c r="AP681" i="1"/>
  <c r="AR681" i="1" s="1"/>
  <c r="AV681" i="1" s="1"/>
  <c r="AP684" i="1"/>
  <c r="AR684" i="1" s="1"/>
  <c r="AV684" i="1" s="1"/>
  <c r="AP686" i="1"/>
  <c r="AR686" i="1" s="1"/>
  <c r="AU686" i="1" s="1"/>
  <c r="AP689" i="1"/>
  <c r="AR689" i="1" s="1"/>
  <c r="AV689" i="1" s="1"/>
  <c r="AP692" i="1"/>
  <c r="AR692" i="1" s="1"/>
  <c r="AV692" i="1" s="1"/>
  <c r="AU694" i="1"/>
  <c r="AP694" i="1"/>
  <c r="AR694" i="1" s="1"/>
  <c r="AP697" i="1"/>
  <c r="AR697" i="1" s="1"/>
  <c r="AV697" i="1" s="1"/>
  <c r="AP700" i="1"/>
  <c r="AR700" i="1" s="1"/>
  <c r="AV700" i="1" s="1"/>
  <c r="AP702" i="1"/>
  <c r="AR702" i="1" s="1"/>
  <c r="AU702" i="1" s="1"/>
  <c r="AP705" i="1"/>
  <c r="AR705" i="1" s="1"/>
  <c r="AV705" i="1" s="1"/>
  <c r="AP719" i="1"/>
  <c r="AR719" i="1" s="1"/>
  <c r="AU719" i="1" s="1"/>
  <c r="AV721" i="1"/>
  <c r="AP722" i="1"/>
  <c r="AR722" i="1" s="1"/>
  <c r="AV722" i="1" s="1"/>
  <c r="AR724" i="1"/>
  <c r="AU724" i="1" s="1"/>
  <c r="AR752" i="1"/>
  <c r="AV752" i="1" s="1"/>
  <c r="AR766" i="1"/>
  <c r="AR771" i="1"/>
  <c r="AU771" i="1" s="1"/>
  <c r="AP775" i="1"/>
  <c r="AP777" i="1"/>
  <c r="AR777" i="1" s="1"/>
  <c r="AV777" i="1" s="1"/>
  <c r="AR778" i="1"/>
  <c r="AV778" i="1" s="1"/>
  <c r="AU784" i="1"/>
  <c r="AV784" i="1"/>
  <c r="AP809" i="1"/>
  <c r="AR809" i="1" s="1"/>
  <c r="AV809" i="1" s="1"/>
  <c r="AR867" i="1"/>
  <c r="AU867" i="1" s="1"/>
  <c r="AP892" i="1"/>
  <c r="AR892" i="1" s="1"/>
  <c r="AV892" i="1" s="1"/>
  <c r="AP898" i="1"/>
  <c r="AR898" i="1" s="1"/>
  <c r="AR924" i="1"/>
  <c r="AU924" i="1" s="1"/>
  <c r="AP935" i="1"/>
  <c r="AR935" i="1" s="1"/>
  <c r="AR991" i="1"/>
  <c r="AU991" i="1" s="1"/>
  <c r="AR997" i="1"/>
  <c r="AU997" i="1" s="1"/>
  <c r="AP710" i="1"/>
  <c r="AR710" i="1" s="1"/>
  <c r="AU710" i="1" s="1"/>
  <c r="AP713" i="1"/>
  <c r="AR713" i="1" s="1"/>
  <c r="AU720" i="1"/>
  <c r="AP720" i="1"/>
  <c r="AR720" i="1" s="1"/>
  <c r="AP731" i="1"/>
  <c r="AR731" i="1" s="1"/>
  <c r="AP733" i="1"/>
  <c r="AR733" i="1" s="1"/>
  <c r="AV733" i="1" s="1"/>
  <c r="AP748" i="1"/>
  <c r="AR748" i="1" s="1"/>
  <c r="AV748" i="1" s="1"/>
  <c r="AP755" i="1"/>
  <c r="AR755" i="1" s="1"/>
  <c r="AU755" i="1" s="1"/>
  <c r="AP757" i="1"/>
  <c r="AR757" i="1" s="1"/>
  <c r="AU757" i="1" s="1"/>
  <c r="AP776" i="1"/>
  <c r="AR776" i="1" s="1"/>
  <c r="AU776" i="1" s="1"/>
  <c r="AP806" i="1"/>
  <c r="AR806" i="1" s="1"/>
  <c r="AP808" i="1"/>
  <c r="AR808" i="1" s="1"/>
  <c r="AP816" i="1"/>
  <c r="AR816" i="1" s="1"/>
  <c r="AP822" i="1"/>
  <c r="AR822" i="1" s="1"/>
  <c r="AV822" i="1" s="1"/>
  <c r="AP824" i="1"/>
  <c r="AR824" i="1" s="1"/>
  <c r="AV824" i="1" s="1"/>
  <c r="AP829" i="1"/>
  <c r="AR829" i="1" s="1"/>
  <c r="AV829" i="1" s="1"/>
  <c r="AP837" i="1"/>
  <c r="AR837" i="1" s="1"/>
  <c r="AV837" i="1" s="1"/>
  <c r="AP844" i="1"/>
  <c r="AR844" i="1" s="1"/>
  <c r="AP850" i="1"/>
  <c r="AR850" i="1" s="1"/>
  <c r="AV850" i="1" s="1"/>
  <c r="AP854" i="1"/>
  <c r="AR854" i="1" s="1"/>
  <c r="AV854" i="1" s="1"/>
  <c r="AR900" i="1"/>
  <c r="AU900" i="1" s="1"/>
  <c r="AR912" i="1"/>
  <c r="AV912" i="1" s="1"/>
  <c r="AR919" i="1"/>
  <c r="AU919" i="1" s="1"/>
  <c r="AR921" i="1"/>
  <c r="AV921" i="1" s="1"/>
  <c r="AP943" i="1"/>
  <c r="AR943" i="1" s="1"/>
  <c r="AU943" i="1" s="1"/>
  <c r="AU948" i="1"/>
  <c r="AU962" i="1"/>
  <c r="AR968" i="1"/>
  <c r="AR973" i="1"/>
  <c r="AR981" i="1"/>
  <c r="AV981" i="1" s="1"/>
  <c r="AP708" i="1"/>
  <c r="AR708" i="1" s="1"/>
  <c r="AV708" i="1" s="1"/>
  <c r="AU712" i="1"/>
  <c r="AP715" i="1"/>
  <c r="AR715" i="1" s="1"/>
  <c r="AP717" i="1"/>
  <c r="AR717" i="1" s="1"/>
  <c r="AV717" i="1" s="1"/>
  <c r="AP723" i="1"/>
  <c r="AR723" i="1" s="1"/>
  <c r="AU723" i="1" s="1"/>
  <c r="AP735" i="1"/>
  <c r="AR735" i="1" s="1"/>
  <c r="AU735" i="1" s="1"/>
  <c r="AR739" i="1"/>
  <c r="AP742" i="1"/>
  <c r="AR742" i="1" s="1"/>
  <c r="AV742" i="1" s="1"/>
  <c r="AP745" i="1"/>
  <c r="AR745" i="1" s="1"/>
  <c r="AV745" i="1" s="1"/>
  <c r="AR751" i="1"/>
  <c r="AP754" i="1"/>
  <c r="AR754" i="1" s="1"/>
  <c r="AU754" i="1" s="1"/>
  <c r="AP759" i="1"/>
  <c r="AR759" i="1" s="1"/>
  <c r="AP761" i="1"/>
  <c r="AR761" i="1" s="1"/>
  <c r="AP762" i="1"/>
  <c r="AR762" i="1" s="1"/>
  <c r="AP764" i="1"/>
  <c r="AR764" i="1" s="1"/>
  <c r="AU768" i="1"/>
  <c r="AP773" i="1"/>
  <c r="AR773" i="1" s="1"/>
  <c r="AP780" i="1"/>
  <c r="AR780" i="1" s="1"/>
  <c r="AV780" i="1" s="1"/>
  <c r="AP783" i="1"/>
  <c r="AR783" i="1" s="1"/>
  <c r="AP790" i="1"/>
  <c r="AR790" i="1" s="1"/>
  <c r="AV790" i="1" s="1"/>
  <c r="AP792" i="1"/>
  <c r="AR792" i="1" s="1"/>
  <c r="AP797" i="1"/>
  <c r="AR797" i="1" s="1"/>
  <c r="AV797" i="1" s="1"/>
  <c r="AP800" i="1"/>
  <c r="AR800" i="1" s="1"/>
  <c r="AU802" i="1"/>
  <c r="AP805" i="1"/>
  <c r="AP812" i="1"/>
  <c r="AP818" i="1"/>
  <c r="AR818" i="1" s="1"/>
  <c r="AV818" i="1" s="1"/>
  <c r="AP821" i="1"/>
  <c r="AR821" i="1" s="1"/>
  <c r="AV821" i="1" s="1"/>
  <c r="AP828" i="1"/>
  <c r="AR828" i="1" s="1"/>
  <c r="AV828" i="1" s="1"/>
  <c r="AR834" i="1"/>
  <c r="AV834" i="1" s="1"/>
  <c r="AR841" i="1"/>
  <c r="AU841" i="1" s="1"/>
  <c r="AP842" i="1"/>
  <c r="AR842" i="1" s="1"/>
  <c r="AV842" i="1" s="1"/>
  <c r="AR846" i="1"/>
  <c r="AP848" i="1"/>
  <c r="AR848" i="1" s="1"/>
  <c r="AP856" i="1"/>
  <c r="AR856" i="1" s="1"/>
  <c r="AV856" i="1" s="1"/>
  <c r="AP859" i="1"/>
  <c r="AR859" i="1" s="1"/>
  <c r="AP869" i="1"/>
  <c r="AR869" i="1" s="1"/>
  <c r="AV869" i="1" s="1"/>
  <c r="AP871" i="1"/>
  <c r="AR871" i="1" s="1"/>
  <c r="AP877" i="1"/>
  <c r="AR888" i="1"/>
  <c r="AU888" i="1" s="1"/>
  <c r="AP890" i="1"/>
  <c r="AR890" i="1" s="1"/>
  <c r="AP914" i="1"/>
  <c r="AR914" i="1" s="1"/>
  <c r="AU914" i="1" s="1"/>
  <c r="AP944" i="1"/>
  <c r="AR944" i="1" s="1"/>
  <c r="AV944" i="1" s="1"/>
  <c r="AP956" i="1"/>
  <c r="AU958" i="1"/>
  <c r="AP965" i="1"/>
  <c r="AR965" i="1" s="1"/>
  <c r="AU965" i="1" s="1"/>
  <c r="AP972" i="1"/>
  <c r="AR972" i="1" s="1"/>
  <c r="AV972" i="1" s="1"/>
  <c r="AP978" i="1"/>
  <c r="AR978" i="1" s="1"/>
  <c r="AV978" i="1" s="1"/>
  <c r="AR983" i="1"/>
  <c r="AP795" i="1"/>
  <c r="AR795" i="1" s="1"/>
  <c r="AP799" i="1"/>
  <c r="AR799" i="1" s="1"/>
  <c r="AP801" i="1"/>
  <c r="AR801" i="1" s="1"/>
  <c r="AV801" i="1" s="1"/>
  <c r="AP804" i="1"/>
  <c r="AR804" i="1" s="1"/>
  <c r="AV804" i="1" s="1"/>
  <c r="AP807" i="1"/>
  <c r="AR807" i="1" s="1"/>
  <c r="AV820" i="1"/>
  <c r="AP820" i="1"/>
  <c r="AR820" i="1" s="1"/>
  <c r="AP827" i="1"/>
  <c r="AR827" i="1" s="1"/>
  <c r="AP831" i="1"/>
  <c r="AR831" i="1" s="1"/>
  <c r="AU831" i="1" s="1"/>
  <c r="AP833" i="1"/>
  <c r="AR833" i="1" s="1"/>
  <c r="AV833" i="1" s="1"/>
  <c r="AP836" i="1"/>
  <c r="AR836" i="1" s="1"/>
  <c r="AV836" i="1" s="1"/>
  <c r="AP843" i="1"/>
  <c r="AR843" i="1" s="1"/>
  <c r="AV845" i="1"/>
  <c r="AP845" i="1"/>
  <c r="AR845" i="1" s="1"/>
  <c r="AU845" i="1" s="1"/>
  <c r="AP851" i="1"/>
  <c r="AR851" i="1" s="1"/>
  <c r="AV853" i="1"/>
  <c r="AP863" i="1"/>
  <c r="AR863" i="1" s="1"/>
  <c r="AP872" i="1"/>
  <c r="AR872" i="1" s="1"/>
  <c r="AV872" i="1" s="1"/>
  <c r="AP875" i="1"/>
  <c r="AR875" i="1" s="1"/>
  <c r="AP885" i="1"/>
  <c r="AR885" i="1" s="1"/>
  <c r="AV885" i="1" s="1"/>
  <c r="AP896" i="1"/>
  <c r="AR896" i="1" s="1"/>
  <c r="AP901" i="1"/>
  <c r="AR901" i="1" s="1"/>
  <c r="AU901" i="1" s="1"/>
  <c r="AP905" i="1"/>
  <c r="AR905" i="1" s="1"/>
  <c r="AP909" i="1"/>
  <c r="AR909" i="1" s="1"/>
  <c r="AU926" i="1"/>
  <c r="AP933" i="1"/>
  <c r="AR933" i="1" s="1"/>
  <c r="AP951" i="1"/>
  <c r="AP953" i="1"/>
  <c r="AR953" i="1" s="1"/>
  <c r="AP975" i="1"/>
  <c r="AR975" i="1" s="1"/>
  <c r="AU975" i="1" s="1"/>
  <c r="AP988" i="1"/>
  <c r="AP1001" i="1"/>
  <c r="AR1001" i="1" s="1"/>
  <c r="AV1001" i="1" s="1"/>
  <c r="B92" i="4"/>
  <c r="B90" i="4"/>
  <c r="AV378" i="1"/>
  <c r="AU386" i="1"/>
  <c r="AV387" i="1"/>
  <c r="AV415" i="1"/>
  <c r="AV433" i="1"/>
  <c r="AV449" i="1"/>
  <c r="AV463" i="1"/>
  <c r="AV465" i="1"/>
  <c r="AV479" i="1"/>
  <c r="AV481" i="1"/>
  <c r="AV509" i="1"/>
  <c r="AV525" i="1"/>
  <c r="AV529" i="1"/>
  <c r="AV545" i="1"/>
  <c r="AV547" i="1"/>
  <c r="AV561" i="1"/>
  <c r="AV577" i="1"/>
  <c r="AV579" i="1"/>
  <c r="AV593" i="1"/>
  <c r="AV595" i="1"/>
  <c r="AV609" i="1"/>
  <c r="AV611" i="1"/>
  <c r="AU622" i="1"/>
  <c r="AV632" i="1"/>
  <c r="AV640" i="1"/>
  <c r="AV648" i="1"/>
  <c r="AV656" i="1"/>
  <c r="AV664" i="1"/>
  <c r="AV688" i="1"/>
  <c r="AV696" i="1"/>
  <c r="AV730" i="1"/>
  <c r="AU879" i="1"/>
  <c r="AV916" i="1"/>
  <c r="AV918" i="1"/>
  <c r="AU927" i="1"/>
  <c r="AV342" i="1"/>
  <c r="AU217" i="1"/>
  <c r="AV712" i="1"/>
  <c r="AV334" i="1"/>
  <c r="AV210" i="1"/>
  <c r="AV239" i="1"/>
  <c r="AV198" i="1"/>
  <c r="AV203" i="1"/>
  <c r="AV314" i="1"/>
  <c r="AV322" i="1"/>
  <c r="AV374" i="1"/>
  <c r="AV399" i="1"/>
  <c r="AV401" i="1"/>
  <c r="AV439" i="1"/>
  <c r="AV471" i="1"/>
  <c r="AV487" i="1"/>
  <c r="AV501" i="1"/>
  <c r="AV517" i="1"/>
  <c r="AV537" i="1"/>
  <c r="AV539" i="1"/>
  <c r="AV555" i="1"/>
  <c r="AV571" i="1"/>
  <c r="AV601" i="1"/>
  <c r="AV617" i="1"/>
  <c r="AV718" i="1"/>
  <c r="AV724" i="1"/>
  <c r="AV746" i="1"/>
  <c r="AV768" i="1"/>
  <c r="AV802" i="1"/>
  <c r="AV858" i="1"/>
  <c r="AV862" i="1"/>
  <c r="AU876" i="1"/>
  <c r="AV880" i="1"/>
  <c r="AV884" i="1"/>
  <c r="AV886" i="1"/>
  <c r="AV908" i="1"/>
  <c r="AV926" i="1"/>
  <c r="AV310" i="1"/>
  <c r="AU405" i="1"/>
  <c r="AV405" i="1"/>
  <c r="AV158" i="1"/>
  <c r="AU165" i="1"/>
  <c r="AV174" i="1"/>
  <c r="AU181" i="1"/>
  <c r="AV202" i="1"/>
  <c r="AU209" i="1"/>
  <c r="AV222" i="1"/>
  <c r="AV226" i="1"/>
  <c r="AV230" i="1"/>
  <c r="AV234" i="1"/>
  <c r="AV242" i="1"/>
  <c r="AV246" i="1"/>
  <c r="AV250" i="1"/>
  <c r="AV254" i="1"/>
  <c r="AV262" i="1"/>
  <c r="AV274" i="1"/>
  <c r="AV326" i="1"/>
  <c r="AV330" i="1"/>
  <c r="AV338" i="1"/>
  <c r="AU357" i="1"/>
  <c r="AU397" i="1"/>
  <c r="AV397" i="1"/>
  <c r="AU930" i="1"/>
  <c r="AV930" i="1"/>
  <c r="AV302" i="1"/>
  <c r="AV366" i="1"/>
  <c r="E38" i="4"/>
  <c r="D33" i="5" s="1"/>
  <c r="AV50" i="1"/>
  <c r="E31" i="4"/>
  <c r="D26" i="5" s="1"/>
  <c r="AV195" i="1"/>
  <c r="AV199" i="1"/>
  <c r="AV270" i="1"/>
  <c r="AV278" i="1"/>
  <c r="AU770" i="1"/>
  <c r="AV770" i="1"/>
  <c r="AV794" i="1"/>
  <c r="AU837" i="1"/>
  <c r="AV962" i="1"/>
  <c r="C54" i="4"/>
  <c r="H18" i="8" s="1"/>
  <c r="AV10" i="1"/>
  <c r="AV31" i="1"/>
  <c r="AV39" i="1"/>
  <c r="C52" i="4"/>
  <c r="H16" i="8" s="1"/>
  <c r="E30" i="4"/>
  <c r="D25" i="5" s="1"/>
  <c r="AV36" i="1"/>
  <c r="AV194" i="1"/>
  <c r="AU201" i="1"/>
  <c r="E25" i="4"/>
  <c r="D20" i="5" s="1"/>
  <c r="E34" i="4"/>
  <c r="D29" i="5" s="1"/>
  <c r="E36" i="4"/>
  <c r="D31" i="5" s="1"/>
  <c r="E28" i="4"/>
  <c r="D23" i="5" s="1"/>
  <c r="AV24" i="1"/>
  <c r="AV57" i="1"/>
  <c r="AV61" i="1"/>
  <c r="AV65" i="1"/>
  <c r="AV69" i="1"/>
  <c r="AV77" i="1"/>
  <c r="AV81" i="1"/>
  <c r="AV89" i="1"/>
  <c r="AV93" i="1"/>
  <c r="AV101" i="1"/>
  <c r="AV109" i="1"/>
  <c r="AV117" i="1"/>
  <c r="AV121" i="1"/>
  <c r="AV129" i="1"/>
  <c r="AV133" i="1"/>
  <c r="AV137" i="1"/>
  <c r="AV141" i="1"/>
  <c r="AU148" i="1"/>
  <c r="AV150" i="1"/>
  <c r="AU157" i="1"/>
  <c r="AU164" i="1"/>
  <c r="AU173" i="1"/>
  <c r="AU180" i="1"/>
  <c r="AV182" i="1"/>
  <c r="AV186" i="1"/>
  <c r="AU193" i="1"/>
  <c r="AV218" i="1"/>
  <c r="AV223" i="1"/>
  <c r="AU225" i="1"/>
  <c r="AV227" i="1"/>
  <c r="AV231" i="1"/>
  <c r="AU233" i="1"/>
  <c r="AV235" i="1"/>
  <c r="AU241" i="1"/>
  <c r="AU249" i="1"/>
  <c r="AU261" i="1"/>
  <c r="AV286" i="1"/>
  <c r="AV294" i="1"/>
  <c r="AV298" i="1"/>
  <c r="AV306" i="1"/>
  <c r="AU325" i="1"/>
  <c r="AV350" i="1"/>
  <c r="AV383" i="1"/>
  <c r="AV389" i="1"/>
  <c r="AU413" i="1"/>
  <c r="AV413" i="1"/>
  <c r="AU783" i="1"/>
  <c r="AU786" i="1"/>
  <c r="AV786" i="1"/>
  <c r="AV874" i="1"/>
  <c r="AU895" i="1"/>
  <c r="AU899" i="1"/>
  <c r="AU904" i="1"/>
  <c r="AV914" i="1"/>
  <c r="AV427" i="1"/>
  <c r="AV445" i="1"/>
  <c r="AV459" i="1"/>
  <c r="AV461" i="1"/>
  <c r="AV475" i="1"/>
  <c r="AV491" i="1"/>
  <c r="AV497" i="1"/>
  <c r="AV503" i="1"/>
  <c r="AV513" i="1"/>
  <c r="AV515" i="1"/>
  <c r="AV527" i="1"/>
  <c r="AV541" i="1"/>
  <c r="AV543" i="1"/>
  <c r="AV557" i="1"/>
  <c r="AV573" i="1"/>
  <c r="AV589" i="1"/>
  <c r="AV605" i="1"/>
  <c r="AV607" i="1"/>
  <c r="AV631" i="1"/>
  <c r="AV639" i="1"/>
  <c r="AV647" i="1"/>
  <c r="AV655" i="1"/>
  <c r="AV663" i="1"/>
  <c r="AV679" i="1"/>
  <c r="AV687" i="1"/>
  <c r="AV703" i="1"/>
  <c r="AV711" i="1"/>
  <c r="AU729" i="1"/>
  <c r="AV734" i="1"/>
  <c r="AV738" i="1"/>
  <c r="AV740" i="1"/>
  <c r="AU763" i="1"/>
  <c r="AV782" i="1"/>
  <c r="AU799" i="1"/>
  <c r="AU801" i="1"/>
  <c r="AV806" i="1"/>
  <c r="AU815" i="1"/>
  <c r="AV846" i="1"/>
  <c r="AU855" i="1"/>
  <c r="AU861" i="1"/>
  <c r="AV864" i="1"/>
  <c r="AV866" i="1"/>
  <c r="AV937" i="1"/>
  <c r="AV954" i="1"/>
  <c r="AV958" i="1"/>
  <c r="AV985" i="1"/>
  <c r="AV999" i="1"/>
  <c r="AV375" i="1"/>
  <c r="AV395" i="1"/>
  <c r="AV403" i="1"/>
  <c r="AV411" i="1"/>
  <c r="AV419" i="1"/>
  <c r="AV421" i="1"/>
  <c r="AV435" i="1"/>
  <c r="AV451" i="1"/>
  <c r="AV453" i="1"/>
  <c r="AV467" i="1"/>
  <c r="AV483" i="1"/>
  <c r="AU498" i="1"/>
  <c r="AV507" i="1"/>
  <c r="AV511" i="1"/>
  <c r="AV521" i="1"/>
  <c r="AV523" i="1"/>
  <c r="AV533" i="1"/>
  <c r="AV535" i="1"/>
  <c r="AV551" i="1"/>
  <c r="AV565" i="1"/>
  <c r="AV567" i="1"/>
  <c r="AV597" i="1"/>
  <c r="AV599" i="1"/>
  <c r="AV620" i="1"/>
  <c r="AV627" i="1"/>
  <c r="AV635" i="1"/>
  <c r="AV643" i="1"/>
  <c r="AV659" i="1"/>
  <c r="AV667" i="1"/>
  <c r="AV683" i="1"/>
  <c r="AV691" i="1"/>
  <c r="AV699" i="1"/>
  <c r="AV707" i="1"/>
  <c r="AU743" i="1"/>
  <c r="AU745" i="1"/>
  <c r="AU751" i="1"/>
  <c r="AV761" i="1"/>
  <c r="AV762" i="1"/>
  <c r="AU764" i="1"/>
  <c r="AV766" i="1"/>
  <c r="AU787" i="1"/>
  <c r="AV798" i="1"/>
  <c r="AV800" i="1"/>
  <c r="AV816" i="1"/>
  <c r="AU829" i="1"/>
  <c r="AV838" i="1"/>
  <c r="AU853" i="1"/>
  <c r="AV870" i="1"/>
  <c r="AV890" i="1"/>
  <c r="AV894" i="1"/>
  <c r="AV898" i="1"/>
  <c r="AV900" i="1"/>
  <c r="AU911" i="1"/>
  <c r="AU931" i="1"/>
  <c r="AV932" i="1"/>
  <c r="AV934" i="1"/>
  <c r="AV949" i="1"/>
  <c r="AU959" i="1"/>
  <c r="AV970" i="1"/>
  <c r="AV982" i="1"/>
  <c r="AU984" i="1"/>
  <c r="AU996" i="1"/>
  <c r="AU59" i="1"/>
  <c r="AU95" i="1"/>
  <c r="AU103" i="1"/>
  <c r="AU15" i="1"/>
  <c r="AV20" i="1"/>
  <c r="AU63" i="1"/>
  <c r="AU67" i="1"/>
  <c r="AU71" i="1"/>
  <c r="AV3" i="1"/>
  <c r="AV9" i="1"/>
  <c r="AV23" i="1"/>
  <c r="AV28" i="1"/>
  <c r="AU44" i="1"/>
  <c r="AU52" i="1"/>
  <c r="AU99" i="1"/>
  <c r="AV2" i="1"/>
  <c r="AV27" i="1"/>
  <c r="AU40" i="1"/>
  <c r="AU43" i="1"/>
  <c r="AU47" i="1"/>
  <c r="AU51" i="1"/>
  <c r="AV53" i="1"/>
  <c r="AU60" i="1"/>
  <c r="AU64" i="1"/>
  <c r="AU68" i="1"/>
  <c r="AU76" i="1"/>
  <c r="AU80" i="1"/>
  <c r="AU88" i="1"/>
  <c r="AU119" i="1"/>
  <c r="AU143" i="1"/>
  <c r="AV14" i="1"/>
  <c r="AV6" i="1"/>
  <c r="AU10" i="1"/>
  <c r="AV13" i="1"/>
  <c r="AU31" i="1"/>
  <c r="AU39" i="1"/>
  <c r="AU50" i="1"/>
  <c r="AV149" i="1"/>
  <c r="AV165" i="1"/>
  <c r="AV181" i="1"/>
  <c r="AU5" i="1"/>
  <c r="AU9" i="1"/>
  <c r="B60" i="4"/>
  <c r="C26" i="4"/>
  <c r="F43" i="4"/>
  <c r="E35" i="4"/>
  <c r="D30" i="5" s="1"/>
  <c r="F18" i="4"/>
  <c r="AU4" i="1"/>
  <c r="E75" i="4"/>
  <c r="E73" i="4"/>
  <c r="E71" i="4"/>
  <c r="E76" i="4"/>
  <c r="E74" i="4"/>
  <c r="E72" i="4"/>
  <c r="C50" i="4"/>
  <c r="E27" i="4"/>
  <c r="D22" i="5" s="1"/>
  <c r="F15" i="4"/>
  <c r="F44" i="4"/>
  <c r="B6" i="4"/>
  <c r="J4" i="8" s="1"/>
  <c r="AU2" i="1"/>
  <c r="D53" i="4"/>
  <c r="AU6" i="1"/>
  <c r="AV11" i="1"/>
  <c r="B65" i="4"/>
  <c r="C36" i="4"/>
  <c r="E29" i="4"/>
  <c r="D24" i="5" s="1"/>
  <c r="F16" i="4"/>
  <c r="AU14" i="1"/>
  <c r="AV15" i="1"/>
  <c r="AV19" i="1"/>
  <c r="AU26" i="1"/>
  <c r="AU30" i="1"/>
  <c r="AU34" i="1"/>
  <c r="AU38" i="1"/>
  <c r="E20" i="8"/>
  <c r="C26" i="5"/>
  <c r="AV55" i="1"/>
  <c r="AV63" i="1"/>
  <c r="AV67" i="1"/>
  <c r="AV71" i="1"/>
  <c r="AV79" i="1"/>
  <c r="AV87" i="1"/>
  <c r="AV95" i="1"/>
  <c r="AV99" i="1"/>
  <c r="AV103" i="1"/>
  <c r="AV119" i="1"/>
  <c r="AV131" i="1"/>
  <c r="AV143" i="1"/>
  <c r="AU149" i="1"/>
  <c r="AV159" i="1"/>
  <c r="AV167" i="1"/>
  <c r="AV175" i="1"/>
  <c r="AV183" i="1"/>
  <c r="AR189" i="1"/>
  <c r="AV189" i="1" s="1"/>
  <c r="AV191" i="1"/>
  <c r="AV197" i="1"/>
  <c r="AR197" i="1"/>
  <c r="AU197" i="1" s="1"/>
  <c r="AU199" i="1"/>
  <c r="AU207" i="1"/>
  <c r="AR213" i="1"/>
  <c r="AU213" i="1" s="1"/>
  <c r="AU215" i="1"/>
  <c r="AU223" i="1"/>
  <c r="AU231" i="1"/>
  <c r="AR237" i="1"/>
  <c r="AU237" i="1" s="1"/>
  <c r="AU239" i="1"/>
  <c r="AU247" i="1"/>
  <c r="AR253" i="1"/>
  <c r="AU253" i="1" s="1"/>
  <c r="AP255" i="1"/>
  <c r="AR255" i="1" s="1"/>
  <c r="AV255" i="1" s="1"/>
  <c r="AU265" i="1"/>
  <c r="AR269" i="1"/>
  <c r="AU269" i="1" s="1"/>
  <c r="AP271" i="1"/>
  <c r="AR271" i="1" s="1"/>
  <c r="AV271" i="1" s="1"/>
  <c r="AU274" i="1"/>
  <c r="AV280" i="1"/>
  <c r="AU281" i="1"/>
  <c r="AP287" i="1"/>
  <c r="AR287" i="1" s="1"/>
  <c r="AV287" i="1" s="1"/>
  <c r="AU290" i="1"/>
  <c r="AV296" i="1"/>
  <c r="AR301" i="1"/>
  <c r="AU301" i="1" s="1"/>
  <c r="AP303" i="1"/>
  <c r="AR303" i="1" s="1"/>
  <c r="AV303" i="1" s="1"/>
  <c r="AU306" i="1"/>
  <c r="AV312" i="1"/>
  <c r="AU313" i="1"/>
  <c r="AP319" i="1"/>
  <c r="AR319" i="1" s="1"/>
  <c r="AV319" i="1" s="1"/>
  <c r="AU322" i="1"/>
  <c r="AP335" i="1"/>
  <c r="AR335" i="1" s="1"/>
  <c r="AV335" i="1" s="1"/>
  <c r="AU338" i="1"/>
  <c r="AV344" i="1"/>
  <c r="AU345" i="1"/>
  <c r="AR349" i="1"/>
  <c r="AU349" i="1" s="1"/>
  <c r="AP351" i="1"/>
  <c r="AR351" i="1" s="1"/>
  <c r="AV351" i="1" s="1"/>
  <c r="AV360" i="1"/>
  <c r="AR365" i="1"/>
  <c r="AU365" i="1" s="1"/>
  <c r="AP367" i="1"/>
  <c r="AR367" i="1" s="1"/>
  <c r="AV367" i="1" s="1"/>
  <c r="AU370" i="1"/>
  <c r="AV372" i="1"/>
  <c r="AU378" i="1"/>
  <c r="AV380" i="1"/>
  <c r="AU381" i="1"/>
  <c r="AU13" i="1"/>
  <c r="C23" i="5"/>
  <c r="E17" i="8"/>
  <c r="AU17" i="1"/>
  <c r="E28" i="8"/>
  <c r="C34" i="5"/>
  <c r="AU21" i="1"/>
  <c r="C33" i="4"/>
  <c r="D17" i="4"/>
  <c r="AU29" i="1"/>
  <c r="AU33" i="1"/>
  <c r="AU41" i="1"/>
  <c r="AU45" i="1"/>
  <c r="AU49" i="1"/>
  <c r="AU53" i="1"/>
  <c r="AV148" i="1"/>
  <c r="AV156" i="1"/>
  <c r="AV164" i="1"/>
  <c r="AV172" i="1"/>
  <c r="AV180" i="1"/>
  <c r="AU186" i="1"/>
  <c r="AU189" i="1"/>
  <c r="AU194" i="1"/>
  <c r="AV196" i="1"/>
  <c r="AU202" i="1"/>
  <c r="AU210" i="1"/>
  <c r="AU218" i="1"/>
  <c r="AV220" i="1"/>
  <c r="AV228" i="1"/>
  <c r="AV236" i="1"/>
  <c r="AV252" i="1"/>
  <c r="AR257" i="1"/>
  <c r="AV257" i="1" s="1"/>
  <c r="AV268" i="1"/>
  <c r="AR273" i="1"/>
  <c r="AV273" i="1" s="1"/>
  <c r="AV284" i="1"/>
  <c r="AR289" i="1"/>
  <c r="AU289" i="1" s="1"/>
  <c r="AR305" i="1"/>
  <c r="AV305" i="1" s="1"/>
  <c r="AV316" i="1"/>
  <c r="AR321" i="1"/>
  <c r="AV321" i="1" s="1"/>
  <c r="AV332" i="1"/>
  <c r="AR337" i="1"/>
  <c r="AV337" i="1" s="1"/>
  <c r="AV348" i="1"/>
  <c r="AR353" i="1"/>
  <c r="AU353" i="1" s="1"/>
  <c r="AV364" i="1"/>
  <c r="AR369" i="1"/>
  <c r="AV369" i="1" s="1"/>
  <c r="AV371" i="1"/>
  <c r="AR377" i="1"/>
  <c r="AV377" i="1" s="1"/>
  <c r="AU387" i="1"/>
  <c r="AR388" i="1"/>
  <c r="AU388" i="1" s="1"/>
  <c r="AV392" i="1"/>
  <c r="AU392" i="1"/>
  <c r="AU395" i="1"/>
  <c r="AU16" i="1"/>
  <c r="AU20" i="1"/>
  <c r="C33" i="5"/>
  <c r="E27" i="8"/>
  <c r="C30" i="4"/>
  <c r="E33" i="4"/>
  <c r="D28" i="5" s="1"/>
  <c r="F17" i="4"/>
  <c r="AU28" i="1"/>
  <c r="AV144" i="1"/>
  <c r="AP146" i="1"/>
  <c r="AR146" i="1" s="1"/>
  <c r="AV146" i="1" s="1"/>
  <c r="AU153" i="1"/>
  <c r="AP154" i="1"/>
  <c r="AR154" i="1" s="1"/>
  <c r="AV154" i="1" s="1"/>
  <c r="AU161" i="1"/>
  <c r="AP162" i="1"/>
  <c r="AR162" i="1" s="1"/>
  <c r="AV162" i="1" s="1"/>
  <c r="AU169" i="1"/>
  <c r="AP170" i="1"/>
  <c r="AR170" i="1" s="1"/>
  <c r="AV170" i="1" s="1"/>
  <c r="AV171" i="1"/>
  <c r="AP178" i="1"/>
  <c r="AR178" i="1" s="1"/>
  <c r="AV178" i="1" s="1"/>
  <c r="AU185" i="1"/>
  <c r="AU243" i="1"/>
  <c r="AP263" i="1"/>
  <c r="AR263" i="1" s="1"/>
  <c r="AV272" i="1"/>
  <c r="AP279" i="1"/>
  <c r="AR279" i="1" s="1"/>
  <c r="AV279" i="1" s="1"/>
  <c r="AU282" i="1"/>
  <c r="AV288" i="1"/>
  <c r="AP295" i="1"/>
  <c r="AR295" i="1" s="1"/>
  <c r="AV295" i="1" s="1"/>
  <c r="AU298" i="1"/>
  <c r="AV304" i="1"/>
  <c r="AP311" i="1"/>
  <c r="AR311" i="1" s="1"/>
  <c r="AV311" i="1" s="1"/>
  <c r="AU314" i="1"/>
  <c r="AV320" i="1"/>
  <c r="AP327" i="1"/>
  <c r="AR327" i="1" s="1"/>
  <c r="AV327" i="1" s="1"/>
  <c r="AU330" i="1"/>
  <c r="AV336" i="1"/>
  <c r="AU337" i="1"/>
  <c r="AP343" i="1"/>
  <c r="AR343" i="1" s="1"/>
  <c r="AV343" i="1" s="1"/>
  <c r="AU346" i="1"/>
  <c r="AP359" i="1"/>
  <c r="AR359" i="1" s="1"/>
  <c r="AV359" i="1" s="1"/>
  <c r="AU362" i="1"/>
  <c r="AV368" i="1"/>
  <c r="AU374" i="1"/>
  <c r="AV384" i="1"/>
  <c r="C43" i="4"/>
  <c r="C18" i="4"/>
  <c r="C35" i="4"/>
  <c r="D43" i="4"/>
  <c r="D18" i="4"/>
  <c r="AV5" i="1"/>
  <c r="C45" i="4"/>
  <c r="C19" i="4"/>
  <c r="D45" i="4"/>
  <c r="C37" i="4"/>
  <c r="B61" i="4"/>
  <c r="D19" i="4"/>
  <c r="AU8" i="1"/>
  <c r="B64" i="4"/>
  <c r="C34" i="4"/>
  <c r="C44" i="4"/>
  <c r="C15" i="4"/>
  <c r="B4" i="4"/>
  <c r="D4" i="8" s="1"/>
  <c r="C76" i="4"/>
  <c r="C74" i="4"/>
  <c r="C72" i="4"/>
  <c r="B58" i="4"/>
  <c r="C75" i="4"/>
  <c r="C73" i="4"/>
  <c r="C71" i="4"/>
  <c r="D44" i="4"/>
  <c r="B8" i="4"/>
  <c r="D8" i="8" s="1"/>
  <c r="C27" i="4"/>
  <c r="D15" i="4"/>
  <c r="D75" i="4"/>
  <c r="D76" i="4"/>
  <c r="D74" i="4"/>
  <c r="D73" i="4"/>
  <c r="D72" i="4"/>
  <c r="D71" i="4"/>
  <c r="C53" i="4"/>
  <c r="H17" i="8" s="1"/>
  <c r="E26" i="4"/>
  <c r="D21" i="5" s="1"/>
  <c r="AU3" i="1"/>
  <c r="AV4" i="1"/>
  <c r="C25" i="4"/>
  <c r="B59" i="4"/>
  <c r="E37" i="4"/>
  <c r="D32" i="5" s="1"/>
  <c r="F45" i="4"/>
  <c r="F19" i="4"/>
  <c r="C51" i="4"/>
  <c r="H15" i="8" s="1"/>
  <c r="AU11" i="1"/>
  <c r="C16" i="4"/>
  <c r="C29" i="4"/>
  <c r="B63" i="4"/>
  <c r="D16" i="4"/>
  <c r="AV16" i="1"/>
  <c r="AU23" i="1"/>
  <c r="AU27" i="1"/>
  <c r="C27" i="5"/>
  <c r="E21" i="8"/>
  <c r="AV152" i="1"/>
  <c r="AV160" i="1"/>
  <c r="AV168" i="1"/>
  <c r="AV176" i="1"/>
  <c r="AV184" i="1"/>
  <c r="AV192" i="1"/>
  <c r="AV200" i="1"/>
  <c r="AV208" i="1"/>
  <c r="AV216" i="1"/>
  <c r="AV224" i="1"/>
  <c r="AV232" i="1"/>
  <c r="AV240" i="1"/>
  <c r="AV248" i="1"/>
  <c r="AV260" i="1"/>
  <c r="AV276" i="1"/>
  <c r="AV292" i="1"/>
  <c r="AV308" i="1"/>
  <c r="AV324" i="1"/>
  <c r="AV340" i="1"/>
  <c r="AV356" i="1"/>
  <c r="AV400" i="1"/>
  <c r="AV408" i="1"/>
  <c r="AU408" i="1"/>
  <c r="AU188" i="1"/>
  <c r="AU192" i="1"/>
  <c r="AU196" i="1"/>
  <c r="AU200" i="1"/>
  <c r="AU204" i="1"/>
  <c r="AU212" i="1"/>
  <c r="AU216" i="1"/>
  <c r="AU220" i="1"/>
  <c r="AU224" i="1"/>
  <c r="AU228" i="1"/>
  <c r="AU232" i="1"/>
  <c r="AU236" i="1"/>
  <c r="AU240" i="1"/>
  <c r="AU244" i="1"/>
  <c r="AU248" i="1"/>
  <c r="AU252" i="1"/>
  <c r="AU260" i="1"/>
  <c r="AU264" i="1"/>
  <c r="AU268" i="1"/>
  <c r="AU272" i="1"/>
  <c r="AU276" i="1"/>
  <c r="AU280" i="1"/>
  <c r="AU284" i="1"/>
  <c r="AU288" i="1"/>
  <c r="AU292" i="1"/>
  <c r="AU296" i="1"/>
  <c r="AU300" i="1"/>
  <c r="AU304" i="1"/>
  <c r="AU308" i="1"/>
  <c r="AU312" i="1"/>
  <c r="AU316" i="1"/>
  <c r="AU320" i="1"/>
  <c r="AU324" i="1"/>
  <c r="AU328" i="1"/>
  <c r="AU332" i="1"/>
  <c r="AU336" i="1"/>
  <c r="AU340" i="1"/>
  <c r="AU344" i="1"/>
  <c r="AU348" i="1"/>
  <c r="AU352" i="1"/>
  <c r="AU356" i="1"/>
  <c r="AU360" i="1"/>
  <c r="AU364" i="1"/>
  <c r="AU368" i="1"/>
  <c r="AU372" i="1"/>
  <c r="AU376" i="1"/>
  <c r="AU380" i="1"/>
  <c r="AU384" i="1"/>
  <c r="AV390" i="1"/>
  <c r="AU391" i="1"/>
  <c r="AU416" i="1"/>
  <c r="AU439" i="1"/>
  <c r="AU455" i="1"/>
  <c r="AU471" i="1"/>
  <c r="AU487" i="1"/>
  <c r="AU147" i="1"/>
  <c r="AU151" i="1"/>
  <c r="AU155" i="1"/>
  <c r="AU159" i="1"/>
  <c r="AU163" i="1"/>
  <c r="AU167" i="1"/>
  <c r="AU171" i="1"/>
  <c r="AU175" i="1"/>
  <c r="AU179" i="1"/>
  <c r="AU183" i="1"/>
  <c r="AU187" i="1"/>
  <c r="AU191" i="1"/>
  <c r="AU255" i="1"/>
  <c r="AU259" i="1"/>
  <c r="AU263" i="1"/>
  <c r="AU267" i="1"/>
  <c r="AU271" i="1"/>
  <c r="AU275" i="1"/>
  <c r="AU279" i="1"/>
  <c r="AU283" i="1"/>
  <c r="AU287" i="1"/>
  <c r="AU291" i="1"/>
  <c r="AU295" i="1"/>
  <c r="AU299" i="1"/>
  <c r="AU303" i="1"/>
  <c r="AU307" i="1"/>
  <c r="AU311" i="1"/>
  <c r="AU315" i="1"/>
  <c r="AU319" i="1"/>
  <c r="AU323" i="1"/>
  <c r="AU327" i="1"/>
  <c r="AU331" i="1"/>
  <c r="AU335" i="1"/>
  <c r="AU339" i="1"/>
  <c r="AU343" i="1"/>
  <c r="AU347" i="1"/>
  <c r="AU351" i="1"/>
  <c r="AU355" i="1"/>
  <c r="AU359" i="1"/>
  <c r="AU363" i="1"/>
  <c r="AU367" i="1"/>
  <c r="AU371" i="1"/>
  <c r="AV386" i="1"/>
  <c r="AU394" i="1"/>
  <c r="AP396" i="1"/>
  <c r="AR396" i="1" s="1"/>
  <c r="AU396" i="1" s="1"/>
  <c r="AP398" i="1"/>
  <c r="AR398" i="1" s="1"/>
  <c r="AU398" i="1" s="1"/>
  <c r="AU403" i="1"/>
  <c r="AR404" i="1"/>
  <c r="AU404" i="1" s="1"/>
  <c r="AP406" i="1"/>
  <c r="AR406" i="1" s="1"/>
  <c r="AU406" i="1" s="1"/>
  <c r="AU411" i="1"/>
  <c r="AR412" i="1"/>
  <c r="AU412" i="1" s="1"/>
  <c r="AP414" i="1"/>
  <c r="AR414" i="1" s="1"/>
  <c r="AU414" i="1" s="1"/>
  <c r="AU419" i="1"/>
  <c r="AU429" i="1"/>
  <c r="AU435" i="1"/>
  <c r="AU445" i="1"/>
  <c r="AU451" i="1"/>
  <c r="AU461" i="1"/>
  <c r="AU467" i="1"/>
  <c r="AU477" i="1"/>
  <c r="AU483" i="1"/>
  <c r="AU493" i="1"/>
  <c r="AU389" i="1"/>
  <c r="AU390" i="1"/>
  <c r="AU393" i="1"/>
  <c r="AU401" i="1"/>
  <c r="AU409" i="1"/>
  <c r="AU425" i="1"/>
  <c r="AU441" i="1"/>
  <c r="AU457" i="1"/>
  <c r="AU473" i="1"/>
  <c r="AU489" i="1"/>
  <c r="AV402" i="1"/>
  <c r="AV410" i="1"/>
  <c r="AV418" i="1"/>
  <c r="AV422" i="1"/>
  <c r="AV426" i="1"/>
  <c r="AV430" i="1"/>
  <c r="AV434" i="1"/>
  <c r="AV438" i="1"/>
  <c r="AV442" i="1"/>
  <c r="AV446" i="1"/>
  <c r="AV450" i="1"/>
  <c r="AV454" i="1"/>
  <c r="AV458" i="1"/>
  <c r="AV462" i="1"/>
  <c r="AV466" i="1"/>
  <c r="AV470" i="1"/>
  <c r="AV474" i="1"/>
  <c r="AV478" i="1"/>
  <c r="AV482" i="1"/>
  <c r="AV486" i="1"/>
  <c r="AV490" i="1"/>
  <c r="AV498" i="1"/>
  <c r="AU499" i="1"/>
  <c r="AV499" i="1"/>
  <c r="AP504" i="1"/>
  <c r="AR504" i="1" s="1"/>
  <c r="AU504" i="1" s="1"/>
  <c r="AU507" i="1"/>
  <c r="AP512" i="1"/>
  <c r="AR512" i="1" s="1"/>
  <c r="AU512" i="1" s="1"/>
  <c r="AU515" i="1"/>
  <c r="AP520" i="1"/>
  <c r="AR520" i="1" s="1"/>
  <c r="AU520" i="1" s="1"/>
  <c r="AU523" i="1"/>
  <c r="AU531" i="1"/>
  <c r="AU539" i="1"/>
  <c r="AU551" i="1"/>
  <c r="AU557" i="1"/>
  <c r="AU567" i="1"/>
  <c r="AU573" i="1"/>
  <c r="AU583" i="1"/>
  <c r="AU589" i="1"/>
  <c r="AU599" i="1"/>
  <c r="AU605" i="1"/>
  <c r="AU615" i="1"/>
  <c r="AU420" i="1"/>
  <c r="AU424" i="1"/>
  <c r="AU428" i="1"/>
  <c r="AU432" i="1"/>
  <c r="AU436" i="1"/>
  <c r="AU440" i="1"/>
  <c r="AU444" i="1"/>
  <c r="AU448" i="1"/>
  <c r="AU452" i="1"/>
  <c r="AU456" i="1"/>
  <c r="AU460" i="1"/>
  <c r="AU464" i="1"/>
  <c r="AU468" i="1"/>
  <c r="AU472" i="1"/>
  <c r="AU476" i="1"/>
  <c r="AU480" i="1"/>
  <c r="AU484" i="1"/>
  <c r="AU488" i="1"/>
  <c r="AU492" i="1"/>
  <c r="AU495" i="1"/>
  <c r="AU501" i="1"/>
  <c r="AU509" i="1"/>
  <c r="AU517" i="1"/>
  <c r="AU525" i="1"/>
  <c r="AU497" i="1"/>
  <c r="AP500" i="1"/>
  <c r="AR500" i="1" s="1"/>
  <c r="AU500" i="1" s="1"/>
  <c r="AU503" i="1"/>
  <c r="AP508" i="1"/>
  <c r="AR508" i="1" s="1"/>
  <c r="AU508" i="1" s="1"/>
  <c r="AU511" i="1"/>
  <c r="AU514" i="1"/>
  <c r="AP516" i="1"/>
  <c r="AR516" i="1" s="1"/>
  <c r="AU516" i="1" s="1"/>
  <c r="AU519" i="1"/>
  <c r="AU522" i="1"/>
  <c r="AP524" i="1"/>
  <c r="AR524" i="1" s="1"/>
  <c r="AU524" i="1" s="1"/>
  <c r="AU527" i="1"/>
  <c r="AU530" i="1"/>
  <c r="AU535" i="1"/>
  <c r="AU538" i="1"/>
  <c r="AU543" i="1"/>
  <c r="AU549" i="1"/>
  <c r="AU559" i="1"/>
  <c r="AU565" i="1"/>
  <c r="AU581" i="1"/>
  <c r="AU597" i="1"/>
  <c r="AU613" i="1"/>
  <c r="AV494" i="1"/>
  <c r="AU494" i="1"/>
  <c r="AR502" i="1"/>
  <c r="AV502" i="1" s="1"/>
  <c r="AU505" i="1"/>
  <c r="AR510" i="1"/>
  <c r="AV510" i="1" s="1"/>
  <c r="AU513" i="1"/>
  <c r="AR518" i="1"/>
  <c r="AU518" i="1" s="1"/>
  <c r="AU521" i="1"/>
  <c r="AR526" i="1"/>
  <c r="AV526" i="1" s="1"/>
  <c r="AR534" i="1"/>
  <c r="AV534" i="1" s="1"/>
  <c r="AR542" i="1"/>
  <c r="AU542" i="1" s="1"/>
  <c r="AU577" i="1"/>
  <c r="AU593" i="1"/>
  <c r="AU609" i="1"/>
  <c r="AU528" i="1"/>
  <c r="AU532" i="1"/>
  <c r="AU536" i="1"/>
  <c r="AU540" i="1"/>
  <c r="AU544" i="1"/>
  <c r="AU548" i="1"/>
  <c r="AU552" i="1"/>
  <c r="AU556" i="1"/>
  <c r="AU560" i="1"/>
  <c r="AU564" i="1"/>
  <c r="AU568" i="1"/>
  <c r="AU572" i="1"/>
  <c r="AU576" i="1"/>
  <c r="AU580" i="1"/>
  <c r="AU584" i="1"/>
  <c r="AU588" i="1"/>
  <c r="AU592" i="1"/>
  <c r="AU596" i="1"/>
  <c r="AU600" i="1"/>
  <c r="AU604" i="1"/>
  <c r="AU608" i="1"/>
  <c r="AU612" i="1"/>
  <c r="AU616" i="1"/>
  <c r="AV622" i="1"/>
  <c r="AV623" i="1"/>
  <c r="AU683" i="1"/>
  <c r="AU691" i="1"/>
  <c r="AU699" i="1"/>
  <c r="AU707" i="1"/>
  <c r="AU739" i="1"/>
  <c r="AV764" i="1"/>
  <c r="AV621" i="1"/>
  <c r="AU621" i="1"/>
  <c r="AU632" i="1"/>
  <c r="AU640" i="1"/>
  <c r="AU648" i="1"/>
  <c r="AU656" i="1"/>
  <c r="AU664" i="1"/>
  <c r="AU672" i="1"/>
  <c r="AU680" i="1"/>
  <c r="AU546" i="1"/>
  <c r="AU550" i="1"/>
  <c r="AU554" i="1"/>
  <c r="AU558" i="1"/>
  <c r="AU562" i="1"/>
  <c r="AU566" i="1"/>
  <c r="AU570" i="1"/>
  <c r="AU574" i="1"/>
  <c r="AU578" i="1"/>
  <c r="AU582" i="1"/>
  <c r="AU586" i="1"/>
  <c r="AU590" i="1"/>
  <c r="AU594" i="1"/>
  <c r="AU598" i="1"/>
  <c r="AU602" i="1"/>
  <c r="AU606" i="1"/>
  <c r="AU610" i="1"/>
  <c r="AU614" i="1"/>
  <c r="AU618" i="1"/>
  <c r="AU626" i="1"/>
  <c r="AV626" i="1"/>
  <c r="AU703" i="1"/>
  <c r="AU711" i="1"/>
  <c r="AU620" i="1"/>
  <c r="AP624" i="1"/>
  <c r="AR624" i="1" s="1"/>
  <c r="AV624" i="1" s="1"/>
  <c r="AV625" i="1"/>
  <c r="AU628" i="1"/>
  <c r="AU636" i="1"/>
  <c r="AU644" i="1"/>
  <c r="AU652" i="1"/>
  <c r="AU660" i="1"/>
  <c r="AU668" i="1"/>
  <c r="AU676" i="1"/>
  <c r="AU708" i="1"/>
  <c r="AU625" i="1"/>
  <c r="AU629" i="1"/>
  <c r="AV630" i="1"/>
  <c r="AU633" i="1"/>
  <c r="AV634" i="1"/>
  <c r="AU637" i="1"/>
  <c r="AV638" i="1"/>
  <c r="AU641" i="1"/>
  <c r="AV642" i="1"/>
  <c r="AU645" i="1"/>
  <c r="AV646" i="1"/>
  <c r="AU649" i="1"/>
  <c r="AV650" i="1"/>
  <c r="AU653" i="1"/>
  <c r="AV654" i="1"/>
  <c r="AU657" i="1"/>
  <c r="AV658" i="1"/>
  <c r="AU661" i="1"/>
  <c r="AV662" i="1"/>
  <c r="AU665" i="1"/>
  <c r="AV666" i="1"/>
  <c r="AU669" i="1"/>
  <c r="AV670" i="1"/>
  <c r="AU673" i="1"/>
  <c r="AV674" i="1"/>
  <c r="AU677" i="1"/>
  <c r="AV678" i="1"/>
  <c r="AU681" i="1"/>
  <c r="AV682" i="1"/>
  <c r="AU685" i="1"/>
  <c r="AV686" i="1"/>
  <c r="AU689" i="1"/>
  <c r="AV690" i="1"/>
  <c r="AU693" i="1"/>
  <c r="AV694" i="1"/>
  <c r="AU697" i="1"/>
  <c r="AV698" i="1"/>
  <c r="AU701" i="1"/>
  <c r="AV702" i="1"/>
  <c r="AU705" i="1"/>
  <c r="AV706" i="1"/>
  <c r="AU709" i="1"/>
  <c r="AV710" i="1"/>
  <c r="AV715" i="1"/>
  <c r="AU716" i="1"/>
  <c r="AV720" i="1"/>
  <c r="AU722" i="1"/>
  <c r="AV731" i="1"/>
  <c r="AU732" i="1"/>
  <c r="AV736" i="1"/>
  <c r="AU738" i="1"/>
  <c r="AU760" i="1"/>
  <c r="AU762" i="1"/>
  <c r="AR765" i="1"/>
  <c r="AU765" i="1" s="1"/>
  <c r="AV779" i="1"/>
  <c r="AU779" i="1"/>
  <c r="AU796" i="1"/>
  <c r="AR805" i="1"/>
  <c r="AU805" i="1" s="1"/>
  <c r="AU809" i="1"/>
  <c r="AU718" i="1"/>
  <c r="AU721" i="1"/>
  <c r="AV727" i="1"/>
  <c r="AU734" i="1"/>
  <c r="AU737" i="1"/>
  <c r="AV743" i="1"/>
  <c r="AU750" i="1"/>
  <c r="AP753" i="1"/>
  <c r="AR753" i="1" s="1"/>
  <c r="AV763" i="1"/>
  <c r="AP769" i="1"/>
  <c r="AR769" i="1" s="1"/>
  <c r="AU769" i="1" s="1"/>
  <c r="AV772" i="1"/>
  <c r="AR775" i="1"/>
  <c r="AU775" i="1" s="1"/>
  <c r="AU780" i="1"/>
  <c r="AP781" i="1"/>
  <c r="AR781" i="1" s="1"/>
  <c r="AU781" i="1" s="1"/>
  <c r="AP785" i="1"/>
  <c r="AR785" i="1" s="1"/>
  <c r="AU785" i="1" s="1"/>
  <c r="AV788" i="1"/>
  <c r="AR791" i="1"/>
  <c r="AU791" i="1" s="1"/>
  <c r="AV795" i="1"/>
  <c r="AU795" i="1"/>
  <c r="AV808" i="1"/>
  <c r="AR812" i="1"/>
  <c r="AU812" i="1" s="1"/>
  <c r="AU816" i="1"/>
  <c r="AU832" i="1"/>
  <c r="AU714" i="1"/>
  <c r="AU715" i="1"/>
  <c r="AU717" i="1"/>
  <c r="AV723" i="1"/>
  <c r="AP725" i="1"/>
  <c r="AR725" i="1" s="1"/>
  <c r="AU725" i="1" s="1"/>
  <c r="AU730" i="1"/>
  <c r="AU731" i="1"/>
  <c r="AU733" i="1"/>
  <c r="AV739" i="1"/>
  <c r="AP741" i="1"/>
  <c r="AR741" i="1" s="1"/>
  <c r="AU741" i="1" s="1"/>
  <c r="AU746" i="1"/>
  <c r="AU748" i="1"/>
  <c r="AP749" i="1"/>
  <c r="AR749" i="1" s="1"/>
  <c r="AU749" i="1" s="1"/>
  <c r="AV759" i="1"/>
  <c r="AU759" i="1"/>
  <c r="AU793" i="1"/>
  <c r="AP817" i="1"/>
  <c r="AR817" i="1" s="1"/>
  <c r="AU817" i="1" s="1"/>
  <c r="AV719" i="1"/>
  <c r="AU726" i="1"/>
  <c r="AV735" i="1"/>
  <c r="AU742" i="1"/>
  <c r="AV747" i="1"/>
  <c r="AU752" i="1"/>
  <c r="AV755" i="1"/>
  <c r="AV756" i="1"/>
  <c r="AU761" i="1"/>
  <c r="AU766" i="1"/>
  <c r="AV776" i="1"/>
  <c r="AU777" i="1"/>
  <c r="AU782" i="1"/>
  <c r="AV792" i="1"/>
  <c r="AU800" i="1"/>
  <c r="AV811" i="1"/>
  <c r="AU811" i="1"/>
  <c r="AV825" i="1"/>
  <c r="AV827" i="1"/>
  <c r="AU828" i="1"/>
  <c r="AU834" i="1"/>
  <c r="AV841" i="1"/>
  <c r="AV843" i="1"/>
  <c r="AV844" i="1"/>
  <c r="AU844" i="1"/>
  <c r="AU792" i="1"/>
  <c r="AU798" i="1"/>
  <c r="AV807" i="1"/>
  <c r="AU808" i="1"/>
  <c r="AU814" i="1"/>
  <c r="AV823" i="1"/>
  <c r="AU824" i="1"/>
  <c r="AU830" i="1"/>
  <c r="AV839" i="1"/>
  <c r="AU840" i="1"/>
  <c r="AV847" i="1"/>
  <c r="AU847" i="1"/>
  <c r="AU849" i="1"/>
  <c r="AV851" i="1"/>
  <c r="AU860" i="1"/>
  <c r="AU908" i="1"/>
  <c r="AV940" i="1"/>
  <c r="AV771" i="1"/>
  <c r="AU772" i="1"/>
  <c r="AU778" i="1"/>
  <c r="AV787" i="1"/>
  <c r="AU788" i="1"/>
  <c r="AU794" i="1"/>
  <c r="AV803" i="1"/>
  <c r="AU804" i="1"/>
  <c r="AU810" i="1"/>
  <c r="AV819" i="1"/>
  <c r="AU820" i="1"/>
  <c r="AU826" i="1"/>
  <c r="AU827" i="1"/>
  <c r="AV835" i="1"/>
  <c r="AU836" i="1"/>
  <c r="AU842" i="1"/>
  <c r="AU843" i="1"/>
  <c r="AU852" i="1"/>
  <c r="AV859" i="1"/>
  <c r="AU859" i="1"/>
  <c r="AV751" i="1"/>
  <c r="AV767" i="1"/>
  <c r="AU774" i="1"/>
  <c r="AV783" i="1"/>
  <c r="AU790" i="1"/>
  <c r="AV799" i="1"/>
  <c r="AU806" i="1"/>
  <c r="AU807" i="1"/>
  <c r="AV815" i="1"/>
  <c r="AU822" i="1"/>
  <c r="AU823" i="1"/>
  <c r="AV831" i="1"/>
  <c r="AU838" i="1"/>
  <c r="AU839" i="1"/>
  <c r="AU848" i="1"/>
  <c r="AV848" i="1"/>
  <c r="AV849" i="1"/>
  <c r="AU851" i="1"/>
  <c r="AU856" i="1"/>
  <c r="AU857" i="1"/>
  <c r="AV861" i="1"/>
  <c r="AU866" i="1"/>
  <c r="AV876" i="1"/>
  <c r="AU858" i="1"/>
  <c r="AV865" i="1"/>
  <c r="AV867" i="1"/>
  <c r="AU868" i="1"/>
  <c r="AU872" i="1"/>
  <c r="AU874" i="1"/>
  <c r="AR877" i="1"/>
  <c r="AU877" i="1" s="1"/>
  <c r="AU889" i="1"/>
  <c r="AV895" i="1"/>
  <c r="AU896" i="1"/>
  <c r="AV903" i="1"/>
  <c r="AV904" i="1"/>
  <c r="AU905" i="1"/>
  <c r="AU921" i="1"/>
  <c r="AV952" i="1"/>
  <c r="AU953" i="1"/>
  <c r="AV953" i="1"/>
  <c r="AV955" i="1"/>
  <c r="AU955" i="1"/>
  <c r="AV965" i="1"/>
  <c r="AV968" i="1"/>
  <c r="AU969" i="1"/>
  <c r="AU978" i="1"/>
  <c r="AU854" i="1"/>
  <c r="AV863" i="1"/>
  <c r="AV875" i="1"/>
  <c r="AU880" i="1"/>
  <c r="AP882" i="1"/>
  <c r="AR882" i="1" s="1"/>
  <c r="AV882" i="1" s="1"/>
  <c r="AU884" i="1"/>
  <c r="AU886" i="1"/>
  <c r="AU892" i="1"/>
  <c r="AU898" i="1"/>
  <c r="AP902" i="1"/>
  <c r="AR902" i="1" s="1"/>
  <c r="AV902" i="1" s="1"/>
  <c r="AU912" i="1"/>
  <c r="AP913" i="1"/>
  <c r="AR913" i="1" s="1"/>
  <c r="AU913" i="1" s="1"/>
  <c r="AU916" i="1"/>
  <c r="AU918" i="1"/>
  <c r="AV924" i="1"/>
  <c r="AV925" i="1"/>
  <c r="AV935" i="1"/>
  <c r="AU935" i="1"/>
  <c r="AR936" i="1"/>
  <c r="AU936" i="1" s="1"/>
  <c r="AV983" i="1"/>
  <c r="AU983" i="1"/>
  <c r="AV871" i="1"/>
  <c r="AU871" i="1"/>
  <c r="AV887" i="1"/>
  <c r="AV888" i="1"/>
  <c r="AU909" i="1"/>
  <c r="AV909" i="1"/>
  <c r="AV919" i="1"/>
  <c r="AV920" i="1"/>
  <c r="AU949" i="1"/>
  <c r="AR951" i="1"/>
  <c r="AV951" i="1" s="1"/>
  <c r="AU952" i="1"/>
  <c r="AR967" i="1"/>
  <c r="AV967" i="1" s="1"/>
  <c r="AU968" i="1"/>
  <c r="AV969" i="1"/>
  <c r="AU846" i="1"/>
  <c r="AV855" i="1"/>
  <c r="AU862" i="1"/>
  <c r="AU863" i="1"/>
  <c r="AU873" i="1"/>
  <c r="AU875" i="1"/>
  <c r="AU878" i="1"/>
  <c r="AP881" i="1"/>
  <c r="AR881" i="1" s="1"/>
  <c r="AU885" i="1"/>
  <c r="AP891" i="1"/>
  <c r="AR891" i="1" s="1"/>
  <c r="AU891" i="1" s="1"/>
  <c r="AP893" i="1"/>
  <c r="AR893" i="1" s="1"/>
  <c r="AV893" i="1" s="1"/>
  <c r="AV896" i="1"/>
  <c r="AV905" i="1"/>
  <c r="AV911" i="1"/>
  <c r="AR915" i="1"/>
  <c r="AU915" i="1" s="1"/>
  <c r="AU917" i="1"/>
  <c r="AP923" i="1"/>
  <c r="AR923" i="1" s="1"/>
  <c r="AV923" i="1" s="1"/>
  <c r="AU937" i="1"/>
  <c r="AU946" i="1"/>
  <c r="AR956" i="1"/>
  <c r="AU956" i="1" s="1"/>
  <c r="AU960" i="1"/>
  <c r="AR963" i="1"/>
  <c r="AU963" i="1" s="1"/>
  <c r="AP966" i="1"/>
  <c r="AR966" i="1" s="1"/>
  <c r="AV966" i="1" s="1"/>
  <c r="AU974" i="1"/>
  <c r="AR988" i="1"/>
  <c r="AU988" i="1" s="1"/>
  <c r="AU870" i="1"/>
  <c r="AV879" i="1"/>
  <c r="AU894" i="1"/>
  <c r="AP897" i="1"/>
  <c r="AR897" i="1" s="1"/>
  <c r="AU897" i="1" s="1"/>
  <c r="AP907" i="1"/>
  <c r="AR907" i="1" s="1"/>
  <c r="AV907" i="1" s="1"/>
  <c r="AU932" i="1"/>
  <c r="AP939" i="1"/>
  <c r="AR939" i="1" s="1"/>
  <c r="AV939" i="1" s="1"/>
  <c r="AV941" i="1"/>
  <c r="AU944" i="1"/>
  <c r="AR947" i="1"/>
  <c r="AU947" i="1" s="1"/>
  <c r="AP950" i="1"/>
  <c r="AR950" i="1" s="1"/>
  <c r="AV950" i="1" s="1"/>
  <c r="AU964" i="1"/>
  <c r="AP971" i="1"/>
  <c r="AR971" i="1" s="1"/>
  <c r="AV971" i="1" s="1"/>
  <c r="AV973" i="1"/>
  <c r="AU976" i="1"/>
  <c r="AR979" i="1"/>
  <c r="AU979" i="1" s="1"/>
  <c r="AU981" i="1"/>
  <c r="AV984" i="1"/>
  <c r="AU985" i="1"/>
  <c r="AU990" i="1"/>
  <c r="AV998" i="1"/>
  <c r="AU1001" i="1"/>
  <c r="AP987" i="1"/>
  <c r="AR987" i="1" s="1"/>
  <c r="AV987" i="1" s="1"/>
  <c r="AV989" i="1"/>
  <c r="AU992" i="1"/>
  <c r="AR995" i="1"/>
  <c r="AU995" i="1" s="1"/>
  <c r="AU890" i="1"/>
  <c r="AV899" i="1"/>
  <c r="AU906" i="1"/>
  <c r="AU922" i="1"/>
  <c r="AU925" i="1"/>
  <c r="AV931" i="1"/>
  <c r="AU938" i="1"/>
  <c r="AU941" i="1"/>
  <c r="AU954" i="1"/>
  <c r="AU957" i="1"/>
  <c r="AU970" i="1"/>
  <c r="AU973" i="1"/>
  <c r="AU986" i="1"/>
  <c r="AU989" i="1"/>
  <c r="AV996" i="1"/>
  <c r="AU998" i="1"/>
  <c r="AP1000" i="1"/>
  <c r="AR1000" i="1" s="1"/>
  <c r="AV1000" i="1" s="1"/>
  <c r="AV927" i="1"/>
  <c r="AP929" i="1"/>
  <c r="AR929" i="1" s="1"/>
  <c r="AU929" i="1" s="1"/>
  <c r="AU934" i="1"/>
  <c r="AV943" i="1"/>
  <c r="AP945" i="1"/>
  <c r="AR945" i="1" s="1"/>
  <c r="AU945" i="1" s="1"/>
  <c r="AV959" i="1"/>
  <c r="AP961" i="1"/>
  <c r="AR961" i="1" s="1"/>
  <c r="AU961" i="1" s="1"/>
  <c r="AV975" i="1"/>
  <c r="AP977" i="1"/>
  <c r="AR977" i="1" s="1"/>
  <c r="AU977" i="1" s="1"/>
  <c r="AU982" i="1"/>
  <c r="AV991" i="1"/>
  <c r="AP993" i="1"/>
  <c r="AR993" i="1" s="1"/>
  <c r="AU993" i="1" s="1"/>
  <c r="AV997" i="1"/>
  <c r="AU999" i="1"/>
  <c r="AU377" i="1" l="1"/>
  <c r="AV485" i="1"/>
  <c r="AV125" i="1"/>
  <c r="AV379" i="1"/>
  <c r="AU379" i="1"/>
  <c r="AV382" i="1"/>
  <c r="AU382" i="1"/>
  <c r="AU256" i="1"/>
  <c r="AV256" i="1"/>
  <c r="AU238" i="1"/>
  <c r="AU219" i="1"/>
  <c r="AV219" i="1"/>
  <c r="AV329" i="1"/>
  <c r="AU329" i="1"/>
  <c r="AV297" i="1"/>
  <c r="AU297" i="1"/>
  <c r="AV177" i="1"/>
  <c r="AU177" i="1"/>
  <c r="AV145" i="1"/>
  <c r="AU145" i="1"/>
  <c r="AU266" i="1"/>
  <c r="AV266" i="1"/>
  <c r="AV126" i="1"/>
  <c r="AU126" i="1"/>
  <c r="AU214" i="1"/>
  <c r="AV214" i="1"/>
  <c r="AV744" i="1"/>
  <c r="AU744" i="1"/>
  <c r="AV980" i="1"/>
  <c r="AU980" i="1"/>
  <c r="AU447" i="1"/>
  <c r="AV447" i="1"/>
  <c r="AV713" i="1"/>
  <c r="AU713" i="1"/>
  <c r="AU651" i="1"/>
  <c r="AV651" i="1"/>
  <c r="AU569" i="1"/>
  <c r="AV569" i="1"/>
  <c r="AU443" i="1"/>
  <c r="AV443" i="1"/>
  <c r="AV293" i="1"/>
  <c r="AU293" i="1"/>
  <c r="AU105" i="1"/>
  <c r="AV105" i="1"/>
  <c r="AV942" i="1"/>
  <c r="AU942" i="1"/>
  <c r="AV437" i="1"/>
  <c r="AU437" i="1"/>
  <c r="AV373" i="1"/>
  <c r="AU373" i="1"/>
  <c r="AU139" i="1"/>
  <c r="AV139" i="1"/>
  <c r="AV123" i="1"/>
  <c r="AU123" i="1"/>
  <c r="AU107" i="1"/>
  <c r="AV107" i="1"/>
  <c r="AV91" i="1"/>
  <c r="AU91" i="1"/>
  <c r="AU75" i="1"/>
  <c r="AV75" i="1"/>
  <c r="AV32" i="1"/>
  <c r="AU32" i="1"/>
  <c r="AU591" i="1"/>
  <c r="AV591" i="1"/>
  <c r="AV563" i="1"/>
  <c r="AU563" i="1"/>
  <c r="AU671" i="1"/>
  <c r="AV671" i="1"/>
  <c r="AU575" i="1"/>
  <c r="AV575" i="1"/>
  <c r="AU111" i="1"/>
  <c r="AV111" i="1"/>
  <c r="AV56" i="1"/>
  <c r="AU56" i="1"/>
  <c r="AV48" i="1"/>
  <c r="AU48" i="1"/>
  <c r="AU695" i="1"/>
  <c r="AV695" i="1"/>
  <c r="AU728" i="1"/>
  <c r="AV728" i="1"/>
  <c r="AV354" i="1"/>
  <c r="AU354" i="1"/>
  <c r="AU113" i="1"/>
  <c r="AV113" i="1"/>
  <c r="AV431" i="1"/>
  <c r="AU431" i="1"/>
  <c r="AU928" i="1"/>
  <c r="AV928" i="1"/>
  <c r="AU115" i="1"/>
  <c r="AV115" i="1"/>
  <c r="AU83" i="1"/>
  <c r="AV83" i="1"/>
  <c r="AU35" i="1"/>
  <c r="AV35" i="1"/>
  <c r="AV994" i="1"/>
  <c r="AU994" i="1"/>
  <c r="AV587" i="1"/>
  <c r="AU603" i="1"/>
  <c r="AV603" i="1"/>
  <c r="AU910" i="1"/>
  <c r="AV910" i="1"/>
  <c r="AU675" i="1"/>
  <c r="AV675" i="1"/>
  <c r="AU85" i="1"/>
  <c r="AV85" i="1"/>
  <c r="AU73" i="1"/>
  <c r="AV73" i="1"/>
  <c r="AU166" i="1"/>
  <c r="AV166" i="1"/>
  <c r="AV12" i="1"/>
  <c r="AU12" i="1"/>
  <c r="AU46" i="1"/>
  <c r="AV46" i="1"/>
  <c r="AV140" i="1"/>
  <c r="AU140" i="1"/>
  <c r="AV108" i="1"/>
  <c r="AU108" i="1"/>
  <c r="AV385" i="1"/>
  <c r="AU385" i="1"/>
  <c r="AV361" i="1"/>
  <c r="AU361" i="1"/>
  <c r="AU251" i="1"/>
  <c r="AV251" i="1"/>
  <c r="AU206" i="1"/>
  <c r="AV206" i="1"/>
  <c r="AU135" i="1"/>
  <c r="AV135" i="1"/>
  <c r="AV37" i="1"/>
  <c r="AU37" i="1"/>
  <c r="AV7" i="1"/>
  <c r="AU7" i="1"/>
  <c r="AU585" i="1"/>
  <c r="AV585" i="1"/>
  <c r="AU469" i="1"/>
  <c r="AV469" i="1"/>
  <c r="AV309" i="1"/>
  <c r="AU309" i="1"/>
  <c r="AU258" i="1"/>
  <c r="AV258" i="1"/>
  <c r="AV134" i="1"/>
  <c r="AU134" i="1"/>
  <c r="AV72" i="1"/>
  <c r="AU72" i="1"/>
  <c r="AV18" i="1"/>
  <c r="AU18" i="1"/>
  <c r="AU496" i="1"/>
  <c r="AV496" i="1"/>
  <c r="AV358" i="1"/>
  <c r="AU358" i="1"/>
  <c r="AU97" i="1"/>
  <c r="AV97" i="1"/>
  <c r="AU42" i="1"/>
  <c r="AV42" i="1"/>
  <c r="AV25" i="1"/>
  <c r="AU25" i="1"/>
  <c r="AV190" i="1"/>
  <c r="AU190" i="1"/>
  <c r="AU127" i="1"/>
  <c r="AV127" i="1"/>
  <c r="AV102" i="1"/>
  <c r="AU102" i="1"/>
  <c r="AU417" i="1"/>
  <c r="AV417" i="1"/>
  <c r="AV883" i="1"/>
  <c r="AU883" i="1"/>
  <c r="AV506" i="1"/>
  <c r="AU506" i="1"/>
  <c r="AU758" i="1"/>
  <c r="AV758" i="1"/>
  <c r="AU318" i="1"/>
  <c r="AV318" i="1"/>
  <c r="AV789" i="1"/>
  <c r="AU789" i="1"/>
  <c r="AU972" i="1"/>
  <c r="J34" i="4" s="1"/>
  <c r="AU821" i="1"/>
  <c r="AU833" i="1"/>
  <c r="AU54" i="1"/>
  <c r="AV423" i="1"/>
  <c r="AU423" i="1"/>
  <c r="AU407" i="1"/>
  <c r="AU138" i="1"/>
  <c r="AU850" i="1"/>
  <c r="AV901" i="1"/>
  <c r="AU869" i="1"/>
  <c r="AU110" i="1"/>
  <c r="AU305" i="1"/>
  <c r="AV619" i="1"/>
  <c r="AU122" i="1"/>
  <c r="AV936" i="1"/>
  <c r="AU510" i="1"/>
  <c r="AV915" i="1"/>
  <c r="AV406" i="1"/>
  <c r="AU257" i="1"/>
  <c r="AV757" i="1"/>
  <c r="AU692" i="1"/>
  <c r="AU94" i="1"/>
  <c r="AU62" i="1"/>
  <c r="AV388" i="1"/>
  <c r="AV704" i="1"/>
  <c r="AU818" i="1"/>
  <c r="AU124" i="1"/>
  <c r="AU74" i="1"/>
  <c r="AV933" i="1"/>
  <c r="AU933" i="1"/>
  <c r="AU773" i="1"/>
  <c r="AV773" i="1"/>
  <c r="D36" i="4"/>
  <c r="B31" i="5" s="1"/>
  <c r="AV269" i="1"/>
  <c r="AV229" i="1"/>
  <c r="AV754" i="1"/>
  <c r="AU797" i="1"/>
  <c r="AU684" i="1"/>
  <c r="AU132" i="1"/>
  <c r="AU116" i="1"/>
  <c r="AU100" i="1"/>
  <c r="AV277" i="1"/>
  <c r="D25" i="4"/>
  <c r="B20" i="5" s="1"/>
  <c r="AU987" i="1"/>
  <c r="AV891" i="1"/>
  <c r="AV993" i="1"/>
  <c r="AU967" i="1"/>
  <c r="AV977" i="1"/>
  <c r="AV518" i="1"/>
  <c r="AU534" i="1"/>
  <c r="AU966" i="1"/>
  <c r="AU902" i="1"/>
  <c r="AV945" i="1"/>
  <c r="AV877" i="1"/>
  <c r="AV414" i="1"/>
  <c r="AV979" i="1"/>
  <c r="AV781" i="1"/>
  <c r="AU624" i="1"/>
  <c r="AV520" i="1"/>
  <c r="AU273" i="1"/>
  <c r="AV263" i="1"/>
  <c r="AV333" i="1"/>
  <c r="AU700" i="1"/>
  <c r="AU90" i="1"/>
  <c r="AU369" i="1"/>
  <c r="AU321" i="1"/>
  <c r="D38" i="4"/>
  <c r="B33" i="5" s="1"/>
  <c r="AU106" i="1"/>
  <c r="J39" i="4" s="1"/>
  <c r="AV961" i="1"/>
  <c r="AV741" i="1"/>
  <c r="AV963" i="1"/>
  <c r="AV929" i="1"/>
  <c r="AV881" i="1"/>
  <c r="AU881" i="1"/>
  <c r="AV913" i="1"/>
  <c r="AV791" i="1"/>
  <c r="AV775" i="1"/>
  <c r="AV805" i="1"/>
  <c r="AV512" i="1"/>
  <c r="AU502" i="1"/>
  <c r="AV396" i="1"/>
  <c r="AU526" i="1"/>
  <c r="J26" i="4"/>
  <c r="C29" i="5"/>
  <c r="E23" i="8"/>
  <c r="E24" i="8"/>
  <c r="C30" i="5"/>
  <c r="E19" i="8"/>
  <c r="C25" i="5"/>
  <c r="AV353" i="1"/>
  <c r="AV289" i="1"/>
  <c r="J31" i="4"/>
  <c r="E22" i="8"/>
  <c r="C28" i="5"/>
  <c r="AV317" i="1"/>
  <c r="AV253" i="1"/>
  <c r="AV221" i="1"/>
  <c r="C21" i="5"/>
  <c r="E15" i="8"/>
  <c r="D35" i="4"/>
  <c r="B30" i="5" s="1"/>
  <c r="E45" i="4"/>
  <c r="E15" i="4"/>
  <c r="B14" i="8" s="1"/>
  <c r="AU753" i="1"/>
  <c r="AV753" i="1"/>
  <c r="E26" i="8"/>
  <c r="C32" i="5"/>
  <c r="AU170" i="1"/>
  <c r="AU154" i="1"/>
  <c r="H14" i="8"/>
  <c r="D29" i="4"/>
  <c r="B24" i="5" s="1"/>
  <c r="D30" i="4"/>
  <c r="B25" i="5" s="1"/>
  <c r="E43" i="4"/>
  <c r="E19" i="4"/>
  <c r="B18" i="8" s="1"/>
  <c r="D27" i="4"/>
  <c r="B22" i="5" s="1"/>
  <c r="D26" i="4"/>
  <c r="B21" i="5" s="1"/>
  <c r="D39" i="4"/>
  <c r="B34" i="5" s="1"/>
  <c r="AV349" i="1"/>
  <c r="AV285" i="1"/>
  <c r="AV237" i="1"/>
  <c r="AV205" i="1"/>
  <c r="E16" i="4"/>
  <c r="B15" i="8" s="1"/>
  <c r="D31" i="4"/>
  <c r="B26" i="5" s="1"/>
  <c r="E18" i="4"/>
  <c r="B17" i="8" s="1"/>
  <c r="E44" i="4"/>
  <c r="D33" i="4"/>
  <c r="B28" i="5" s="1"/>
  <c r="J38" i="4"/>
  <c r="C24" i="5"/>
  <c r="E18" i="8"/>
  <c r="AU1000" i="1"/>
  <c r="AV995" i="1"/>
  <c r="AU971" i="1"/>
  <c r="AU939" i="1"/>
  <c r="AU907" i="1"/>
  <c r="AV988" i="1"/>
  <c r="AU923" i="1"/>
  <c r="AU893" i="1"/>
  <c r="AU951" i="1"/>
  <c r="AV897" i="1"/>
  <c r="AV817" i="1"/>
  <c r="AV812" i="1"/>
  <c r="AV725" i="1"/>
  <c r="AV542" i="1"/>
  <c r="AV524" i="1"/>
  <c r="AV516" i="1"/>
  <c r="AV508" i="1"/>
  <c r="AV500" i="1"/>
  <c r="AV398" i="1"/>
  <c r="AV412" i="1"/>
  <c r="C20" i="5"/>
  <c r="E14" i="8"/>
  <c r="C22" i="5"/>
  <c r="E16" i="8"/>
  <c r="AU950" i="1"/>
  <c r="J28" i="4" s="1"/>
  <c r="AV947" i="1"/>
  <c r="AV956" i="1"/>
  <c r="AU882" i="1"/>
  <c r="AV765" i="1"/>
  <c r="AV785" i="1"/>
  <c r="AV769" i="1"/>
  <c r="AV749" i="1"/>
  <c r="AV504" i="1"/>
  <c r="AV404" i="1"/>
  <c r="AU178" i="1"/>
  <c r="AU162" i="1"/>
  <c r="AU146" i="1"/>
  <c r="AV365" i="1"/>
  <c r="AV301" i="1"/>
  <c r="AV245" i="1"/>
  <c r="AV213" i="1"/>
  <c r="C31" i="5"/>
  <c r="E25" i="8"/>
  <c r="D34" i="4"/>
  <c r="B29" i="5" s="1"/>
  <c r="D28" i="4"/>
  <c r="B23" i="5" s="1"/>
  <c r="D37" i="4"/>
  <c r="B32" i="5" s="1"/>
  <c r="B5" i="4"/>
  <c r="G4" i="8" s="1"/>
  <c r="E17" i="4"/>
  <c r="B16" i="8" s="1"/>
  <c r="D32" i="4"/>
  <c r="B27" i="5" s="1"/>
  <c r="J25" i="4" l="1"/>
  <c r="J33" i="4"/>
  <c r="J29" i="4"/>
  <c r="J37" i="4"/>
  <c r="J30" i="4"/>
  <c r="J36" i="4"/>
  <c r="J32" i="4"/>
  <c r="J27" i="4"/>
  <c r="B86" i="4"/>
  <c r="J35" i="4"/>
</calcChain>
</file>

<file path=xl/sharedStrings.xml><?xml version="1.0" encoding="utf-8"?>
<sst xmlns="http://schemas.openxmlformats.org/spreadsheetml/2006/main" count="9541" uniqueCount="1375">
  <si>
    <t>Record_ID</t>
  </si>
  <si>
    <t>Production_Date</t>
  </si>
  <si>
    <t>Plant</t>
  </si>
  <si>
    <t>Production_Line</t>
  </si>
  <si>
    <t>Machine_ID</t>
  </si>
  <si>
    <t>Shift</t>
  </si>
  <si>
    <t>Product_Type</t>
  </si>
  <si>
    <t>Batch_ID</t>
  </si>
  <si>
    <t>Operator_ID</t>
  </si>
  <si>
    <t>Planned_Quantity</t>
  </si>
  <si>
    <t>Produced_Quantity</t>
  </si>
  <si>
    <t>Good_Quantity</t>
  </si>
  <si>
    <t>Defect_Quantity</t>
  </si>
  <si>
    <t>Scrap_Quantity</t>
  </si>
  <si>
    <t>Downtime_Minutes</t>
  </si>
  <si>
    <t>Downtime_Reason</t>
  </si>
  <si>
    <t>Ideal_Cycle_Time_Sec</t>
  </si>
  <si>
    <t>Actual_Cycle_Time_Sec</t>
  </si>
  <si>
    <t>Machine_Temperature_C</t>
  </si>
  <si>
    <t>Machine_Vibration_mm_s</t>
  </si>
  <si>
    <t>Energy_Consumption_kWh</t>
  </si>
  <si>
    <t>Raw_Material_Cost</t>
  </si>
  <si>
    <t>Labour_Hours</t>
  </si>
  <si>
    <t>Maintenance_Status</t>
  </si>
  <si>
    <t>Maintenance_Days_Ago</t>
  </si>
  <si>
    <t>Revenue</t>
  </si>
  <si>
    <t>Quality_Score</t>
  </si>
  <si>
    <t>Production_Cost</t>
  </si>
  <si>
    <t>Scrap_Cost</t>
  </si>
  <si>
    <t>Planned_Production_Time_Min</t>
  </si>
  <si>
    <t>Availability</t>
  </si>
  <si>
    <t>Profit</t>
  </si>
  <si>
    <t>Production_Achievement_%</t>
  </si>
  <si>
    <t>Defect_Rate_%</t>
  </si>
  <si>
    <t>Scrap_Rate_%</t>
  </si>
  <si>
    <t>Good_Rate_%</t>
  </si>
  <si>
    <t>Downtime_Hours</t>
  </si>
  <si>
    <t>Operating_Time_Min</t>
  </si>
  <si>
    <t>Actual_Production_Rate</t>
  </si>
  <si>
    <t>Ideal_Production_Rate</t>
  </si>
  <si>
    <t>Performance_%</t>
  </si>
  <si>
    <t>Quality_%</t>
  </si>
  <si>
    <t>OEE_%</t>
  </si>
  <si>
    <t>Cost_Per_Unit</t>
  </si>
  <si>
    <t>Profit_Per_Unit</t>
  </si>
  <si>
    <t>Maintenance_Risk</t>
  </si>
  <si>
    <t>Anomaly_Flag</t>
  </si>
  <si>
    <t>Plant A</t>
  </si>
  <si>
    <t>Line 1</t>
  </si>
  <si>
    <t>M103</t>
  </si>
  <si>
    <t>Morning</t>
  </si>
  <si>
    <t>Product A</t>
  </si>
  <si>
    <t>B260613-0001</t>
  </si>
  <si>
    <t>OP107</t>
  </si>
  <si>
    <t>Machine Breakdown</t>
  </si>
  <si>
    <t>Completed</t>
  </si>
  <si>
    <t>M102</t>
  </si>
  <si>
    <t>Product D</t>
  </si>
  <si>
    <t>B260328-0002</t>
  </si>
  <si>
    <t>OP117</t>
  </si>
  <si>
    <t>No Downtime</t>
  </si>
  <si>
    <t>Line 4</t>
  </si>
  <si>
    <t>M402</t>
  </si>
  <si>
    <t>Evening</t>
  </si>
  <si>
    <t>B260301-0003</t>
  </si>
  <si>
    <t>OP111</t>
  </si>
  <si>
    <t>Scheduled</t>
  </si>
  <si>
    <t>Plant B</t>
  </si>
  <si>
    <t>Product E</t>
  </si>
  <si>
    <t>B260109-0004</t>
  </si>
  <si>
    <t>OP121</t>
  </si>
  <si>
    <t>Overdue</t>
  </si>
  <si>
    <t>M101</t>
  </si>
  <si>
    <t>B260124-0005</t>
  </si>
  <si>
    <t>OP128</t>
  </si>
  <si>
    <t>Material Shortage</t>
  </si>
  <si>
    <t>Line 5</t>
  </si>
  <si>
    <t>M501</t>
  </si>
  <si>
    <t>Night</t>
  </si>
  <si>
    <t>Product B</t>
  </si>
  <si>
    <t>B260509-0006</t>
  </si>
  <si>
    <t>OP133</t>
  </si>
  <si>
    <t>Operator Issue</t>
  </si>
  <si>
    <t>B260122-0007</t>
  </si>
  <si>
    <t>OP131</t>
  </si>
  <si>
    <t>B260226-0008</t>
  </si>
  <si>
    <t>OP103</t>
  </si>
  <si>
    <t>B260615-0009</t>
  </si>
  <si>
    <t>M401</t>
  </si>
  <si>
    <t>B260504-0010</t>
  </si>
  <si>
    <t>OP125</t>
  </si>
  <si>
    <t>Quality Inspection</t>
  </si>
  <si>
    <t>B260503-0011</t>
  </si>
  <si>
    <t>OP105</t>
  </si>
  <si>
    <t>Tool Change</t>
  </si>
  <si>
    <t>M403</t>
  </si>
  <si>
    <t>B260119-0012</t>
  </si>
  <si>
    <t>Setup Time</t>
  </si>
  <si>
    <t>Line 2</t>
  </si>
  <si>
    <t>M202</t>
  </si>
  <si>
    <t>B260619-0013</t>
  </si>
  <si>
    <t>OP110</t>
  </si>
  <si>
    <t>Preventive Maintenance</t>
  </si>
  <si>
    <t>B260630-0014</t>
  </si>
  <si>
    <t>Power Failure</t>
  </si>
  <si>
    <t>M201</t>
  </si>
  <si>
    <t>B260608-0015</t>
  </si>
  <si>
    <t>OP127</t>
  </si>
  <si>
    <t>B260227-0016</t>
  </si>
  <si>
    <t>OP118</t>
  </si>
  <si>
    <t>Pending</t>
  </si>
  <si>
    <t>B260605-0017</t>
  </si>
  <si>
    <t>B260628-0018</t>
  </si>
  <si>
    <t>M503</t>
  </si>
  <si>
    <t>B260122-0019</t>
  </si>
  <si>
    <t>OP116</t>
  </si>
  <si>
    <t>B260128-0020</t>
  </si>
  <si>
    <t>OP130</t>
  </si>
  <si>
    <t>B260210-0021</t>
  </si>
  <si>
    <t>M502</t>
  </si>
  <si>
    <t>B260410-0022</t>
  </si>
  <si>
    <t>OP120</t>
  </si>
  <si>
    <t>B260609-0023</t>
  </si>
  <si>
    <t>B260616-0024</t>
  </si>
  <si>
    <t>Product C</t>
  </si>
  <si>
    <t>B260412-0025</t>
  </si>
  <si>
    <t>M203</t>
  </si>
  <si>
    <t>B260209-0026</t>
  </si>
  <si>
    <t>OP135</t>
  </si>
  <si>
    <t>Line 3</t>
  </si>
  <si>
    <t>M303</t>
  </si>
  <si>
    <t>B260308-0027</t>
  </si>
  <si>
    <t>OP101</t>
  </si>
  <si>
    <t>B260219-0028</t>
  </si>
  <si>
    <t>OP112</t>
  </si>
  <si>
    <t>B260522-0029</t>
  </si>
  <si>
    <t>B260602-0030</t>
  </si>
  <si>
    <t>B260314-0031</t>
  </si>
  <si>
    <t>OP113</t>
  </si>
  <si>
    <t>B260603-0032</t>
  </si>
  <si>
    <t>OP106</t>
  </si>
  <si>
    <t>B260506-0033</t>
  </si>
  <si>
    <t>B260403-0034</t>
  </si>
  <si>
    <t>OP119</t>
  </si>
  <si>
    <t>B260316-0035</t>
  </si>
  <si>
    <t>B260504-0036</t>
  </si>
  <si>
    <t>B260427-0037</t>
  </si>
  <si>
    <t>B260228-0038</t>
  </si>
  <si>
    <t>B260508-0039</t>
  </si>
  <si>
    <t>B260317-0040</t>
  </si>
  <si>
    <t>OP104</t>
  </si>
  <si>
    <t>M302</t>
  </si>
  <si>
    <t>B260610-0041</t>
  </si>
  <si>
    <t>OP109</t>
  </si>
  <si>
    <t>B260120-0042</t>
  </si>
  <si>
    <t>OP124</t>
  </si>
  <si>
    <t>B260117-0043</t>
  </si>
  <si>
    <t>B260625-0044</t>
  </si>
  <si>
    <t>B260301-0045</t>
  </si>
  <si>
    <t>B260226-0046</t>
  </si>
  <si>
    <t>B260421-0047</t>
  </si>
  <si>
    <t>OP114</t>
  </si>
  <si>
    <t>B260523-0048</t>
  </si>
  <si>
    <t>B260313-0049</t>
  </si>
  <si>
    <t>OP102</t>
  </si>
  <si>
    <t>B260325-0050</t>
  </si>
  <si>
    <t>B260115-0051</t>
  </si>
  <si>
    <t>M301</t>
  </si>
  <si>
    <t>B260613-0052</t>
  </si>
  <si>
    <t>B260612-0053</t>
  </si>
  <si>
    <t>OP123</t>
  </si>
  <si>
    <t>B260610-0054</t>
  </si>
  <si>
    <t>B260111-0055</t>
  </si>
  <si>
    <t>B260114-0056</t>
  </si>
  <si>
    <t>B260407-0057</t>
  </si>
  <si>
    <t>OP134</t>
  </si>
  <si>
    <t>B260608-0058</t>
  </si>
  <si>
    <t>B260314-0059</t>
  </si>
  <si>
    <t>B260107-0060</t>
  </si>
  <si>
    <t>B260225-0061</t>
  </si>
  <si>
    <t>B260122-0062</t>
  </si>
  <si>
    <t>B260520-0063</t>
  </si>
  <si>
    <t>B260201-0064</t>
  </si>
  <si>
    <t>B260320-0065</t>
  </si>
  <si>
    <t>B260118-0066</t>
  </si>
  <si>
    <t>B260630-0067</t>
  </si>
  <si>
    <t>OP132</t>
  </si>
  <si>
    <t>B260511-0068</t>
  </si>
  <si>
    <t>B260119-0069</t>
  </si>
  <si>
    <t>B260517-0070</t>
  </si>
  <si>
    <t>B260610-0071</t>
  </si>
  <si>
    <t>OP126</t>
  </si>
  <si>
    <t>B260426-0072</t>
  </si>
  <si>
    <t>B260530-0073</t>
  </si>
  <si>
    <t>B260131-0074</t>
  </si>
  <si>
    <t>B260318-0075</t>
  </si>
  <si>
    <t>B260611-0076</t>
  </si>
  <si>
    <t>OP108</t>
  </si>
  <si>
    <t>B260214-0077</t>
  </si>
  <si>
    <t>B260330-0078</t>
  </si>
  <si>
    <t>B260326-0079</t>
  </si>
  <si>
    <t>B260110-0080</t>
  </si>
  <si>
    <t>B260615-0081</t>
  </si>
  <si>
    <t>B260308-0082</t>
  </si>
  <si>
    <t>B260501-0083</t>
  </si>
  <si>
    <t>B260512-0084</t>
  </si>
  <si>
    <t>B260615-0085</t>
  </si>
  <si>
    <t>B260209-0086</t>
  </si>
  <si>
    <t>B260528-0087</t>
  </si>
  <si>
    <t>B260415-0088</t>
  </si>
  <si>
    <t>B260218-0089</t>
  </si>
  <si>
    <t>B260303-0090</t>
  </si>
  <si>
    <t>B260417-0091</t>
  </si>
  <si>
    <t>B260120-0092</t>
  </si>
  <si>
    <t>B260509-0093</t>
  </si>
  <si>
    <t>B260502-0094</t>
  </si>
  <si>
    <t>B260525-0095</t>
  </si>
  <si>
    <t>B260604-0096</t>
  </si>
  <si>
    <t>OP129</t>
  </si>
  <si>
    <t>B260403-0097</t>
  </si>
  <si>
    <t>B260527-0098</t>
  </si>
  <si>
    <t>B260326-0099</t>
  </si>
  <si>
    <t>B260520-0100</t>
  </si>
  <si>
    <t>B260517-0101</t>
  </si>
  <si>
    <t>B260226-0102</t>
  </si>
  <si>
    <t>B260323-0103</t>
  </si>
  <si>
    <t>OP122</t>
  </si>
  <si>
    <t>B260410-0104</t>
  </si>
  <si>
    <t>B260622-0105</t>
  </si>
  <si>
    <t>B260114-0106</t>
  </si>
  <si>
    <t>B260507-0107</t>
  </si>
  <si>
    <t>B260531-0108</t>
  </si>
  <si>
    <t>B260116-0109</t>
  </si>
  <si>
    <t>B260124-0110</t>
  </si>
  <si>
    <t>B260427-0111</t>
  </si>
  <si>
    <t>B260513-0112</t>
  </si>
  <si>
    <t>B260212-0113</t>
  </si>
  <si>
    <t>B260411-0114</t>
  </si>
  <si>
    <t>B260111-0115</t>
  </si>
  <si>
    <t>B260303-0116</t>
  </si>
  <si>
    <t>B260131-0117</t>
  </si>
  <si>
    <t>B260110-0118</t>
  </si>
  <si>
    <t>B260405-0119</t>
  </si>
  <si>
    <t>B260206-0120</t>
  </si>
  <si>
    <t>B260411-0121</t>
  </si>
  <si>
    <t>B260325-0122</t>
  </si>
  <si>
    <t>B260413-0123</t>
  </si>
  <si>
    <t>B260217-0124</t>
  </si>
  <si>
    <t>B260505-0125</t>
  </si>
  <si>
    <t>B260528-0126</t>
  </si>
  <si>
    <t>B260503-0127</t>
  </si>
  <si>
    <t>B260627-0128</t>
  </si>
  <si>
    <t>B260302-0129</t>
  </si>
  <si>
    <t>B260625-0130</t>
  </si>
  <si>
    <t>B260422-0131</t>
  </si>
  <si>
    <t>B260613-0132</t>
  </si>
  <si>
    <t>B260122-0133</t>
  </si>
  <si>
    <t>B260212-0134</t>
  </si>
  <si>
    <t>B260514-0135</t>
  </si>
  <si>
    <t>B260326-0136</t>
  </si>
  <si>
    <t>B260424-0137</t>
  </si>
  <si>
    <t>B260429-0138</t>
  </si>
  <si>
    <t>B260227-0139</t>
  </si>
  <si>
    <t>B260406-0140</t>
  </si>
  <si>
    <t>B260527-0141</t>
  </si>
  <si>
    <t>B260612-0142</t>
  </si>
  <si>
    <t>B260612-0143</t>
  </si>
  <si>
    <t>B260305-0144</t>
  </si>
  <si>
    <t>B260105-0145</t>
  </si>
  <si>
    <t>B260611-0146</t>
  </si>
  <si>
    <t>B260223-0147</t>
  </si>
  <si>
    <t>B260125-0148</t>
  </si>
  <si>
    <t>B260116-0149</t>
  </si>
  <si>
    <t>B260528-0150</t>
  </si>
  <si>
    <t>B260313-0151</t>
  </si>
  <si>
    <t>B260222-0152</t>
  </si>
  <si>
    <t>B260212-0153</t>
  </si>
  <si>
    <t>B260113-0154</t>
  </si>
  <si>
    <t>B260629-0155</t>
  </si>
  <si>
    <t>B260517-0156</t>
  </si>
  <si>
    <t>B260227-0157</t>
  </si>
  <si>
    <t>B260219-0158</t>
  </si>
  <si>
    <t>B260619-0159</t>
  </si>
  <si>
    <t>B260130-0160</t>
  </si>
  <si>
    <t>B260219-0161</t>
  </si>
  <si>
    <t>B260119-0162</t>
  </si>
  <si>
    <t>OP115</t>
  </si>
  <si>
    <t>B260128-0163</t>
  </si>
  <si>
    <t>B260411-0164</t>
  </si>
  <si>
    <t>B260316-0165</t>
  </si>
  <si>
    <t>B260614-0166</t>
  </si>
  <si>
    <t>B260611-0167</t>
  </si>
  <si>
    <t>B260625-0168</t>
  </si>
  <si>
    <t>B260514-0169</t>
  </si>
  <si>
    <t>B260131-0170</t>
  </si>
  <si>
    <t>B260525-0171</t>
  </si>
  <si>
    <t>B260510-0172</t>
  </si>
  <si>
    <t>B260408-0173</t>
  </si>
  <si>
    <t>B260209-0174</t>
  </si>
  <si>
    <t>B260425-0175</t>
  </si>
  <si>
    <t>B260115-0176</t>
  </si>
  <si>
    <t>B260104-0177</t>
  </si>
  <si>
    <t>B260627-0178</t>
  </si>
  <si>
    <t>B260315-0179</t>
  </si>
  <si>
    <t>B260121-0180</t>
  </si>
  <si>
    <t>B260519-0181</t>
  </si>
  <si>
    <t>B260406-0182</t>
  </si>
  <si>
    <t>B260505-0183</t>
  </si>
  <si>
    <t>B260425-0184</t>
  </si>
  <si>
    <t>B260403-0185</t>
  </si>
  <si>
    <t>B260305-0186</t>
  </si>
  <si>
    <t>B260525-0187</t>
  </si>
  <si>
    <t>B260421-0188</t>
  </si>
  <si>
    <t>B260517-0189</t>
  </si>
  <si>
    <t>B260321-0190</t>
  </si>
  <si>
    <t>B260428-0191</t>
  </si>
  <si>
    <t>B260304-0192</t>
  </si>
  <si>
    <t>B260423-0193</t>
  </si>
  <si>
    <t>B260101-0194</t>
  </si>
  <si>
    <t>B260109-0195</t>
  </si>
  <si>
    <t>B260115-0196</t>
  </si>
  <si>
    <t>B260620-0197</t>
  </si>
  <si>
    <t>B260403-0198</t>
  </si>
  <si>
    <t>B260402-0199</t>
  </si>
  <si>
    <t>B260115-0200</t>
  </si>
  <si>
    <t>B260602-0201</t>
  </si>
  <si>
    <t>B260421-0202</t>
  </si>
  <si>
    <t>B260122-0203</t>
  </si>
  <si>
    <t>B260307-0204</t>
  </si>
  <si>
    <t>B260505-0205</t>
  </si>
  <si>
    <t>B260523-0206</t>
  </si>
  <si>
    <t>B260625-0207</t>
  </si>
  <si>
    <t>B260613-0208</t>
  </si>
  <si>
    <t>B260104-0209</t>
  </si>
  <si>
    <t>B260630-0210</t>
  </si>
  <si>
    <t>B260114-0211</t>
  </si>
  <si>
    <t>B260130-0212</t>
  </si>
  <si>
    <t>B260610-0213</t>
  </si>
  <si>
    <t>B260207-0214</t>
  </si>
  <si>
    <t>B260405-0215</t>
  </si>
  <si>
    <t>B260308-0216</t>
  </si>
  <si>
    <t>B260613-0217</t>
  </si>
  <si>
    <t>B260327-0218</t>
  </si>
  <si>
    <t>B260320-0219</t>
  </si>
  <si>
    <t>B260206-0220</t>
  </si>
  <si>
    <t>B260223-0221</t>
  </si>
  <si>
    <t>B260203-0222</t>
  </si>
  <si>
    <t>B260124-0223</t>
  </si>
  <si>
    <t>B260604-0224</t>
  </si>
  <si>
    <t>B260329-0225</t>
  </si>
  <si>
    <t>B260101-0226</t>
  </si>
  <si>
    <t>B260116-0227</t>
  </si>
  <si>
    <t>B260621-0228</t>
  </si>
  <si>
    <t>B260102-0229</t>
  </si>
  <si>
    <t>B260621-0230</t>
  </si>
  <si>
    <t>B260502-0231</t>
  </si>
  <si>
    <t>B260216-0232</t>
  </si>
  <si>
    <t>B260517-0233</t>
  </si>
  <si>
    <t>B260622-0234</t>
  </si>
  <si>
    <t>B260603-0235</t>
  </si>
  <si>
    <t>B260309-0236</t>
  </si>
  <si>
    <t>B260101-0237</t>
  </si>
  <si>
    <t>B260611-0238</t>
  </si>
  <si>
    <t>B260519-0239</t>
  </si>
  <si>
    <t>B260608-0240</t>
  </si>
  <si>
    <t>B260625-0241</t>
  </si>
  <si>
    <t>B260616-0242</t>
  </si>
  <si>
    <t>B260516-0243</t>
  </si>
  <si>
    <t>B260114-0244</t>
  </si>
  <si>
    <t>B260207-0245</t>
  </si>
  <si>
    <t>B260228-0246</t>
  </si>
  <si>
    <t>B260510-0247</t>
  </si>
  <si>
    <t>B260205-0248</t>
  </si>
  <si>
    <t>B260409-0249</t>
  </si>
  <si>
    <t>B260509-0250</t>
  </si>
  <si>
    <t>B260508-0251</t>
  </si>
  <si>
    <t>B260203-0252</t>
  </si>
  <si>
    <t>B260423-0253</t>
  </si>
  <si>
    <t>B260527-0254</t>
  </si>
  <si>
    <t>B260518-0255</t>
  </si>
  <si>
    <t>B260419-0256</t>
  </si>
  <si>
    <t>B260319-0257</t>
  </si>
  <si>
    <t>B260308-0258</t>
  </si>
  <si>
    <t>B260125-0259</t>
  </si>
  <si>
    <t>B260515-0260</t>
  </si>
  <si>
    <t>B260202-0261</t>
  </si>
  <si>
    <t>B260621-0262</t>
  </si>
  <si>
    <t>B260224-0263</t>
  </si>
  <si>
    <t>B260420-0264</t>
  </si>
  <si>
    <t>B260414-0265</t>
  </si>
  <si>
    <t>B260215-0266</t>
  </si>
  <si>
    <t>B260131-0267</t>
  </si>
  <si>
    <t>B260115-0268</t>
  </si>
  <si>
    <t>B260615-0269</t>
  </si>
  <si>
    <t>B260328-0270</t>
  </si>
  <si>
    <t>B260601-0271</t>
  </si>
  <si>
    <t>B260619-0272</t>
  </si>
  <si>
    <t>B260108-0273</t>
  </si>
  <si>
    <t>B260404-0274</t>
  </si>
  <si>
    <t>B260206-0275</t>
  </si>
  <si>
    <t>B260114-0276</t>
  </si>
  <si>
    <t>B260109-0277</t>
  </si>
  <si>
    <t>B260413-0278</t>
  </si>
  <si>
    <t>B260527-0279</t>
  </si>
  <si>
    <t>B260227-0280</t>
  </si>
  <si>
    <t>B260204-0281</t>
  </si>
  <si>
    <t>B260524-0282</t>
  </si>
  <si>
    <t>B260309-0283</t>
  </si>
  <si>
    <t>B260507-0284</t>
  </si>
  <si>
    <t>B260314-0285</t>
  </si>
  <si>
    <t>B260614-0286</t>
  </si>
  <si>
    <t>B260321-0287</t>
  </si>
  <si>
    <t>B260503-0288</t>
  </si>
  <si>
    <t>B260619-0289</t>
  </si>
  <si>
    <t>B260104-0290</t>
  </si>
  <si>
    <t>B260616-0291</t>
  </si>
  <si>
    <t>B260421-0292</t>
  </si>
  <si>
    <t>B260502-0293</t>
  </si>
  <si>
    <t>B260617-0294</t>
  </si>
  <si>
    <t>B260109-0295</t>
  </si>
  <si>
    <t>B260606-0296</t>
  </si>
  <si>
    <t>B260502-0297</t>
  </si>
  <si>
    <t>B260212-0298</t>
  </si>
  <si>
    <t>B260207-0299</t>
  </si>
  <si>
    <t>B260612-0300</t>
  </si>
  <si>
    <t>B260302-0301</t>
  </si>
  <si>
    <t>B260513-0302</t>
  </si>
  <si>
    <t>B260527-0303</t>
  </si>
  <si>
    <t>B260328-0304</t>
  </si>
  <si>
    <t>B260123-0305</t>
  </si>
  <si>
    <t>B260517-0306</t>
  </si>
  <si>
    <t>B260607-0307</t>
  </si>
  <si>
    <t>B260612-0308</t>
  </si>
  <si>
    <t>B260111-0309</t>
  </si>
  <si>
    <t>B260313-0310</t>
  </si>
  <si>
    <t>B260628-0311</t>
  </si>
  <si>
    <t>B260106-0312</t>
  </si>
  <si>
    <t>B260618-0313</t>
  </si>
  <si>
    <t>B260415-0314</t>
  </si>
  <si>
    <t>B260220-0315</t>
  </si>
  <si>
    <t>B260201-0316</t>
  </si>
  <si>
    <t>B260103-0317</t>
  </si>
  <si>
    <t>B260205-0318</t>
  </si>
  <si>
    <t>B260221-0319</t>
  </si>
  <si>
    <t>B260326-0320</t>
  </si>
  <si>
    <t>B260215-0321</t>
  </si>
  <si>
    <t>B260218-0322</t>
  </si>
  <si>
    <t>B260607-0323</t>
  </si>
  <si>
    <t>B260527-0324</t>
  </si>
  <si>
    <t>B260122-0325</t>
  </si>
  <si>
    <t>B260318-0326</t>
  </si>
  <si>
    <t>B260420-0327</t>
  </si>
  <si>
    <t>B260326-0328</t>
  </si>
  <si>
    <t>B260222-0329</t>
  </si>
  <si>
    <t>B260312-0330</t>
  </si>
  <si>
    <t>B260417-0331</t>
  </si>
  <si>
    <t>B260325-0332</t>
  </si>
  <si>
    <t>B260304-0333</t>
  </si>
  <si>
    <t>B260619-0334</t>
  </si>
  <si>
    <t>B260212-0335</t>
  </si>
  <si>
    <t>B260416-0336</t>
  </si>
  <si>
    <t>B260425-0337</t>
  </si>
  <si>
    <t>B260204-0338</t>
  </si>
  <si>
    <t>B260222-0339</t>
  </si>
  <si>
    <t>B260419-0340</t>
  </si>
  <si>
    <t>B260406-0341</t>
  </si>
  <si>
    <t>B260628-0342</t>
  </si>
  <si>
    <t>B260412-0343</t>
  </si>
  <si>
    <t>B260102-0344</t>
  </si>
  <si>
    <t>B260415-0345</t>
  </si>
  <si>
    <t>B260310-0346</t>
  </si>
  <si>
    <t>B260313-0347</t>
  </si>
  <si>
    <t>B260502-0348</t>
  </si>
  <si>
    <t>B260128-0349</t>
  </si>
  <si>
    <t>B260408-0350</t>
  </si>
  <si>
    <t>B260623-0351</t>
  </si>
  <si>
    <t>B260630-0352</t>
  </si>
  <si>
    <t>B260521-0353</t>
  </si>
  <si>
    <t>B260207-0354</t>
  </si>
  <si>
    <t>B260414-0355</t>
  </si>
  <si>
    <t>B260531-0356</t>
  </si>
  <si>
    <t>B260616-0357</t>
  </si>
  <si>
    <t>B260513-0358</t>
  </si>
  <si>
    <t>B260419-0359</t>
  </si>
  <si>
    <t>B260408-0360</t>
  </si>
  <si>
    <t>B260320-0361</t>
  </si>
  <si>
    <t>B260206-0362</t>
  </si>
  <si>
    <t>B260320-0363</t>
  </si>
  <si>
    <t>B260102-0364</t>
  </si>
  <si>
    <t>B260129-0365</t>
  </si>
  <si>
    <t>B260331-0366</t>
  </si>
  <si>
    <t>B260423-0367</t>
  </si>
  <si>
    <t>B260509-0368</t>
  </si>
  <si>
    <t>B260313-0369</t>
  </si>
  <si>
    <t>B260116-0370</t>
  </si>
  <si>
    <t>B260624-0371</t>
  </si>
  <si>
    <t>B260502-0372</t>
  </si>
  <si>
    <t>B260203-0373</t>
  </si>
  <si>
    <t>B260509-0374</t>
  </si>
  <si>
    <t>B260405-0375</t>
  </si>
  <si>
    <t>B260307-0376</t>
  </si>
  <si>
    <t>B260411-0377</t>
  </si>
  <si>
    <t>B260128-0378</t>
  </si>
  <si>
    <t>B260409-0379</t>
  </si>
  <si>
    <t>B260609-0380</t>
  </si>
  <si>
    <t>B260313-0381</t>
  </si>
  <si>
    <t>B260528-0382</t>
  </si>
  <si>
    <t>B260115-0383</t>
  </si>
  <si>
    <t>B260628-0384</t>
  </si>
  <si>
    <t>B260210-0385</t>
  </si>
  <si>
    <t>B260604-0386</t>
  </si>
  <si>
    <t>B260402-0387</t>
  </si>
  <si>
    <t>B260225-0388</t>
  </si>
  <si>
    <t>B260321-0389</t>
  </si>
  <si>
    <t>B260608-0390</t>
  </si>
  <si>
    <t>B260119-0391</t>
  </si>
  <si>
    <t>B260501-0392</t>
  </si>
  <si>
    <t>B260418-0393</t>
  </si>
  <si>
    <t>B260207-0394</t>
  </si>
  <si>
    <t>B260520-0395</t>
  </si>
  <si>
    <t>B260211-0396</t>
  </si>
  <si>
    <t>B260109-0397</t>
  </si>
  <si>
    <t>B260417-0398</t>
  </si>
  <si>
    <t>B260513-0399</t>
  </si>
  <si>
    <t>B260408-0400</t>
  </si>
  <si>
    <t>B260602-0401</t>
  </si>
  <si>
    <t>B260526-0402</t>
  </si>
  <si>
    <t>B260310-0403</t>
  </si>
  <si>
    <t>B260419-0404</t>
  </si>
  <si>
    <t>B260406-0405</t>
  </si>
  <si>
    <t>B260323-0406</t>
  </si>
  <si>
    <t>B260516-0407</t>
  </si>
  <si>
    <t>B260405-0408</t>
  </si>
  <si>
    <t>B260201-0409</t>
  </si>
  <si>
    <t>B260223-0410</t>
  </si>
  <si>
    <t>B260310-0411</t>
  </si>
  <si>
    <t>B260113-0412</t>
  </si>
  <si>
    <t>B260101-0413</t>
  </si>
  <si>
    <t>B260305-0414</t>
  </si>
  <si>
    <t>B260319-0415</t>
  </si>
  <si>
    <t>B260312-0416</t>
  </si>
  <si>
    <t>B260207-0417</t>
  </si>
  <si>
    <t>B260123-0418</t>
  </si>
  <si>
    <t>B260221-0419</t>
  </si>
  <si>
    <t>B260418-0420</t>
  </si>
  <si>
    <t>B260327-0421</t>
  </si>
  <si>
    <t>B260131-0422</t>
  </si>
  <si>
    <t>B260618-0423</t>
  </si>
  <si>
    <t>B260608-0424</t>
  </si>
  <si>
    <t>B260618-0425</t>
  </si>
  <si>
    <t>B260623-0426</t>
  </si>
  <si>
    <t>B260628-0427</t>
  </si>
  <si>
    <t>B260119-0428</t>
  </si>
  <si>
    <t>B260114-0429</t>
  </si>
  <si>
    <t>B260327-0430</t>
  </si>
  <si>
    <t>B260127-0431</t>
  </si>
  <si>
    <t>B260130-0432</t>
  </si>
  <si>
    <t>B260216-0433</t>
  </si>
  <si>
    <t>B260310-0434</t>
  </si>
  <si>
    <t>B260508-0435</t>
  </si>
  <si>
    <t>B260309-0436</t>
  </si>
  <si>
    <t>B260302-0437</t>
  </si>
  <si>
    <t>B260110-0438</t>
  </si>
  <si>
    <t>B260625-0439</t>
  </si>
  <si>
    <t>B260403-0440</t>
  </si>
  <si>
    <t>B260618-0441</t>
  </si>
  <si>
    <t>B260403-0442</t>
  </si>
  <si>
    <t>B260415-0443</t>
  </si>
  <si>
    <t>B260119-0444</t>
  </si>
  <si>
    <t>B260426-0445</t>
  </si>
  <si>
    <t>B260315-0446</t>
  </si>
  <si>
    <t>B260605-0447</t>
  </si>
  <si>
    <t>B260309-0448</t>
  </si>
  <si>
    <t>B260610-0449</t>
  </si>
  <si>
    <t>B260408-0450</t>
  </si>
  <si>
    <t>B260130-0451</t>
  </si>
  <si>
    <t>B260114-0452</t>
  </si>
  <si>
    <t>B260401-0453</t>
  </si>
  <si>
    <t>B260228-0454</t>
  </si>
  <si>
    <t>B260605-0455</t>
  </si>
  <si>
    <t>B260128-0456</t>
  </si>
  <si>
    <t>B260526-0457</t>
  </si>
  <si>
    <t>B260127-0458</t>
  </si>
  <si>
    <t>B260623-0459</t>
  </si>
  <si>
    <t>B260501-0460</t>
  </si>
  <si>
    <t>B260414-0461</t>
  </si>
  <si>
    <t>B260225-0462</t>
  </si>
  <si>
    <t>B260121-0463</t>
  </si>
  <si>
    <t>B260103-0464</t>
  </si>
  <si>
    <t>B260501-0465</t>
  </si>
  <si>
    <t>B260105-0466</t>
  </si>
  <si>
    <t>B260526-0467</t>
  </si>
  <si>
    <t>B260215-0468</t>
  </si>
  <si>
    <t>B260223-0469</t>
  </si>
  <si>
    <t>B260103-0470</t>
  </si>
  <si>
    <t>B260318-0471</t>
  </si>
  <si>
    <t>B260428-0472</t>
  </si>
  <si>
    <t>B260630-0473</t>
  </si>
  <si>
    <t>B260412-0474</t>
  </si>
  <si>
    <t>B260126-0475</t>
  </si>
  <si>
    <t>B260419-0476</t>
  </si>
  <si>
    <t>B260107-0477</t>
  </si>
  <si>
    <t>B260515-0478</t>
  </si>
  <si>
    <t>B260319-0479</t>
  </si>
  <si>
    <t>B260105-0480</t>
  </si>
  <si>
    <t>B260527-0481</t>
  </si>
  <si>
    <t>B260407-0482</t>
  </si>
  <si>
    <t>B260509-0483</t>
  </si>
  <si>
    <t>B260603-0484</t>
  </si>
  <si>
    <t>B260117-0485</t>
  </si>
  <si>
    <t>B260308-0486</t>
  </si>
  <si>
    <t>B260129-0487</t>
  </si>
  <si>
    <t>B260226-0488</t>
  </si>
  <si>
    <t>B260513-0489</t>
  </si>
  <si>
    <t>B260616-0490</t>
  </si>
  <si>
    <t>B260514-0491</t>
  </si>
  <si>
    <t>B260114-0492</t>
  </si>
  <si>
    <t>B260306-0493</t>
  </si>
  <si>
    <t>B260319-0494</t>
  </si>
  <si>
    <t>B260606-0495</t>
  </si>
  <si>
    <t>B260221-0496</t>
  </si>
  <si>
    <t>B260626-0497</t>
  </si>
  <si>
    <t>B260520-0498</t>
  </si>
  <si>
    <t>B260106-0499</t>
  </si>
  <si>
    <t>B260123-0500</t>
  </si>
  <si>
    <t>B260410-0501</t>
  </si>
  <si>
    <t>B260118-0502</t>
  </si>
  <si>
    <t>B260220-0503</t>
  </si>
  <si>
    <t>B260418-0504</t>
  </si>
  <si>
    <t>B260513-0505</t>
  </si>
  <si>
    <t>B260107-0506</t>
  </si>
  <si>
    <t>B260502-0507</t>
  </si>
  <si>
    <t>B260429-0508</t>
  </si>
  <si>
    <t>B260224-0509</t>
  </si>
  <si>
    <t>B260521-0510</t>
  </si>
  <si>
    <t>B260519-0511</t>
  </si>
  <si>
    <t>B260306-0512</t>
  </si>
  <si>
    <t>B260201-0513</t>
  </si>
  <si>
    <t>B260307-0514</t>
  </si>
  <si>
    <t>B260312-0515</t>
  </si>
  <si>
    <t>B260614-0516</t>
  </si>
  <si>
    <t>B260611-0517</t>
  </si>
  <si>
    <t>B260214-0518</t>
  </si>
  <si>
    <t>B260324-0519</t>
  </si>
  <si>
    <t>B260317-0520</t>
  </si>
  <si>
    <t>B260219-0521</t>
  </si>
  <si>
    <t>B260510-0522</t>
  </si>
  <si>
    <t>B260630-0523</t>
  </si>
  <si>
    <t>B260624-0524</t>
  </si>
  <si>
    <t>B260527-0525</t>
  </si>
  <si>
    <t>B260406-0526</t>
  </si>
  <si>
    <t>B260215-0527</t>
  </si>
  <si>
    <t>B260117-0528</t>
  </si>
  <si>
    <t>B260514-0529</t>
  </si>
  <si>
    <t>B260531-0530</t>
  </si>
  <si>
    <t>B260222-0531</t>
  </si>
  <si>
    <t>B260626-0532</t>
  </si>
  <si>
    <t>B260624-0533</t>
  </si>
  <si>
    <t>B260111-0534</t>
  </si>
  <si>
    <t>B260604-0535</t>
  </si>
  <si>
    <t>B260525-0536</t>
  </si>
  <si>
    <t>B260214-0537</t>
  </si>
  <si>
    <t>B260516-0538</t>
  </si>
  <si>
    <t>B260210-0539</t>
  </si>
  <si>
    <t>B260110-0540</t>
  </si>
  <si>
    <t>B260524-0541</t>
  </si>
  <si>
    <t>B260403-0542</t>
  </si>
  <si>
    <t>B260122-0543</t>
  </si>
  <si>
    <t>B260109-0544</t>
  </si>
  <si>
    <t>B260310-0545</t>
  </si>
  <si>
    <t>B260428-0546</t>
  </si>
  <si>
    <t>B260623-0547</t>
  </si>
  <si>
    <t>B260303-0548</t>
  </si>
  <si>
    <t>B260323-0549</t>
  </si>
  <si>
    <t>B260404-0550</t>
  </si>
  <si>
    <t>B260620-0551</t>
  </si>
  <si>
    <t>B260525-0552</t>
  </si>
  <si>
    <t>B260601-0553</t>
  </si>
  <si>
    <t>B260227-0554</t>
  </si>
  <si>
    <t>B260314-0555</t>
  </si>
  <si>
    <t>B260314-0556</t>
  </si>
  <si>
    <t>B260115-0557</t>
  </si>
  <si>
    <t>B260308-0558</t>
  </si>
  <si>
    <t>B260628-0559</t>
  </si>
  <si>
    <t>B260327-0560</t>
  </si>
  <si>
    <t>B260601-0561</t>
  </si>
  <si>
    <t>B260120-0562</t>
  </si>
  <si>
    <t>B260131-0563</t>
  </si>
  <si>
    <t>B260209-0564</t>
  </si>
  <si>
    <t>B260302-0565</t>
  </si>
  <si>
    <t>B260413-0566</t>
  </si>
  <si>
    <t>B260603-0567</t>
  </si>
  <si>
    <t>B260406-0568</t>
  </si>
  <si>
    <t>B260414-0569</t>
  </si>
  <si>
    <t>B260601-0570</t>
  </si>
  <si>
    <t>B260122-0571</t>
  </si>
  <si>
    <t>B260113-0572</t>
  </si>
  <si>
    <t>B260227-0573</t>
  </si>
  <si>
    <t>B260502-0574</t>
  </si>
  <si>
    <t>B260204-0575</t>
  </si>
  <si>
    <t>B260202-0576</t>
  </si>
  <si>
    <t>B260227-0577</t>
  </si>
  <si>
    <t>B260329-0578</t>
  </si>
  <si>
    <t>B260611-0579</t>
  </si>
  <si>
    <t>B260324-0580</t>
  </si>
  <si>
    <t>B260521-0581</t>
  </si>
  <si>
    <t>B260118-0582</t>
  </si>
  <si>
    <t>B260522-0583</t>
  </si>
  <si>
    <t>B260603-0584</t>
  </si>
  <si>
    <t>B260605-0585</t>
  </si>
  <si>
    <t>B260408-0586</t>
  </si>
  <si>
    <t>B260210-0587</t>
  </si>
  <si>
    <t>B260419-0588</t>
  </si>
  <si>
    <t>B260509-0589</t>
  </si>
  <si>
    <t>B260412-0590</t>
  </si>
  <si>
    <t>B260406-0591</t>
  </si>
  <si>
    <t>B260207-0592</t>
  </si>
  <si>
    <t>B260116-0593</t>
  </si>
  <si>
    <t>B260407-0594</t>
  </si>
  <si>
    <t>B260117-0595</t>
  </si>
  <si>
    <t>B260209-0596</t>
  </si>
  <si>
    <t>B260209-0597</t>
  </si>
  <si>
    <t>B260412-0598</t>
  </si>
  <si>
    <t>B260215-0599</t>
  </si>
  <si>
    <t>B260314-0600</t>
  </si>
  <si>
    <t>B260321-0601</t>
  </si>
  <si>
    <t>B260223-0602</t>
  </si>
  <si>
    <t>B260526-0603</t>
  </si>
  <si>
    <t>B260224-0604</t>
  </si>
  <si>
    <t>B260605-0605</t>
  </si>
  <si>
    <t>B260603-0606</t>
  </si>
  <si>
    <t>B260316-0607</t>
  </si>
  <si>
    <t>B260201-0608</t>
  </si>
  <si>
    <t>B260219-0609</t>
  </si>
  <si>
    <t>B260111-0610</t>
  </si>
  <si>
    <t>B260109-0611</t>
  </si>
  <si>
    <t>B260124-0612</t>
  </si>
  <si>
    <t>B260626-0613</t>
  </si>
  <si>
    <t>B260121-0614</t>
  </si>
  <si>
    <t>B260507-0615</t>
  </si>
  <si>
    <t>B260614-0616</t>
  </si>
  <si>
    <t>B260405-0617</t>
  </si>
  <si>
    <t>B260416-0618</t>
  </si>
  <si>
    <t>B260302-0619</t>
  </si>
  <si>
    <t>B260528-0620</t>
  </si>
  <si>
    <t>B260525-0621</t>
  </si>
  <si>
    <t>B260521-0622</t>
  </si>
  <si>
    <t>B260303-0623</t>
  </si>
  <si>
    <t>B260312-0624</t>
  </si>
  <si>
    <t>B260210-0625</t>
  </si>
  <si>
    <t>B260210-0626</t>
  </si>
  <si>
    <t>B260629-0627</t>
  </si>
  <si>
    <t>B260222-0628</t>
  </si>
  <si>
    <t>B260613-0629</t>
  </si>
  <si>
    <t>B260621-0630</t>
  </si>
  <si>
    <t>B260513-0631</t>
  </si>
  <si>
    <t>B260608-0632</t>
  </si>
  <si>
    <t>B260502-0633</t>
  </si>
  <si>
    <t>B260516-0634</t>
  </si>
  <si>
    <t>B260317-0635</t>
  </si>
  <si>
    <t>B260622-0636</t>
  </si>
  <si>
    <t>B260430-0637</t>
  </si>
  <si>
    <t>B260522-0638</t>
  </si>
  <si>
    <t>B260417-0639</t>
  </si>
  <si>
    <t>B260210-0640</t>
  </si>
  <si>
    <t>B260412-0641</t>
  </si>
  <si>
    <t>B260224-0642</t>
  </si>
  <si>
    <t>B260522-0643</t>
  </si>
  <si>
    <t>B260316-0644</t>
  </si>
  <si>
    <t>B260623-0645</t>
  </si>
  <si>
    <t>B260206-0646</t>
  </si>
  <si>
    <t>B260621-0647</t>
  </si>
  <si>
    <t>B260124-0648</t>
  </si>
  <si>
    <t>B260321-0649</t>
  </si>
  <si>
    <t>B260117-0650</t>
  </si>
  <si>
    <t>B260423-0651</t>
  </si>
  <si>
    <t>B260412-0652</t>
  </si>
  <si>
    <t>B260101-0653</t>
  </si>
  <si>
    <t>B260125-0654</t>
  </si>
  <si>
    <t>B260216-0655</t>
  </si>
  <si>
    <t>B260228-0656</t>
  </si>
  <si>
    <t>B260213-0657</t>
  </si>
  <si>
    <t>B260111-0658</t>
  </si>
  <si>
    <t>B260203-0659</t>
  </si>
  <si>
    <t>B260426-0660</t>
  </si>
  <si>
    <t>B260323-0661</t>
  </si>
  <si>
    <t>B260306-0662</t>
  </si>
  <si>
    <t>B260414-0663</t>
  </si>
  <si>
    <t>B260510-0664</t>
  </si>
  <si>
    <t>B260528-0665</t>
  </si>
  <si>
    <t>B260515-0666</t>
  </si>
  <si>
    <t>B260604-0667</t>
  </si>
  <si>
    <t>B260511-0668</t>
  </si>
  <si>
    <t>B260531-0669</t>
  </si>
  <si>
    <t>B260206-0670</t>
  </si>
  <si>
    <t>B260128-0671</t>
  </si>
  <si>
    <t>B260331-0672</t>
  </si>
  <si>
    <t>B260423-0673</t>
  </si>
  <si>
    <t>B260325-0674</t>
  </si>
  <si>
    <t>B260316-0675</t>
  </si>
  <si>
    <t>B260325-0676</t>
  </si>
  <si>
    <t>B260625-0677</t>
  </si>
  <si>
    <t>B260410-0678</t>
  </si>
  <si>
    <t>B260511-0679</t>
  </si>
  <si>
    <t>B260130-0680</t>
  </si>
  <si>
    <t>B260518-0681</t>
  </si>
  <si>
    <t>B260601-0682</t>
  </si>
  <si>
    <t>B260404-0683</t>
  </si>
  <si>
    <t>B260616-0684</t>
  </si>
  <si>
    <t>B260601-0685</t>
  </si>
  <si>
    <t>B260124-0686</t>
  </si>
  <si>
    <t>B260121-0687</t>
  </si>
  <si>
    <t>B260221-0688</t>
  </si>
  <si>
    <t>B260130-0689</t>
  </si>
  <si>
    <t>B260111-0690</t>
  </si>
  <si>
    <t>B260408-0691</t>
  </si>
  <si>
    <t>B260421-0692</t>
  </si>
  <si>
    <t>B260607-0693</t>
  </si>
  <si>
    <t>B260301-0694</t>
  </si>
  <si>
    <t>B260622-0695</t>
  </si>
  <si>
    <t>B260522-0696</t>
  </si>
  <si>
    <t>B260520-0697</t>
  </si>
  <si>
    <t>B260422-0698</t>
  </si>
  <si>
    <t>B260222-0699</t>
  </si>
  <si>
    <t>B260219-0700</t>
  </si>
  <si>
    <t>B260429-0701</t>
  </si>
  <si>
    <t>B260408-0702</t>
  </si>
  <si>
    <t>B260624-0703</t>
  </si>
  <si>
    <t>B260407-0704</t>
  </si>
  <si>
    <t>B260304-0705</t>
  </si>
  <si>
    <t>B260503-0706</t>
  </si>
  <si>
    <t>B260128-0707</t>
  </si>
  <si>
    <t>B260212-0708</t>
  </si>
  <si>
    <t>B260509-0709</t>
  </si>
  <si>
    <t>B260506-0710</t>
  </si>
  <si>
    <t>B260118-0711</t>
  </si>
  <si>
    <t>B260510-0712</t>
  </si>
  <si>
    <t>B260625-0713</t>
  </si>
  <si>
    <t>B260426-0714</t>
  </si>
  <si>
    <t>B260210-0715</t>
  </si>
  <si>
    <t>B260201-0716</t>
  </si>
  <si>
    <t>B260219-0717</t>
  </si>
  <si>
    <t>B260421-0718</t>
  </si>
  <si>
    <t>B260514-0719</t>
  </si>
  <si>
    <t>B260420-0720</t>
  </si>
  <si>
    <t>B260102-0721</t>
  </si>
  <si>
    <t>B260205-0722</t>
  </si>
  <si>
    <t>B260422-0723</t>
  </si>
  <si>
    <t>B260524-0724</t>
  </si>
  <si>
    <t>B260116-0725</t>
  </si>
  <si>
    <t>B260322-0726</t>
  </si>
  <si>
    <t>B260501-0727</t>
  </si>
  <si>
    <t>B260403-0728</t>
  </si>
  <si>
    <t>B260611-0729</t>
  </si>
  <si>
    <t>B260611-0730</t>
  </si>
  <si>
    <t>B260414-0731</t>
  </si>
  <si>
    <t>B260216-0732</t>
  </si>
  <si>
    <t>B260113-0733</t>
  </si>
  <si>
    <t>B260617-0734</t>
  </si>
  <si>
    <t>B260521-0735</t>
  </si>
  <si>
    <t>B260327-0736</t>
  </si>
  <si>
    <t>B260326-0737</t>
  </si>
  <si>
    <t>B260327-0738</t>
  </si>
  <si>
    <t>B260429-0739</t>
  </si>
  <si>
    <t>B260404-0740</t>
  </si>
  <si>
    <t>B260302-0741</t>
  </si>
  <si>
    <t>B260518-0742</t>
  </si>
  <si>
    <t>B260610-0743</t>
  </si>
  <si>
    <t>B260412-0744</t>
  </si>
  <si>
    <t>B260501-0745</t>
  </si>
  <si>
    <t>B260405-0746</t>
  </si>
  <si>
    <t>B260320-0747</t>
  </si>
  <si>
    <t>B260512-0748</t>
  </si>
  <si>
    <t>B260314-0749</t>
  </si>
  <si>
    <t>B260427-0750</t>
  </si>
  <si>
    <t>B260329-0751</t>
  </si>
  <si>
    <t>B260312-0752</t>
  </si>
  <si>
    <t>B260115-0753</t>
  </si>
  <si>
    <t>B260618-0754</t>
  </si>
  <si>
    <t>B260424-0755</t>
  </si>
  <si>
    <t>B260107-0756</t>
  </si>
  <si>
    <t>B260212-0757</t>
  </si>
  <si>
    <t>B260213-0758</t>
  </si>
  <si>
    <t>B260428-0759</t>
  </si>
  <si>
    <t>B260507-0760</t>
  </si>
  <si>
    <t>B260625-0761</t>
  </si>
  <si>
    <t>B260127-0762</t>
  </si>
  <si>
    <t>B260312-0763</t>
  </si>
  <si>
    <t>B260508-0764</t>
  </si>
  <si>
    <t>B260414-0765</t>
  </si>
  <si>
    <t>B260401-0766</t>
  </si>
  <si>
    <t>B260505-0767</t>
  </si>
  <si>
    <t>B260420-0768</t>
  </si>
  <si>
    <t>B260222-0769</t>
  </si>
  <si>
    <t>B260316-0770</t>
  </si>
  <si>
    <t>B260326-0771</t>
  </si>
  <si>
    <t>B260416-0772</t>
  </si>
  <si>
    <t>B260429-0773</t>
  </si>
  <si>
    <t>B260122-0774</t>
  </si>
  <si>
    <t>B260627-0775</t>
  </si>
  <si>
    <t>B260404-0776</t>
  </si>
  <si>
    <t>B260225-0777</t>
  </si>
  <si>
    <t>B260223-0778</t>
  </si>
  <si>
    <t>B260211-0779</t>
  </si>
  <si>
    <t>B260403-0780</t>
  </si>
  <si>
    <t>B260218-0781</t>
  </si>
  <si>
    <t>B260110-0782</t>
  </si>
  <si>
    <t>B260208-0783</t>
  </si>
  <si>
    <t>B260429-0784</t>
  </si>
  <si>
    <t>B260301-0785</t>
  </si>
  <si>
    <t>B260416-0786</t>
  </si>
  <si>
    <t>B260615-0787</t>
  </si>
  <si>
    <t>B260209-0788</t>
  </si>
  <si>
    <t>B260613-0789</t>
  </si>
  <si>
    <t>B260314-0790</t>
  </si>
  <si>
    <t>B260211-0791</t>
  </si>
  <si>
    <t>B260516-0792</t>
  </si>
  <si>
    <t>B260222-0793</t>
  </si>
  <si>
    <t>B260227-0794</t>
  </si>
  <si>
    <t>B260611-0795</t>
  </si>
  <si>
    <t>B260619-0796</t>
  </si>
  <si>
    <t>B260325-0797</t>
  </si>
  <si>
    <t>B260320-0798</t>
  </si>
  <si>
    <t>B260604-0799</t>
  </si>
  <si>
    <t>B260218-0800</t>
  </si>
  <si>
    <t>B260623-0801</t>
  </si>
  <si>
    <t>B260131-0802</t>
  </si>
  <si>
    <t>B260413-0803</t>
  </si>
  <si>
    <t>B260320-0804</t>
  </si>
  <si>
    <t>B260602-0805</t>
  </si>
  <si>
    <t>B260213-0806</t>
  </si>
  <si>
    <t>B260320-0807</t>
  </si>
  <si>
    <t>B260506-0808</t>
  </si>
  <si>
    <t>B260103-0809</t>
  </si>
  <si>
    <t>B260503-0810</t>
  </si>
  <si>
    <t>B260602-0811</t>
  </si>
  <si>
    <t>B260428-0812</t>
  </si>
  <si>
    <t>B260611-0813</t>
  </si>
  <si>
    <t>B260225-0814</t>
  </si>
  <si>
    <t>B260611-0815</t>
  </si>
  <si>
    <t>B260412-0816</t>
  </si>
  <si>
    <t>B260509-0817</t>
  </si>
  <si>
    <t>B260608-0818</t>
  </si>
  <si>
    <t>B260623-0819</t>
  </si>
  <si>
    <t>B260324-0820</t>
  </si>
  <si>
    <t>B260529-0821</t>
  </si>
  <si>
    <t>B260331-0822</t>
  </si>
  <si>
    <t>B260109-0823</t>
  </si>
  <si>
    <t>B260219-0824</t>
  </si>
  <si>
    <t>B260626-0825</t>
  </si>
  <si>
    <t>B260410-0826</t>
  </si>
  <si>
    <t>B260520-0827</t>
  </si>
  <si>
    <t>B260525-0828</t>
  </si>
  <si>
    <t>B260313-0829</t>
  </si>
  <si>
    <t>B260311-0830</t>
  </si>
  <si>
    <t>B260623-0831</t>
  </si>
  <si>
    <t>B260503-0832</t>
  </si>
  <si>
    <t>B260422-0833</t>
  </si>
  <si>
    <t>B260207-0834</t>
  </si>
  <si>
    <t>B260101-0835</t>
  </si>
  <si>
    <t>B260328-0836</t>
  </si>
  <si>
    <t>B260514-0837</t>
  </si>
  <si>
    <t>B260605-0838</t>
  </si>
  <si>
    <t>B260516-0839</t>
  </si>
  <si>
    <t>B260625-0840</t>
  </si>
  <si>
    <t>B260123-0841</t>
  </si>
  <si>
    <t>B260320-0842</t>
  </si>
  <si>
    <t>B260506-0843</t>
  </si>
  <si>
    <t>B260415-0844</t>
  </si>
  <si>
    <t>B260320-0845</t>
  </si>
  <si>
    <t>B260220-0846</t>
  </si>
  <si>
    <t>B260126-0847</t>
  </si>
  <si>
    <t>B260115-0848</t>
  </si>
  <si>
    <t>B260127-0849</t>
  </si>
  <si>
    <t>B260523-0850</t>
  </si>
  <si>
    <t>B260409-0851</t>
  </si>
  <si>
    <t>B260204-0852</t>
  </si>
  <si>
    <t>B260528-0853</t>
  </si>
  <si>
    <t>B260528-0854</t>
  </si>
  <si>
    <t>B260620-0855</t>
  </si>
  <si>
    <t>B260520-0856</t>
  </si>
  <si>
    <t>B260405-0857</t>
  </si>
  <si>
    <t>B260217-0858</t>
  </si>
  <si>
    <t>B260306-0859</t>
  </si>
  <si>
    <t>B260621-0860</t>
  </si>
  <si>
    <t>B260103-0861</t>
  </si>
  <si>
    <t>B260222-0862</t>
  </si>
  <si>
    <t>B260522-0863</t>
  </si>
  <si>
    <t>B260419-0864</t>
  </si>
  <si>
    <t>B260528-0865</t>
  </si>
  <si>
    <t>B260202-0866</t>
  </si>
  <si>
    <t>B260614-0867</t>
  </si>
  <si>
    <t>B260120-0868</t>
  </si>
  <si>
    <t>B260608-0869</t>
  </si>
  <si>
    <t>B260525-0870</t>
  </si>
  <si>
    <t>B260428-0871</t>
  </si>
  <si>
    <t>B260502-0872</t>
  </si>
  <si>
    <t>B260630-0873</t>
  </si>
  <si>
    <t>B260203-0874</t>
  </si>
  <si>
    <t>B260531-0875</t>
  </si>
  <si>
    <t>B260503-0876</t>
  </si>
  <si>
    <t>B260517-0877</t>
  </si>
  <si>
    <t>B260415-0878</t>
  </si>
  <si>
    <t>B260211-0879</t>
  </si>
  <si>
    <t>B260103-0880</t>
  </si>
  <si>
    <t>B260221-0881</t>
  </si>
  <si>
    <t>B260502-0882</t>
  </si>
  <si>
    <t>B260220-0883</t>
  </si>
  <si>
    <t>B260328-0884</t>
  </si>
  <si>
    <t>B260510-0885</t>
  </si>
  <si>
    <t>B260123-0886</t>
  </si>
  <si>
    <t>B260109-0887</t>
  </si>
  <si>
    <t>B260121-0888</t>
  </si>
  <si>
    <t>B260322-0889</t>
  </si>
  <si>
    <t>B260623-0890</t>
  </si>
  <si>
    <t>B260102-0891</t>
  </si>
  <si>
    <t>B260218-0892</t>
  </si>
  <si>
    <t>B260102-0893</t>
  </si>
  <si>
    <t>B260130-0894</t>
  </si>
  <si>
    <t>B260317-0895</t>
  </si>
  <si>
    <t>B260411-0896</t>
  </si>
  <si>
    <t>B260327-0897</t>
  </si>
  <si>
    <t>B260407-0898</t>
  </si>
  <si>
    <t>B260413-0899</t>
  </si>
  <si>
    <t>B260505-0900</t>
  </si>
  <si>
    <t>B260209-0901</t>
  </si>
  <si>
    <t>B260603-0902</t>
  </si>
  <si>
    <t>B260119-0903</t>
  </si>
  <si>
    <t>B260115-0904</t>
  </si>
  <si>
    <t>B260413-0905</t>
  </si>
  <si>
    <t>B260323-0906</t>
  </si>
  <si>
    <t>B260530-0907</t>
  </si>
  <si>
    <t>B260117-0908</t>
  </si>
  <si>
    <t>B260119-0909</t>
  </si>
  <si>
    <t>B260104-0910</t>
  </si>
  <si>
    <t>B260413-0911</t>
  </si>
  <si>
    <t>B260509-0912</t>
  </si>
  <si>
    <t>B260410-0913</t>
  </si>
  <si>
    <t>B260404-0914</t>
  </si>
  <si>
    <t>B260410-0915</t>
  </si>
  <si>
    <t>B260412-0916</t>
  </si>
  <si>
    <t>B260106-0917</t>
  </si>
  <si>
    <t>B260307-0918</t>
  </si>
  <si>
    <t>B260210-0919</t>
  </si>
  <si>
    <t>B260117-0920</t>
  </si>
  <si>
    <t>B260526-0921</t>
  </si>
  <si>
    <t>B260414-0922</t>
  </si>
  <si>
    <t>B260123-0923</t>
  </si>
  <si>
    <t>B260303-0924</t>
  </si>
  <si>
    <t>B260607-0925</t>
  </si>
  <si>
    <t>B260605-0926</t>
  </si>
  <si>
    <t>B260109-0927</t>
  </si>
  <si>
    <t>B260105-0928</t>
  </si>
  <si>
    <t>B260309-0929</t>
  </si>
  <si>
    <t>B260314-0930</t>
  </si>
  <si>
    <t>B260328-0931</t>
  </si>
  <si>
    <t>B260515-0932</t>
  </si>
  <si>
    <t>B260603-0933</t>
  </si>
  <si>
    <t>B260203-0934</t>
  </si>
  <si>
    <t>B260409-0935</t>
  </si>
  <si>
    <t>B260301-0936</t>
  </si>
  <si>
    <t>B260313-0937</t>
  </si>
  <si>
    <t>B260222-0938</t>
  </si>
  <si>
    <t>B260207-0939</t>
  </si>
  <si>
    <t>B260118-0940</t>
  </si>
  <si>
    <t>B260428-0941</t>
  </si>
  <si>
    <t>B260403-0942</t>
  </si>
  <si>
    <t>B260311-0943</t>
  </si>
  <si>
    <t>B260117-0944</t>
  </si>
  <si>
    <t>B260601-0945</t>
  </si>
  <si>
    <t>B260102-0946</t>
  </si>
  <si>
    <t>B260427-0947</t>
  </si>
  <si>
    <t>B260111-0948</t>
  </si>
  <si>
    <t>B260114-0949</t>
  </si>
  <si>
    <t>B260610-0950</t>
  </si>
  <si>
    <t>B260131-0951</t>
  </si>
  <si>
    <t>B260406-0952</t>
  </si>
  <si>
    <t>B260606-0953</t>
  </si>
  <si>
    <t>B260505-0954</t>
  </si>
  <si>
    <t>B260523-0955</t>
  </si>
  <si>
    <t>B260223-0956</t>
  </si>
  <si>
    <t>B260403-0957</t>
  </si>
  <si>
    <t>B260309-0958</t>
  </si>
  <si>
    <t>B260301-0959</t>
  </si>
  <si>
    <t>B260507-0960</t>
  </si>
  <si>
    <t>B260104-0961</t>
  </si>
  <si>
    <t>B260414-0962</t>
  </si>
  <si>
    <t>B260120-0963</t>
  </si>
  <si>
    <t>B260223-0964</t>
  </si>
  <si>
    <t>B260102-0965</t>
  </si>
  <si>
    <t>B260414-0966</t>
  </si>
  <si>
    <t>B260323-0967</t>
  </si>
  <si>
    <t>B260418-0968</t>
  </si>
  <si>
    <t>B260120-0969</t>
  </si>
  <si>
    <t>B260504-0970</t>
  </si>
  <si>
    <t>B260317-0971</t>
  </si>
  <si>
    <t>B260608-0972</t>
  </si>
  <si>
    <t>B260227-0973</t>
  </si>
  <si>
    <t>B260520-0974</t>
  </si>
  <si>
    <t>B260604-0975</t>
  </si>
  <si>
    <t>B260116-0976</t>
  </si>
  <si>
    <t>B260316-0977</t>
  </si>
  <si>
    <t>B260607-0978</t>
  </si>
  <si>
    <t>B260328-0979</t>
  </si>
  <si>
    <t>B260115-0980</t>
  </si>
  <si>
    <t>B260404-0981</t>
  </si>
  <si>
    <t>B260519-0982</t>
  </si>
  <si>
    <t>B260219-0983</t>
  </si>
  <si>
    <t>B260212-0984</t>
  </si>
  <si>
    <t>B260327-0985</t>
  </si>
  <si>
    <t>B260429-0986</t>
  </si>
  <si>
    <t>B260217-0987</t>
  </si>
  <si>
    <t>B260227-0988</t>
  </si>
  <si>
    <t>B260103-0989</t>
  </si>
  <si>
    <t>B260508-0990</t>
  </si>
  <si>
    <t>B260422-0991</t>
  </si>
  <si>
    <t>B260202-0992</t>
  </si>
  <si>
    <t>B260122-0993</t>
  </si>
  <si>
    <t>B260330-0994</t>
  </si>
  <si>
    <t>B260621-0995</t>
  </si>
  <si>
    <t>B260304-0996</t>
  </si>
  <si>
    <t>B260405-0997</t>
  </si>
  <si>
    <t>B260223-0998</t>
  </si>
  <si>
    <t>B260316-0999</t>
  </si>
  <si>
    <t>B260420-1000</t>
  </si>
  <si>
    <t>DATA DICTIONARY</t>
  </si>
  <si>
    <t>Column</t>
  </si>
  <si>
    <t>Meaning</t>
  </si>
  <si>
    <t>Data Type</t>
  </si>
  <si>
    <t>Student Use</t>
  </si>
  <si>
    <t>Unique production record number</t>
  </si>
  <si>
    <t>Whole Number</t>
  </si>
  <si>
    <t>Record identification</t>
  </si>
  <si>
    <t>Date of production activity</t>
  </si>
  <si>
    <t>Date</t>
  </si>
  <si>
    <t>Trend and monthly analysis</t>
  </si>
  <si>
    <t>Manufacturing plant</t>
  </si>
  <si>
    <t>Category</t>
  </si>
  <si>
    <t>Plant comparison</t>
  </si>
  <si>
    <t>Production line used</t>
  </si>
  <si>
    <t>Line performance</t>
  </si>
  <si>
    <t>Machine used for production</t>
  </si>
  <si>
    <t>Machine analysis</t>
  </si>
  <si>
    <t>Production shift</t>
  </si>
  <si>
    <t>Shift comparison</t>
  </si>
  <si>
    <t>Product manufactured</t>
  </si>
  <si>
    <t>Product analysis</t>
  </si>
  <si>
    <t>Unique production batch identifier</t>
  </si>
  <si>
    <t>Text</t>
  </si>
  <si>
    <t>Batch-level analysis</t>
  </si>
  <si>
    <t>Operator responsible for the batch</t>
  </si>
  <si>
    <t>Operator comparison</t>
  </si>
  <si>
    <t>Target production quantity</t>
  </si>
  <si>
    <t>Target analysis</t>
  </si>
  <si>
    <t>Total units produced</t>
  </si>
  <si>
    <t>Production analysis</t>
  </si>
  <si>
    <t>Accepted units</t>
  </si>
  <si>
    <t>Quality analysis</t>
  </si>
  <si>
    <t>Defective units</t>
  </si>
  <si>
    <t>Defect analysis</t>
  </si>
  <si>
    <t>Units scrapped</t>
  </si>
  <si>
    <t>Scrap analysis</t>
  </si>
  <si>
    <t>Machine downtime in minutes</t>
  </si>
  <si>
    <t>Downtime analysis</t>
  </si>
  <si>
    <t>Primary downtime reason</t>
  </si>
  <si>
    <t>Root-cause analysis</t>
  </si>
  <si>
    <t>Ideal production cycle time</t>
  </si>
  <si>
    <t>Performance calculation</t>
  </si>
  <si>
    <t>Actual production cycle time</t>
  </si>
  <si>
    <t>Efficiency analysis</t>
  </si>
  <si>
    <t>Operating machine temperature</t>
  </si>
  <si>
    <t>Decimal</t>
  </si>
  <si>
    <t>AI/anomaly analysis</t>
  </si>
  <si>
    <t>Machine vibration reading</t>
  </si>
  <si>
    <t>Energy used for production event</t>
  </si>
  <si>
    <t>Energy efficiency</t>
  </si>
  <si>
    <t>Raw material cost for event</t>
  </si>
  <si>
    <t>Cost analysis</t>
  </si>
  <si>
    <t>Labour hours used</t>
  </si>
  <si>
    <t>Labour productivity</t>
  </si>
  <si>
    <t>Current maintenance condition</t>
  </si>
  <si>
    <t>Maintenance analysis</t>
  </si>
  <si>
    <t>Days since previous maintenance</t>
  </si>
  <si>
    <t>Maintenance risk</t>
  </si>
  <si>
    <t>Revenue from accepted units</t>
  </si>
  <si>
    <t>Revenue analysis</t>
  </si>
  <si>
    <t>Accepted quantity as a proportion of total produced quantity</t>
  </si>
  <si>
    <t>Percentage</t>
  </si>
  <si>
    <t>Quality/OEE analysis</t>
  </si>
  <si>
    <t>Raw material cost + labour cost + energy cost</t>
  </si>
  <si>
    <t>Currency</t>
  </si>
  <si>
    <t>Estimated raw-material cost associated with scrapped units</t>
  </si>
  <si>
    <t>Waste and loss analysis</t>
  </si>
  <si>
    <t>Planned production time based on planned quantity and ideal cycle time</t>
  </si>
  <si>
    <t>Decimal (minutes)</t>
  </si>
  <si>
    <t>Availability calculation</t>
  </si>
  <si>
    <t>Proportion of planned production time available after downtime</t>
  </si>
  <si>
    <t>OEE analysis</t>
  </si>
  <si>
    <t>Revenue minus production cost and scrap cost</t>
  </si>
  <si>
    <t>Profitability analysis</t>
  </si>
  <si>
    <t>Cost assumptions</t>
  </si>
  <si>
    <t>Labour ₹450/hour and energy ₹9/kWh are defined on Lookup_Tables</t>
  </si>
  <si>
    <t>Reference</t>
  </si>
  <si>
    <t>Use for cost calculations</t>
  </si>
  <si>
    <t>Produced Quantity / Planned Quantity</t>
  </si>
  <si>
    <t>Both</t>
  </si>
  <si>
    <t>Defect Quantity / Produced Quantity</t>
  </si>
  <si>
    <t>Student 2</t>
  </si>
  <si>
    <t>Scrap Quantity / Produced Quantity</t>
  </si>
  <si>
    <t>Good Quantity / Produced Quantity</t>
  </si>
  <si>
    <t>Downtime Minutes / 60</t>
  </si>
  <si>
    <t>Number</t>
  </si>
  <si>
    <t>Student 1</t>
  </si>
  <si>
    <t>Planned Production Time - Downtime</t>
  </si>
  <si>
    <t>Produced Quantity / Operating Time</t>
  </si>
  <si>
    <t>Units/min</t>
  </si>
  <si>
    <t>60 / Ideal Cycle Time</t>
  </si>
  <si>
    <t>Actual Production Rate / Ideal Production Rate</t>
  </si>
  <si>
    <t>Availability × Performance × Quality</t>
  </si>
  <si>
    <t>Production Cost / Produced Quantity</t>
  </si>
  <si>
    <t>Currency/unit</t>
  </si>
  <si>
    <t>Profit / Produced Quantity</t>
  </si>
  <si>
    <t>Rule-based risk using maintenance delay, downtime and machine condition</t>
  </si>
  <si>
    <t>Threshold-based Normal / Warning / Critical</t>
  </si>
  <si>
    <t>LOOKUPS &amp; THRESHOLDS</t>
  </si>
  <si>
    <t>Labour_Cost_per_Hour</t>
  </si>
  <si>
    <t>Energy_Cost_per_kWh</t>
  </si>
  <si>
    <t>INR</t>
  </si>
  <si>
    <t>Threshold</t>
  </si>
  <si>
    <t>Value</t>
  </si>
  <si>
    <t>High downtime (min)</t>
  </si>
  <si>
    <t>Medium downtime (min)</t>
  </si>
  <si>
    <t>High temperature (°C)</t>
  </si>
  <si>
    <t>Warning temperature (°C)</t>
  </si>
  <si>
    <t>High vibration (mm/s)</t>
  </si>
  <si>
    <t>Warning vibration (mm/s)</t>
  </si>
  <si>
    <t>Critical defect rate</t>
  </si>
  <si>
    <t>Warning defect rate</t>
  </si>
  <si>
    <t>Critical OEE</t>
  </si>
  <si>
    <t>High OEE risk</t>
  </si>
  <si>
    <t>Warning OEE</t>
  </si>
  <si>
    <t>Maintenance delay (days)</t>
  </si>
  <si>
    <t>KPI CALCULATIONS &amp; MANAGEMENT ANSWERS</t>
  </si>
  <si>
    <t>KPI</t>
  </si>
  <si>
    <t>Total Production</t>
  </si>
  <si>
    <t>Production Achievement %</t>
  </si>
  <si>
    <t>OEE %</t>
  </si>
  <si>
    <t>Defect Rate %</t>
  </si>
  <si>
    <t>Scrap Cost</t>
  </si>
  <si>
    <t>Downtime Hours</t>
  </si>
  <si>
    <t>BY PRODUCTION LINE</t>
  </si>
  <si>
    <t>Group</t>
  </si>
  <si>
    <t>Production</t>
  </si>
  <si>
    <t>Achievement %</t>
  </si>
  <si>
    <t>Downtime Hrs</t>
  </si>
  <si>
    <t>BY MACHINE</t>
  </si>
  <si>
    <t>Actual Cycle Sec</t>
  </si>
  <si>
    <t>Scrap</t>
  </si>
  <si>
    <t>Maintenance Days</t>
  </si>
  <si>
    <t>Maintenance Risk High</t>
  </si>
  <si>
    <t>BY SHIFT</t>
  </si>
  <si>
    <t>BY PRODUCT</t>
  </si>
  <si>
    <t>Scrap Rate %</t>
  </si>
  <si>
    <t>BY DOWNTIME REASON</t>
  </si>
  <si>
    <t>BY MONTH</t>
  </si>
  <si>
    <t>Month</t>
  </si>
  <si>
    <t>2026-01</t>
  </si>
  <si>
    <t>2026-02</t>
  </si>
  <si>
    <t>2026-03</t>
  </si>
  <si>
    <t>2026-04</t>
  </si>
  <si>
    <t>2026-05</t>
  </si>
  <si>
    <t>2026-06</t>
  </si>
  <si>
    <t>REQUIRED ANSWERS</t>
  </si>
  <si>
    <t>1. Highest production achievement line</t>
  </si>
  <si>
    <t>2. Machine with highest downtime</t>
  </si>
  <si>
    <t>3. Best shift</t>
  </si>
  <si>
    <t>3. Shift requiring investigation</t>
  </si>
  <si>
    <t>4. Lowest OEE machine</t>
  </si>
  <si>
    <t>5. Top downtime reason</t>
  </si>
  <si>
    <t>6. Highest cycle-time machine</t>
  </si>
  <si>
    <t>7. Highest defect-rate product</t>
  </si>
  <si>
    <t>8. Machine with most scrap</t>
  </si>
  <si>
    <t>9. Shift with highest defect rate</t>
  </si>
  <si>
    <t>11. Highest-profit product</t>
  </si>
  <si>
    <t>12. Maintenance attention (High-risk records &gt;0)</t>
  </si>
  <si>
    <t>STUDENT 1 — PRODUCTION &amp; OPERATIONS</t>
  </si>
  <si>
    <t>Question</t>
  </si>
  <si>
    <t>Machine with highest downtime</t>
  </si>
  <si>
    <t>Best shift</t>
  </si>
  <si>
    <t>Shift requiring investigation</t>
  </si>
  <si>
    <t>Lowest OEE machine</t>
  </si>
  <si>
    <t>Top downtime reason</t>
  </si>
  <si>
    <t>Highest cycle-time machine</t>
  </si>
  <si>
    <t>Operational interpretation</t>
  </si>
  <si>
    <t>Line 4 has the highest average production achievement in the dataset.</t>
  </si>
  <si>
    <t>M303 has the highest total downtime and the lowest OEE; it warrants focused investigation.</t>
  </si>
  <si>
    <t>Morning has the highest average production achievement; Night has the lowest and should be investigated.</t>
  </si>
  <si>
    <t>Machine breakdown is the largest downtime category by total minutes.</t>
  </si>
  <si>
    <t>Cycle-time review should focus on machines whose actual cycle time is materially above the group average.</t>
  </si>
  <si>
    <t>Machine</t>
  </si>
  <si>
    <t>STUDENT 2 — QUALITY, COST &amp; MAINTENANCE</t>
  </si>
  <si>
    <t>Highest defect-rate product</t>
  </si>
  <si>
    <t>Machine generating most scrap</t>
  </si>
  <si>
    <t>Shift with highest defect rate</t>
  </si>
  <si>
    <t>Total scrap cost</t>
  </si>
  <si>
    <t>Highest-profit product</t>
  </si>
  <si>
    <t>High maintenance-risk records</t>
  </si>
  <si>
    <t>Quality &amp; cost interpretation</t>
  </si>
  <si>
    <t>Product E has the highest average defect rate among the five products.</t>
  </si>
  <si>
    <t>M303 generates the largest scrap quantity and also has the highest total downtime.</t>
  </si>
  <si>
    <t>Night shift has the highest average defect rate.</t>
  </si>
  <si>
    <t>Total scrap cost is material and should be tracked by line, machine and product.</t>
  </si>
  <si>
    <t>Product A has the highest total profit, closely followed by Product B.</t>
  </si>
  <si>
    <t>Maintenance risk is rule-based; High is triggered by overdue maintenance or severe operating-condition thresholds.</t>
  </si>
  <si>
    <t>Product</t>
  </si>
  <si>
    <t>AI USAGE LOG</t>
  </si>
  <si>
    <t>AI Tool</t>
  </si>
  <si>
    <t>Prompt</t>
  </si>
  <si>
    <t>Purpose</t>
  </si>
  <si>
    <t>AI Output Summary</t>
  </si>
  <si>
    <t>Excel Validation</t>
  </si>
  <si>
    <t>Final Decision</t>
  </si>
  <si>
    <t>ChatGPT</t>
  </si>
  <si>
    <t>Review manufacturing columns and suggest data-validation, calculated KPI and anomaly logic.</t>
  </si>
  <si>
    <t>Data cleaning &amp; formula creation</t>
  </si>
  <si>
    <t>Suggested checks for IDs, quantities, downtime, cycle time, quality, maintenance and derived KPIs.</t>
  </si>
  <si>
    <t>Validated against 1,000-row dataset and Excel formulas.</t>
  </si>
  <si>
    <t>Use formulas and rule-based flags; verify all outputs in Excel.</t>
  </si>
  <si>
    <t>Suggest formulas for production achievement, defect rate, scrap rate, good rate, downtime hours, performance, quality, OEE and unit economics.</t>
  </si>
  <si>
    <t>Formula creation</t>
  </si>
  <si>
    <t>Provided row-level formulas using source columns.</t>
  </si>
  <si>
    <t>Formulas placed in 01_Manufacturing_Data and recalculated in spreadsheet.</t>
  </si>
  <si>
    <t>Use formula-driven KPIs.</t>
  </si>
  <si>
    <t>Interpret unusual downtime, cycle time, temperature, vibration, defects and OEE patterns.</t>
  </si>
  <si>
    <t>Anomaly investigation</t>
  </si>
  <si>
    <t>Highlighted machines and shifts requiring investigation based on thresholds and aggregated results.</t>
  </si>
  <si>
    <t>Validated through Excel-style aggregate calculations.</t>
  </si>
  <si>
    <t>Use Maintenance_Risk and Anomaly_Flag for investigation.</t>
  </si>
  <si>
    <t>Draft management insights from calculated findings.</t>
  </si>
  <si>
    <t>Management insights</t>
  </si>
  <si>
    <t>Generated concise findings tied to production, downtime, quality, cost and profit.</t>
  </si>
  <si>
    <t>Checked against the calculated summary tables.</t>
  </si>
  <si>
    <t>Keep only dataset-supported statements.</t>
  </si>
  <si>
    <t>MANUFACTURING MANAGEMENT DASHBOARD</t>
  </si>
  <si>
    <t>TOP 5 EVIDENCE-BASED MANAGEMENT RECOMMENDATIONS</t>
  </si>
  <si>
    <t>1. Investigate M303 first: it has the highest downtime, lowest OEE, highest defect rate and highest scrap quantity among machines.</t>
  </si>
  <si>
    <t>2. Reduce machine-breakdown downtime: it is the largest downtime reason by total minutes.</t>
  </si>
  <si>
    <t>3. Investigate Night shift performance: it has the lowest production achievement and highest defect rate.</t>
  </si>
  <si>
    <t>4. Focus quality improvement on Product E: it has the highest average defect rate.</t>
  </si>
  <si>
    <t>5. Strengthen preventive maintenance follow-up for overdue/pending risk cases and review temperature/vibration outliers.</t>
  </si>
  <si>
    <t xml:space="preserve">      OEE %</t>
  </si>
  <si>
    <t xml:space="preserve">                Line</t>
  </si>
  <si>
    <t xml:space="preserve">               Machine</t>
  </si>
  <si>
    <t xml:space="preserve">    Product</t>
  </si>
  <si>
    <t xml:space="preserve">Answer </t>
  </si>
  <si>
    <t>Column1</t>
  </si>
  <si>
    <t>Column2</t>
  </si>
  <si>
    <r>
      <t xml:space="preserve">       </t>
    </r>
    <r>
      <rPr>
        <b/>
        <sz val="14"/>
        <color theme="1"/>
        <rFont val="Cambria"/>
        <family val="1"/>
      </rPr>
      <t xml:space="preserve">  Risk / Anomaly Thresholds</t>
    </r>
  </si>
  <si>
    <t>Row Labels</t>
  </si>
  <si>
    <t>Grand Total</t>
  </si>
  <si>
    <t>Sum of Scrap_Cost</t>
  </si>
  <si>
    <t>450/hr</t>
  </si>
  <si>
    <t>345 records</t>
  </si>
  <si>
    <t>10. Total Produced Quantity</t>
  </si>
  <si>
    <t>Highest production achievement line %</t>
  </si>
  <si>
    <t>345 Records</t>
  </si>
  <si>
    <t>Scrap Quantity</t>
  </si>
  <si>
    <t>Morning (98.27%)</t>
  </si>
  <si>
    <t>M303 (39.9 hours)</t>
  </si>
  <si>
    <t>Line - 4  (98.74)</t>
  </si>
  <si>
    <t>Night (85.30%)</t>
  </si>
  <si>
    <t>M303 (73.70%)</t>
  </si>
  <si>
    <t>Machine Breakdown (106.6hrs)</t>
  </si>
  <si>
    <t>M203 (53.48 secs)</t>
  </si>
  <si>
    <t xml:space="preserve">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</si>
</sst>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
    <numFmt numFmtId="166" formatCode="\₹#,##0"/>
    <numFmt numFmtId="167" formatCode="#,##0.0"/>
    <numFmt numFmtId="169" formatCode="[$-14009]dd/mm/yy;@"/>
  </numFmts>
  <fonts count="16" x14ac:knownFonts="1">
    <font>
      <sz val="11"/>
      <color theme="1"/>
      <name val="Calibri"/>
      <family val="2"/>
      <charset val="1"/>
    </font>
    <font>
      <b/>
      <sz val="11"/>
      <color rgb="FFFFFFFF"/>
      <name val="Cambria"/>
      <charset val="1"/>
    </font>
    <font>
      <b/>
      <sz val="18"/>
      <color rgb="FFFFFFFF"/>
      <name val="Cambria"/>
      <charset val="1"/>
    </font>
    <font>
      <b/>
      <sz val="14"/>
      <color rgb="FF17365D"/>
      <name val="Cambria"/>
      <charset val="1"/>
    </font>
    <font>
      <i/>
      <sz val="11"/>
      <color rgb="FF666666"/>
      <name val="Cambria"/>
      <charset val="1"/>
    </font>
    <font>
      <b/>
      <sz val="20"/>
      <color rgb="FF17365D"/>
      <name val="Cambria"/>
      <charset val="1"/>
    </font>
    <font>
      <b/>
      <sz val="14"/>
      <color rgb="FFFFFFFF"/>
      <name val="Cambria"/>
      <charset val="1"/>
    </font>
    <font>
      <i/>
      <sz val="11"/>
      <color rgb="FF666666"/>
      <name val="Cambria"/>
      <family val="1"/>
    </font>
    <font>
      <b/>
      <sz val="11"/>
      <color rgb="FFFFFFFF"/>
      <name val="Cambria"/>
      <family val="1"/>
    </font>
    <font>
      <b/>
      <sz val="11"/>
      <color theme="0"/>
      <name val="Cambria"/>
      <family val="1"/>
    </font>
    <font>
      <b/>
      <sz val="11"/>
      <color theme="0"/>
      <name val="Calibri"/>
      <family val="2"/>
    </font>
    <font>
      <b/>
      <sz val="14"/>
      <color rgb="FF17365D"/>
      <name val="Cambria"/>
      <family val="1"/>
    </font>
    <font>
      <b/>
      <sz val="14"/>
      <color theme="1"/>
      <name val="Cambria"/>
      <family val="1"/>
    </font>
    <font>
      <b/>
      <sz val="11"/>
      <color theme="1"/>
      <name val="Calibri"/>
      <family val="2"/>
      <charset val="1"/>
    </font>
    <font>
      <b/>
      <sz val="11"/>
      <color theme="1"/>
      <name val="Calibri"/>
      <family val="2"/>
    </font>
    <font>
      <b/>
      <sz val="14"/>
      <color rgb="FFFFFFFF"/>
      <name val="Cambria"/>
      <family val="1"/>
    </font>
  </fonts>
  <fills count="12">
    <fill>
      <patternFill patternType="none"/>
    </fill>
    <fill>
      <patternFill patternType="gray125"/>
    </fill>
    <fill>
      <patternFill patternType="solid">
        <fgColor rgb="FFF2F2F2"/>
        <bgColor rgb="FFEAF2F8"/>
      </patternFill>
    </fill>
    <fill>
      <patternFill patternType="solid">
        <fgColor theme="3" tint="-0.499984740745262"/>
        <bgColor rgb="FF333333"/>
      </patternFill>
    </fill>
    <fill>
      <patternFill patternType="solid">
        <fgColor theme="3" tint="-0.499984740745262"/>
        <bgColor indexed="64"/>
      </patternFill>
    </fill>
    <fill>
      <patternFill patternType="solid">
        <fgColor theme="1"/>
        <bgColor rgb="FF333333"/>
      </patternFill>
    </fill>
    <fill>
      <patternFill patternType="solid">
        <fgColor theme="1"/>
        <bgColor indexed="64"/>
      </patternFill>
    </fill>
    <fill>
      <patternFill patternType="solid">
        <fgColor theme="1" tint="0.14999847407452621"/>
        <bgColor rgb="FF333333"/>
      </patternFill>
    </fill>
    <fill>
      <patternFill patternType="solid">
        <fgColor theme="1" tint="0.14999847407452621"/>
        <bgColor indexed="64"/>
      </patternFill>
    </fill>
    <fill>
      <patternFill patternType="solid">
        <fgColor theme="0" tint="-0.499984740745262"/>
        <bgColor rgb="FFF2F2F2"/>
      </patternFill>
    </fill>
    <fill>
      <patternFill patternType="solid">
        <fgColor theme="0" tint="-0.499984740745262"/>
        <bgColor indexed="64"/>
      </patternFill>
    </fill>
    <fill>
      <patternFill patternType="solid">
        <fgColor theme="0"/>
        <bgColor rgb="FF333333"/>
      </patternFill>
    </fill>
  </fills>
  <borders count="27">
    <border>
      <left/>
      <right/>
      <top/>
      <bottom/>
      <diagonal/>
    </border>
    <border>
      <left/>
      <right/>
      <top/>
      <bottom style="thin">
        <color rgb="FFD9D9D9"/>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34">
    <xf numFmtId="0" fontId="0" fillId="0" borderId="0" xfId="0"/>
    <xf numFmtId="0" fontId="3" fillId="0" borderId="0" xfId="0" applyFont="1"/>
    <xf numFmtId="0" fontId="0" fillId="0" borderId="1" xfId="0" applyBorder="1"/>
    <xf numFmtId="0" fontId="3" fillId="0" borderId="1" xfId="0" applyFont="1" applyBorder="1"/>
    <xf numFmtId="0" fontId="0" fillId="0" borderId="0" xfId="0" applyAlignment="1">
      <alignment wrapText="1"/>
    </xf>
    <xf numFmtId="166" fontId="0" fillId="0" borderId="0" xfId="0" applyNumberFormat="1"/>
    <xf numFmtId="0" fontId="1" fillId="3" borderId="0" xfId="0" applyFont="1" applyFill="1" applyAlignment="1">
      <alignment horizontal="center"/>
    </xf>
    <xf numFmtId="0" fontId="0" fillId="4" borderId="0" xfId="0" applyFill="1"/>
    <xf numFmtId="0" fontId="0" fillId="0" borderId="2" xfId="0" applyBorder="1"/>
    <xf numFmtId="0" fontId="0" fillId="0" borderId="2" xfId="0" applyBorder="1" applyAlignment="1">
      <alignment vertical="top" wrapText="1"/>
    </xf>
    <xf numFmtId="14" fontId="0" fillId="0" borderId="0" xfId="0" applyNumberFormat="1"/>
    <xf numFmtId="0" fontId="1" fillId="5" borderId="2" xfId="0" applyFont="1" applyFill="1" applyBorder="1" applyAlignment="1">
      <alignment horizontal="center" vertical="center"/>
    </xf>
    <xf numFmtId="0" fontId="0" fillId="6" borderId="0" xfId="0" applyFill="1"/>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0" fillId="8" borderId="0" xfId="0" applyFill="1"/>
    <xf numFmtId="0" fontId="11" fillId="0" borderId="2" xfId="0" applyFont="1" applyBorder="1"/>
    <xf numFmtId="0" fontId="0" fillId="0" borderId="19" xfId="0" applyBorder="1"/>
    <xf numFmtId="0" fontId="1" fillId="5" borderId="1" xfId="0" applyFont="1" applyFill="1" applyBorder="1" applyAlignment="1">
      <alignment horizontal="center" vertical="center"/>
    </xf>
    <xf numFmtId="0" fontId="12" fillId="0" borderId="1" xfId="0" applyFont="1" applyBorder="1"/>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0" fillId="0" borderId="0" xfId="0" pivotButton="1"/>
    <xf numFmtId="0" fontId="0" fillId="0" borderId="0" xfId="0" applyAlignment="1">
      <alignment horizontal="left"/>
    </xf>
    <xf numFmtId="14" fontId="8" fillId="5" borderId="1" xfId="0" applyNumberFormat="1" applyFont="1" applyFill="1" applyBorder="1" applyAlignment="1">
      <alignment horizontal="center" vertical="center"/>
    </xf>
    <xf numFmtId="0" fontId="13" fillId="6" borderId="0" xfId="0" applyFont="1" applyFill="1"/>
    <xf numFmtId="0" fontId="13" fillId="0" borderId="0" xfId="0" applyFont="1"/>
    <xf numFmtId="14" fontId="13" fillId="0" borderId="0" xfId="0" applyNumberFormat="1" applyFont="1"/>
    <xf numFmtId="2" fontId="13" fillId="0" borderId="0" xfId="0" applyNumberFormat="1" applyFont="1"/>
    <xf numFmtId="164" fontId="13" fillId="0" borderId="0" xfId="0" applyNumberFormat="1" applyFont="1"/>
    <xf numFmtId="165" fontId="13" fillId="0" borderId="0" xfId="0" applyNumberFormat="1" applyFont="1"/>
    <xf numFmtId="0" fontId="8" fillId="5" borderId="3" xfId="0" applyFont="1" applyFill="1" applyBorder="1" applyAlignment="1">
      <alignment horizontal="center" vertical="center"/>
    </xf>
    <xf numFmtId="0" fontId="8" fillId="5" borderId="4" xfId="0" applyFont="1" applyFill="1" applyBorder="1" applyAlignment="1">
      <alignment horizontal="center" vertical="center"/>
    </xf>
    <xf numFmtId="0" fontId="8" fillId="5" borderId="5" xfId="0" applyFont="1" applyFill="1" applyBorder="1" applyAlignment="1">
      <alignment horizontal="center" vertical="center"/>
    </xf>
    <xf numFmtId="0" fontId="13" fillId="0" borderId="14" xfId="0" applyFont="1" applyBorder="1"/>
    <xf numFmtId="0" fontId="13" fillId="0" borderId="2" xfId="0" applyFont="1" applyBorder="1"/>
    <xf numFmtId="0" fontId="13" fillId="0" borderId="15" xfId="0" applyFont="1" applyBorder="1"/>
    <xf numFmtId="0" fontId="13" fillId="0" borderId="16" xfId="0" applyFont="1" applyBorder="1"/>
    <xf numFmtId="0" fontId="13" fillId="0" borderId="17" xfId="0" applyFont="1" applyBorder="1"/>
    <xf numFmtId="0" fontId="13" fillId="0" borderId="18" xfId="0" applyFont="1" applyBorder="1"/>
    <xf numFmtId="0" fontId="8" fillId="5" borderId="14" xfId="0" applyFont="1" applyFill="1" applyBorder="1" applyAlignment="1">
      <alignment horizontal="center" vertical="center"/>
    </xf>
    <xf numFmtId="0" fontId="8" fillId="5" borderId="15" xfId="0" applyFont="1" applyFill="1" applyBorder="1" applyAlignment="1">
      <alignment horizontal="center" vertical="center"/>
    </xf>
    <xf numFmtId="0" fontId="14" fillId="0" borderId="14" xfId="0" applyFont="1" applyBorder="1"/>
    <xf numFmtId="0" fontId="14" fillId="0" borderId="15" xfId="0" applyFont="1" applyBorder="1"/>
    <xf numFmtId="165" fontId="14" fillId="0" borderId="15" xfId="0" applyNumberFormat="1" applyFont="1" applyBorder="1"/>
    <xf numFmtId="0" fontId="14" fillId="0" borderId="16" xfId="0" applyFont="1" applyBorder="1"/>
    <xf numFmtId="0" fontId="14" fillId="0" borderId="18" xfId="0" applyFont="1" applyBorder="1"/>
    <xf numFmtId="0" fontId="14" fillId="0" borderId="0" xfId="0" applyFont="1"/>
    <xf numFmtId="0" fontId="14" fillId="0" borderId="1" xfId="0" applyFont="1" applyBorder="1"/>
    <xf numFmtId="4" fontId="14" fillId="0" borderId="1" xfId="0" applyNumberFormat="1" applyFont="1" applyBorder="1"/>
    <xf numFmtId="165" fontId="14" fillId="0" borderId="1" xfId="0" applyNumberFormat="1" applyFont="1" applyBorder="1"/>
    <xf numFmtId="166" fontId="14" fillId="0" borderId="1" xfId="0" applyNumberFormat="1" applyFont="1" applyBorder="1"/>
    <xf numFmtId="166" fontId="14" fillId="0" borderId="0" xfId="0" applyNumberFormat="1" applyFont="1"/>
    <xf numFmtId="165" fontId="14" fillId="0" borderId="0" xfId="0" applyNumberFormat="1" applyFont="1"/>
    <xf numFmtId="2" fontId="14" fillId="0" borderId="1" xfId="0" applyNumberFormat="1" applyFont="1" applyBorder="1"/>
    <xf numFmtId="0" fontId="13" fillId="0" borderId="1" xfId="0" applyFont="1" applyBorder="1"/>
    <xf numFmtId="165" fontId="13" fillId="0" borderId="1" xfId="0" applyNumberFormat="1" applyFont="1" applyBorder="1"/>
    <xf numFmtId="0" fontId="11" fillId="0" borderId="0" xfId="0" applyFont="1"/>
    <xf numFmtId="0" fontId="12" fillId="0" borderId="0" xfId="0" applyFont="1"/>
    <xf numFmtId="0" fontId="14" fillId="0" borderId="2" xfId="0" applyFont="1" applyBorder="1"/>
    <xf numFmtId="2" fontId="14" fillId="0" borderId="0" xfId="0" applyNumberFormat="1" applyFont="1"/>
    <xf numFmtId="166" fontId="13" fillId="0" borderId="2" xfId="0" applyNumberFormat="1" applyFont="1" applyBorder="1"/>
    <xf numFmtId="165" fontId="13" fillId="0" borderId="2" xfId="0" applyNumberFormat="1" applyFont="1" applyBorder="1"/>
    <xf numFmtId="0" fontId="8" fillId="5" borderId="0" xfId="0" applyFont="1" applyFill="1" applyAlignment="1">
      <alignment horizontal="center"/>
    </xf>
    <xf numFmtId="0" fontId="1" fillId="5" borderId="0" xfId="0" applyFont="1" applyFill="1" applyAlignment="1">
      <alignment horizontal="center"/>
    </xf>
    <xf numFmtId="0" fontId="0" fillId="10" borderId="0" xfId="0" applyFill="1"/>
    <xf numFmtId="0" fontId="9" fillId="4" borderId="3" xfId="0" applyFont="1" applyFill="1" applyBorder="1"/>
    <xf numFmtId="0" fontId="9" fillId="4" borderId="5" xfId="0" applyFont="1" applyFill="1" applyBorder="1"/>
    <xf numFmtId="165" fontId="14" fillId="0" borderId="18" xfId="0" applyNumberFormat="1" applyFont="1" applyBorder="1"/>
    <xf numFmtId="0" fontId="10" fillId="4" borderId="3" xfId="0" applyFont="1" applyFill="1" applyBorder="1"/>
    <xf numFmtId="0" fontId="10" fillId="4" borderId="5" xfId="0" applyFont="1" applyFill="1" applyBorder="1"/>
    <xf numFmtId="0" fontId="0" fillId="0" borderId="14" xfId="0" applyBorder="1" applyAlignment="1">
      <alignment vertical="top" wrapText="1"/>
    </xf>
    <xf numFmtId="0" fontId="0" fillId="0" borderId="15" xfId="0" applyBorder="1" applyAlignment="1">
      <alignment vertical="top"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2" fillId="5" borderId="0" xfId="0" applyFont="1" applyFill="1" applyAlignment="1">
      <alignment horizontal="center"/>
    </xf>
    <xf numFmtId="0" fontId="2" fillId="7" borderId="20" xfId="0" applyFont="1" applyFill="1" applyBorder="1" applyAlignment="1">
      <alignment horizontal="center"/>
    </xf>
    <xf numFmtId="0" fontId="2" fillId="7" borderId="21" xfId="0" applyFont="1" applyFill="1" applyBorder="1" applyAlignment="1">
      <alignment horizontal="center"/>
    </xf>
    <xf numFmtId="0" fontId="2" fillId="7" borderId="22" xfId="0" applyFont="1" applyFill="1" applyBorder="1" applyAlignment="1">
      <alignment horizontal="center"/>
    </xf>
    <xf numFmtId="0" fontId="0" fillId="2" borderId="9" xfId="0" applyFill="1" applyBorder="1" applyAlignment="1">
      <alignment vertical="center" wrapText="1"/>
    </xf>
    <xf numFmtId="0" fontId="0" fillId="2" borderId="0" xfId="0" applyFill="1" applyAlignment="1">
      <alignment vertical="center" wrapText="1"/>
    </xf>
    <xf numFmtId="0" fontId="15" fillId="5" borderId="0" xfId="0" applyFont="1" applyFill="1" applyAlignment="1">
      <alignment horizontal="center"/>
    </xf>
    <xf numFmtId="0" fontId="6" fillId="5" borderId="0" xfId="0" applyFont="1" applyFill="1" applyAlignment="1">
      <alignment horizontal="center"/>
    </xf>
    <xf numFmtId="0" fontId="0" fillId="2" borderId="23" xfId="0" applyFill="1" applyBorder="1" applyAlignment="1">
      <alignment vertical="center" wrapText="1"/>
    </xf>
    <xf numFmtId="0" fontId="0" fillId="2" borderId="24" xfId="0" applyFill="1" applyBorder="1" applyAlignment="1">
      <alignment vertical="center" wrapText="1"/>
    </xf>
    <xf numFmtId="0" fontId="0" fillId="2" borderId="25" xfId="0" applyFill="1" applyBorder="1" applyAlignment="1">
      <alignment vertical="center" wrapText="1"/>
    </xf>
    <xf numFmtId="0" fontId="15" fillId="11" borderId="0" xfId="0" applyFont="1" applyFill="1" applyAlignment="1">
      <alignment horizontal="center"/>
    </xf>
    <xf numFmtId="0" fontId="6" fillId="11" borderId="0" xfId="0" applyFont="1" applyFill="1" applyAlignment="1">
      <alignment horizontal="center"/>
    </xf>
    <xf numFmtId="0" fontId="7" fillId="0" borderId="0" xfId="0" applyFont="1"/>
    <xf numFmtId="0" fontId="4" fillId="0" borderId="0" xfId="0" applyFont="1"/>
    <xf numFmtId="3" fontId="5" fillId="9" borderId="6" xfId="0" applyNumberFormat="1" applyFont="1" applyFill="1" applyBorder="1" applyAlignment="1">
      <alignment horizontal="center" vertical="center" wrapText="1"/>
    </xf>
    <xf numFmtId="3" fontId="5" fillId="9" borderId="7" xfId="0" applyNumberFormat="1" applyFont="1" applyFill="1" applyBorder="1" applyAlignment="1">
      <alignment horizontal="center" vertical="center" wrapText="1"/>
    </xf>
    <xf numFmtId="3" fontId="5" fillId="9" borderId="8" xfId="0" applyNumberFormat="1" applyFont="1" applyFill="1" applyBorder="1" applyAlignment="1">
      <alignment horizontal="center" vertical="center" wrapText="1"/>
    </xf>
    <xf numFmtId="3" fontId="5" fillId="9" borderId="9" xfId="0" applyNumberFormat="1" applyFont="1" applyFill="1" applyBorder="1" applyAlignment="1">
      <alignment horizontal="center" vertical="center" wrapText="1"/>
    </xf>
    <xf numFmtId="3" fontId="5" fillId="9" borderId="0" xfId="0" applyNumberFormat="1" applyFont="1" applyFill="1" applyAlignment="1">
      <alignment horizontal="center" vertical="center" wrapText="1"/>
    </xf>
    <xf numFmtId="3" fontId="5" fillId="9" borderId="10" xfId="0" applyNumberFormat="1" applyFont="1" applyFill="1" applyBorder="1" applyAlignment="1">
      <alignment horizontal="center" vertical="center" wrapText="1"/>
    </xf>
    <xf numFmtId="3" fontId="5" fillId="9" borderId="11" xfId="0" applyNumberFormat="1" applyFont="1" applyFill="1" applyBorder="1" applyAlignment="1">
      <alignment horizontal="center" vertical="center" wrapText="1"/>
    </xf>
    <xf numFmtId="3" fontId="5" fillId="9" borderId="12" xfId="0" applyNumberFormat="1" applyFont="1" applyFill="1" applyBorder="1" applyAlignment="1">
      <alignment horizontal="center" vertical="center" wrapText="1"/>
    </xf>
    <xf numFmtId="3" fontId="5" fillId="9" borderId="13" xfId="0" applyNumberFormat="1" applyFont="1" applyFill="1" applyBorder="1" applyAlignment="1">
      <alignment horizontal="center" vertical="center" wrapText="1"/>
    </xf>
    <xf numFmtId="165" fontId="5" fillId="9" borderId="6" xfId="0" applyNumberFormat="1" applyFont="1" applyFill="1" applyBorder="1" applyAlignment="1">
      <alignment horizontal="center" vertical="center" wrapText="1"/>
    </xf>
    <xf numFmtId="165" fontId="5" fillId="9" borderId="7" xfId="0" applyNumberFormat="1" applyFont="1" applyFill="1" applyBorder="1" applyAlignment="1">
      <alignment horizontal="center" vertical="center" wrapText="1"/>
    </xf>
    <xf numFmtId="165" fontId="5" fillId="9" borderId="8" xfId="0" applyNumberFormat="1" applyFont="1" applyFill="1" applyBorder="1" applyAlignment="1">
      <alignment horizontal="center" vertical="center" wrapText="1"/>
    </xf>
    <xf numFmtId="165" fontId="5" fillId="9" borderId="9" xfId="0" applyNumberFormat="1" applyFont="1" applyFill="1" applyBorder="1" applyAlignment="1">
      <alignment horizontal="center" vertical="center" wrapText="1"/>
    </xf>
    <xf numFmtId="165" fontId="5" fillId="9" borderId="0" xfId="0" applyNumberFormat="1" applyFont="1" applyFill="1" applyAlignment="1">
      <alignment horizontal="center" vertical="center" wrapText="1"/>
    </xf>
    <xf numFmtId="165" fontId="5" fillId="9" borderId="10" xfId="0" applyNumberFormat="1" applyFont="1" applyFill="1" applyBorder="1" applyAlignment="1">
      <alignment horizontal="center" vertical="center" wrapText="1"/>
    </xf>
    <xf numFmtId="165" fontId="5" fillId="9" borderId="11" xfId="0" applyNumberFormat="1" applyFont="1" applyFill="1" applyBorder="1" applyAlignment="1">
      <alignment horizontal="center" vertical="center" wrapText="1"/>
    </xf>
    <xf numFmtId="165" fontId="5" fillId="9" borderId="12" xfId="0" applyNumberFormat="1" applyFont="1" applyFill="1" applyBorder="1" applyAlignment="1">
      <alignment horizontal="center" vertical="center" wrapText="1"/>
    </xf>
    <xf numFmtId="165" fontId="5" fillId="9" borderId="13" xfId="0" applyNumberFormat="1" applyFont="1" applyFill="1" applyBorder="1" applyAlignment="1">
      <alignment horizontal="center" vertical="center" wrapText="1"/>
    </xf>
    <xf numFmtId="166" fontId="5" fillId="9" borderId="6" xfId="0" applyNumberFormat="1" applyFont="1" applyFill="1" applyBorder="1" applyAlignment="1">
      <alignment horizontal="center" vertical="center" wrapText="1"/>
    </xf>
    <xf numFmtId="166" fontId="5" fillId="9" borderId="7" xfId="0" applyNumberFormat="1" applyFont="1" applyFill="1" applyBorder="1" applyAlignment="1">
      <alignment horizontal="center" vertical="center" wrapText="1"/>
    </xf>
    <xf numFmtId="166" fontId="5" fillId="9" borderId="8" xfId="0" applyNumberFormat="1" applyFont="1" applyFill="1" applyBorder="1" applyAlignment="1">
      <alignment horizontal="center" vertical="center" wrapText="1"/>
    </xf>
    <xf numFmtId="166" fontId="5" fillId="9" borderId="9" xfId="0" applyNumberFormat="1" applyFont="1" applyFill="1" applyBorder="1" applyAlignment="1">
      <alignment horizontal="center" vertical="center" wrapText="1"/>
    </xf>
    <xf numFmtId="166" fontId="5" fillId="9" borderId="0" xfId="0" applyNumberFormat="1" applyFont="1" applyFill="1" applyAlignment="1">
      <alignment horizontal="center" vertical="center" wrapText="1"/>
    </xf>
    <xf numFmtId="166" fontId="5" fillId="9" borderId="10" xfId="0" applyNumberFormat="1" applyFont="1" applyFill="1" applyBorder="1" applyAlignment="1">
      <alignment horizontal="center" vertical="center" wrapText="1"/>
    </xf>
    <xf numFmtId="166" fontId="5" fillId="9" borderId="11" xfId="0" applyNumberFormat="1" applyFont="1" applyFill="1" applyBorder="1" applyAlignment="1">
      <alignment horizontal="center" vertical="center" wrapText="1"/>
    </xf>
    <xf numFmtId="166" fontId="5" fillId="9" borderId="12" xfId="0" applyNumberFormat="1" applyFont="1" applyFill="1" applyBorder="1" applyAlignment="1">
      <alignment horizontal="center" vertical="center" wrapText="1"/>
    </xf>
    <xf numFmtId="166" fontId="5" fillId="9" borderId="13" xfId="0" applyNumberFormat="1" applyFont="1" applyFill="1" applyBorder="1" applyAlignment="1">
      <alignment horizontal="center" vertical="center" wrapText="1"/>
    </xf>
    <xf numFmtId="167" fontId="5" fillId="9" borderId="6" xfId="0" applyNumberFormat="1" applyFont="1" applyFill="1" applyBorder="1" applyAlignment="1">
      <alignment horizontal="center" vertical="center" wrapText="1"/>
    </xf>
    <xf numFmtId="167" fontId="5" fillId="9" borderId="7" xfId="0" applyNumberFormat="1" applyFont="1" applyFill="1" applyBorder="1" applyAlignment="1">
      <alignment horizontal="center" vertical="center" wrapText="1"/>
    </xf>
    <xf numFmtId="167" fontId="5" fillId="9" borderId="8" xfId="0" applyNumberFormat="1" applyFont="1" applyFill="1" applyBorder="1" applyAlignment="1">
      <alignment horizontal="center" vertical="center" wrapText="1"/>
    </xf>
    <xf numFmtId="167" fontId="5" fillId="9" borderId="9" xfId="0" applyNumberFormat="1" applyFont="1" applyFill="1" applyBorder="1" applyAlignment="1">
      <alignment horizontal="center" vertical="center" wrapText="1"/>
    </xf>
    <xf numFmtId="167" fontId="5" fillId="9" borderId="0" xfId="0" applyNumberFormat="1" applyFont="1" applyFill="1" applyAlignment="1">
      <alignment horizontal="center" vertical="center" wrapText="1"/>
    </xf>
    <xf numFmtId="167" fontId="5" fillId="9" borderId="10" xfId="0" applyNumberFormat="1" applyFont="1" applyFill="1" applyBorder="1" applyAlignment="1">
      <alignment horizontal="center" vertical="center" wrapText="1"/>
    </xf>
    <xf numFmtId="167" fontId="5" fillId="9" borderId="11" xfId="0" applyNumberFormat="1" applyFont="1" applyFill="1" applyBorder="1" applyAlignment="1">
      <alignment horizontal="center" vertical="center" wrapText="1"/>
    </xf>
    <xf numFmtId="167" fontId="5" fillId="9" borderId="12" xfId="0" applyNumberFormat="1" applyFont="1" applyFill="1" applyBorder="1" applyAlignment="1">
      <alignment horizontal="center" vertical="center" wrapText="1"/>
    </xf>
    <xf numFmtId="167" fontId="5" fillId="9" borderId="13" xfId="0" applyNumberFormat="1" applyFont="1" applyFill="1" applyBorder="1" applyAlignment="1">
      <alignment horizontal="center" vertical="center" wrapText="1"/>
    </xf>
    <xf numFmtId="169" fontId="0" fillId="0" borderId="14" xfId="0" applyNumberFormat="1" applyBorder="1" applyAlignment="1">
      <alignment vertical="top" wrapText="1"/>
    </xf>
    <xf numFmtId="169" fontId="0" fillId="0" borderId="16" xfId="0" applyNumberFormat="1" applyBorder="1" applyAlignment="1">
      <alignment vertical="top" wrapText="1"/>
    </xf>
    <xf numFmtId="0" fontId="14" fillId="0" borderId="26" xfId="0" applyFont="1" applyFill="1" applyBorder="1"/>
  </cellXfs>
  <cellStyles count="1">
    <cellStyle name="Normal" xfId="0" builtinId="0"/>
  </cellStyles>
  <dxfs count="200">
    <dxf>
      <numFmt numFmtId="169" formatCode="[$-14009]dd/mm/yy;@"/>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fill>
        <patternFill>
          <bgColor rgb="FFFFC7CE"/>
        </patternFill>
      </fill>
    </dxf>
    <dxf>
      <font>
        <b/>
        <i val="0"/>
        <strike val="0"/>
        <condense val="0"/>
        <extend val="0"/>
        <outline val="0"/>
        <shadow val="0"/>
        <u val="none"/>
        <vertAlign val="baseline"/>
        <sz val="11"/>
        <color theme="1"/>
        <name val="Calibri"/>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fill>
        <patternFill patternType="solid">
          <fgColor indexed="64"/>
          <bgColor theme="3" tint="-0.499984740745262"/>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none"/>
      </font>
      <numFmt numFmtId="165" formatCode="0.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fill>
        <patternFill patternType="solid">
          <fgColor indexed="64"/>
          <bgColor theme="3" tint="-0.499984740745262"/>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fill>
        <patternFill patternType="solid">
          <fgColor indexed="64"/>
          <bgColor theme="3" tint="-0.499984740745262"/>
        </patternFill>
      </fill>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none"/>
      </font>
      <numFmt numFmtId="165" formatCode="0.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mbria"/>
        <family val="1"/>
        <scheme val="none"/>
      </font>
      <fill>
        <patternFill patternType="solid">
          <fgColor indexed="64"/>
          <bgColor theme="3" tint="-0.499984740745262"/>
        </patternFill>
      </fill>
      <border diagonalUp="0" diagonalDown="0" outline="0">
        <left style="thin">
          <color indexed="64"/>
        </left>
        <right style="thin">
          <color indexed="64"/>
        </right>
        <top/>
        <bottom/>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3"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bottom" textRotation="0" wrapText="1" indent="0" justifyLastLine="0" shrinkToFit="0" readingOrder="0"/>
    </dxf>
    <dxf>
      <border outline="0">
        <top style="thin">
          <color rgb="FFD9D9D9"/>
        </top>
      </border>
    </dxf>
    <dxf>
      <border diagonalUp="0" diagonalDown="0">
        <left/>
        <right/>
        <top/>
        <bottom style="thin">
          <color rgb="FFD9D9D9"/>
        </bottom>
        <vertical/>
        <horizontal/>
      </border>
    </dxf>
    <dxf>
      <border diagonalUp="0" diagonalDown="0">
        <left/>
        <right/>
        <top/>
        <bottom style="thin">
          <color rgb="FFD9D9D9"/>
        </bottom>
        <vertical/>
        <horizontal/>
      </border>
    </dxf>
    <dxf>
      <border diagonalUp="0" diagonalDown="0">
        <left/>
        <right/>
        <top/>
        <bottom style="thin">
          <color rgb="FFD9D9D9"/>
        </bottom>
        <vertical/>
        <horizontal/>
      </border>
    </dxf>
    <dxf>
      <border diagonalUp="0" diagonalDown="0">
        <left/>
        <right/>
        <top/>
        <bottom style="thin">
          <color rgb="FFD9D9D9"/>
        </bottom>
        <vertical/>
        <horizontal/>
      </border>
    </dxf>
    <dxf>
      <border diagonalUp="0" diagonalDown="0">
        <left/>
        <right/>
        <top/>
        <bottom style="thin">
          <color rgb="FFD9D9D9"/>
        </bottom>
        <vertical/>
        <horizontal/>
      </border>
    </dxf>
    <dxf>
      <border diagonalUp="0" diagonalDown="0">
        <left/>
        <right/>
        <top/>
        <bottom style="thin">
          <color rgb="FFD9D9D9"/>
        </bottom>
        <vertical/>
        <horizontal/>
      </border>
    </dxf>
    <dxf>
      <border diagonalUp="0" diagonalDown="0">
        <left/>
        <right/>
        <top/>
        <bottom style="thin">
          <color rgb="FFD9D9D9"/>
        </bottom>
        <vertical/>
        <horizontal/>
      </border>
    </dxf>
    <dxf>
      <border outline="0">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dxf>
    <dxf>
      <border diagonalUp="0" diagonalDown="0">
        <left/>
        <right/>
        <top/>
        <bottom style="thin">
          <color rgb="FFD9D9D9"/>
        </bottom>
        <vertical/>
        <horizontal/>
      </border>
    </dxf>
    <dxf>
      <border diagonalUp="0" diagonalDown="0">
        <left/>
        <right/>
        <top/>
        <bottom style="thin">
          <color rgb="FFD9D9D9"/>
        </bottom>
        <vertical/>
        <horizontal/>
      </border>
    </dxf>
    <dxf>
      <border outline="0">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dxf>
    <dxf>
      <font>
        <b/>
      </font>
      <border diagonalUp="0" diagonalDown="0" outline="0">
        <left/>
        <right/>
        <top/>
        <bottom style="thin">
          <color rgb="FFD9D9D9"/>
        </bottom>
      </border>
    </dxf>
    <dxf>
      <font>
        <b/>
      </font>
      <border diagonalUp="0" diagonalDown="0" outline="0">
        <left/>
        <right/>
        <top/>
        <bottom style="thin">
          <color rgb="FFD9D9D9"/>
        </bottom>
      </border>
    </dxf>
    <dxf>
      <font>
        <b/>
      </font>
      <border diagonalUp="0" diagonalDown="0" outline="0">
        <left/>
        <right/>
        <top/>
        <bottom style="thin">
          <color rgb="FFD9D9D9"/>
        </bottom>
      </border>
    </dxf>
    <dxf>
      <font>
        <b/>
      </font>
      <border diagonalUp="0" diagonalDown="0" outline="0">
        <left/>
        <right/>
        <top/>
        <bottom style="thin">
          <color rgb="FFD9D9D9"/>
        </bottom>
      </border>
    </dxf>
    <dxf>
      <font>
        <b/>
      </font>
      <border diagonalUp="0" diagonalDown="0" outline="0">
        <left/>
        <right/>
        <top/>
        <bottom style="thin">
          <color rgb="FFD9D9D9"/>
        </bottom>
      </border>
    </dxf>
    <dxf>
      <font>
        <b/>
      </font>
      <numFmt numFmtId="165" formatCode="0.0%"/>
      <border diagonalUp="0" diagonalDown="0" outline="0">
        <left/>
        <right/>
        <top/>
        <bottom style="thin">
          <color rgb="FFD9D9D9"/>
        </bottom>
      </border>
    </dxf>
    <dxf>
      <font>
        <b/>
      </font>
      <numFmt numFmtId="165" formatCode="0.0%"/>
      <border diagonalUp="0" diagonalDown="0" outline="0">
        <left/>
        <right/>
        <top/>
        <bottom style="thin">
          <color rgb="FFD9D9D9"/>
        </bottom>
      </border>
    </dxf>
    <dxf>
      <font>
        <b/>
      </font>
      <border diagonalUp="0" diagonalDown="0" outline="0">
        <left/>
        <right/>
        <top/>
        <bottom style="thin">
          <color rgb="FFD9D9D9"/>
        </bottom>
      </border>
    </dxf>
    <dxf>
      <border outline="0">
        <top style="thin">
          <color rgb="FFD9D9D9"/>
        </top>
        <bottom style="thin">
          <color rgb="FFD9D9D9"/>
        </bottom>
      </border>
    </dxf>
    <dxf>
      <font>
        <b/>
        <charset val="1"/>
      </font>
    </dxf>
    <dxf>
      <border outline="0">
        <bottom style="thin">
          <color rgb="FFD9D9D9"/>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dxf>
    <dxf>
      <font>
        <b/>
      </font>
    </dxf>
    <dxf>
      <font>
        <b/>
      </font>
    </dxf>
    <dxf>
      <font>
        <b/>
      </font>
    </dxf>
    <dxf>
      <font>
        <b/>
      </font>
      <numFmt numFmtId="165" formatCode="0.0%"/>
      <border diagonalUp="0" diagonalDown="0" outline="0">
        <left/>
        <right/>
        <top/>
        <bottom style="thin">
          <color rgb="FFD9D9D9"/>
        </bottom>
      </border>
    </dxf>
    <dxf>
      <font>
        <b/>
      </font>
    </dxf>
    <dxf>
      <font>
        <b/>
      </font>
      <numFmt numFmtId="165" formatCode="0.0%"/>
      <border diagonalUp="0" diagonalDown="0" outline="0">
        <left/>
        <right/>
        <top/>
        <bottom style="thin">
          <color rgb="FFD9D9D9"/>
        </bottom>
      </border>
    </dxf>
    <dxf>
      <font>
        <b/>
      </font>
    </dxf>
    <dxf>
      <font>
        <b/>
      </font>
    </dxf>
    <dxf>
      <border outline="0">
        <left style="medium">
          <color theme="0"/>
        </left>
        <right style="medium">
          <color theme="0"/>
        </right>
        <top style="medium">
          <color theme="0"/>
        </top>
        <bottom style="medium">
          <color theme="0"/>
        </bottom>
      </border>
    </dxf>
    <dxf>
      <font>
        <b/>
      </font>
    </dxf>
    <dxf>
      <border outline="0">
        <bottom style="thin">
          <color rgb="FFD9D9D9"/>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dxf>
    <dxf>
      <font>
        <b/>
      </font>
    </dxf>
    <dxf>
      <font>
        <b/>
      </font>
    </dxf>
    <dxf>
      <font>
        <b/>
      </font>
      <border diagonalUp="0" diagonalDown="0" outline="0">
        <left/>
        <right/>
        <top/>
        <bottom style="thin">
          <color rgb="FFD9D9D9"/>
        </bottom>
      </border>
    </dxf>
    <dxf>
      <font>
        <b/>
      </font>
      <border diagonalUp="0" diagonalDown="0" outline="0">
        <left/>
        <right/>
        <top/>
        <bottom style="thin">
          <color rgb="FFD9D9D9"/>
        </bottom>
      </border>
    </dxf>
    <dxf>
      <font>
        <b/>
      </font>
      <border diagonalUp="0" diagonalDown="0" outline="0">
        <left/>
        <right/>
        <top/>
        <bottom style="thin">
          <color rgb="FFD9D9D9"/>
        </bottom>
      </border>
    </dxf>
    <dxf>
      <font>
        <b/>
      </font>
      <numFmt numFmtId="2" formatCode="0.00"/>
      <border diagonalUp="0" diagonalDown="0" outline="0">
        <left/>
        <right/>
        <top/>
        <bottom style="thin">
          <color rgb="FFD9D9D9"/>
        </bottom>
      </border>
    </dxf>
    <dxf>
      <font>
        <b/>
      </font>
      <numFmt numFmtId="165" formatCode="0.0%"/>
      <border diagonalUp="0" diagonalDown="0" outline="0">
        <left/>
        <right/>
        <top/>
        <bottom style="thin">
          <color rgb="FFD9D9D9"/>
        </bottom>
      </border>
    </dxf>
    <dxf>
      <font>
        <b/>
      </font>
      <border diagonalUp="0" diagonalDown="0" outline="0">
        <left/>
        <right/>
        <top/>
        <bottom style="thin">
          <color rgb="FFD9D9D9"/>
        </bottom>
      </border>
    </dxf>
    <dxf>
      <font>
        <b/>
      </font>
      <border diagonalUp="0" diagonalDown="0" outline="0">
        <left/>
        <right/>
        <top/>
        <bottom style="thin">
          <color rgb="FFD9D9D9"/>
        </bottom>
      </border>
    </dxf>
    <dxf>
      <font>
        <b/>
      </font>
      <border diagonalUp="0" diagonalDown="0" outline="0">
        <left/>
        <right/>
        <top/>
        <bottom style="thin">
          <color rgb="FFD9D9D9"/>
        </bottom>
      </border>
    </dxf>
    <dxf>
      <font>
        <b/>
      </font>
    </dxf>
    <dxf>
      <border outline="0">
        <bottom style="thin">
          <color rgb="FFD9D9D9"/>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dxf>
    <dxf>
      <font>
        <b/>
      </font>
      <numFmt numFmtId="166" formatCode="\₹#,##0"/>
      <border diagonalUp="0" diagonalDown="0" outline="0">
        <left/>
        <right/>
        <top/>
        <bottom style="thin">
          <color rgb="FFD9D9D9"/>
        </bottom>
      </border>
    </dxf>
    <dxf>
      <font>
        <b/>
      </font>
      <border diagonalUp="0" diagonalDown="0" outline="0">
        <left/>
        <right/>
        <top/>
        <bottom style="thin">
          <color rgb="FFD9D9D9"/>
        </bottom>
      </border>
    </dxf>
    <dxf>
      <border outline="0">
        <bottom style="thin">
          <color rgb="FFD9D9D9"/>
        </bottom>
      </border>
    </dxf>
    <dxf>
      <font>
        <b/>
      </font>
    </dxf>
    <dxf>
      <border outline="0">
        <bottom style="thin">
          <color rgb="FFD9D9D9"/>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dxf>
    <dxf>
      <font>
        <b/>
      </font>
      <border diagonalUp="0" diagonalDown="0" outline="0">
        <left/>
        <right/>
        <top/>
        <bottom style="thin">
          <color rgb="FFD9D9D9"/>
        </bottom>
      </border>
    </dxf>
    <dxf>
      <font>
        <b/>
      </font>
      <border diagonalUp="0" diagonalDown="0" outline="0">
        <left/>
        <right/>
        <top/>
        <bottom style="thin">
          <color rgb="FFD9D9D9"/>
        </bottom>
      </border>
    </dxf>
    <dxf>
      <font>
        <b/>
      </font>
      <border diagonalUp="0" diagonalDown="0" outline="0">
        <left/>
        <right/>
        <top/>
        <bottom style="thin">
          <color rgb="FFD9D9D9"/>
        </bottom>
      </border>
    </dxf>
    <dxf>
      <font>
        <b/>
      </font>
      <numFmt numFmtId="165" formatCode="0.0%"/>
      <border diagonalUp="0" diagonalDown="0" outline="0">
        <left/>
        <right/>
        <top/>
        <bottom style="thin">
          <color rgb="FFD9D9D9"/>
        </bottom>
      </border>
    </dxf>
    <dxf>
      <font>
        <b/>
      </font>
      <border diagonalUp="0" diagonalDown="0" outline="0">
        <left/>
        <right/>
        <top/>
        <bottom style="thin">
          <color rgb="FFD9D9D9"/>
        </bottom>
      </border>
    </dxf>
    <dxf>
      <font>
        <b/>
      </font>
      <numFmt numFmtId="165" formatCode="0.0%"/>
      <border diagonalUp="0" diagonalDown="0" outline="0">
        <left/>
        <right/>
        <top/>
        <bottom style="thin">
          <color rgb="FFD9D9D9"/>
        </bottom>
      </border>
    </dxf>
    <dxf>
      <font>
        <b/>
      </font>
      <border diagonalUp="0" diagonalDown="0" outline="0">
        <left/>
        <right/>
        <top/>
        <bottom style="thin">
          <color rgb="FFD9D9D9"/>
        </bottom>
      </border>
    </dxf>
    <dxf>
      <font>
        <b/>
      </font>
      <border diagonalUp="0" diagonalDown="0" outline="0">
        <left/>
        <right/>
        <top/>
        <bottom style="thin">
          <color rgb="FFD9D9D9"/>
        </bottom>
      </border>
    </dxf>
    <dxf>
      <border outline="0">
        <left style="medium">
          <color theme="0"/>
        </left>
        <right style="medium">
          <color theme="0"/>
        </right>
        <top style="medium">
          <color theme="0"/>
        </top>
        <bottom style="medium">
          <color theme="0"/>
        </bottom>
      </border>
    </dxf>
    <dxf>
      <font>
        <b/>
      </font>
    </dxf>
    <dxf>
      <border outline="0">
        <bottom style="thin">
          <color rgb="FFD9D9D9"/>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dxf>
    <dxf>
      <font>
        <b/>
      </font>
      <numFmt numFmtId="165" formatCode="0.0%"/>
      <border diagonalUp="0" diagonalDown="0" outline="0">
        <left style="thin">
          <color indexed="64"/>
        </left>
        <right/>
        <top style="thin">
          <color indexed="64"/>
        </top>
        <bottom style="thin">
          <color indexed="64"/>
        </bottom>
      </border>
    </dxf>
    <dxf>
      <font>
        <b/>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font>
    </dxf>
    <dxf>
      <border outline="0">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font>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tint="0.14999847407452621"/>
        </patternFill>
      </fill>
      <alignment horizontal="center" vertical="center" textRotation="0" wrapText="0" indent="0" justifyLastLine="0" shrinkToFit="0" readingOrder="0"/>
      <border diagonalUp="0" diagonalDown="0" outline="0">
        <left style="thin">
          <color indexed="64"/>
        </left>
        <right/>
        <top/>
        <bottom style="thin">
          <color indexed="64"/>
        </bottom>
      </border>
    </dxf>
    <dxf>
      <font>
        <b/>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font>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font>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tint="0.14999847407452621"/>
        </patternFill>
      </fill>
      <alignment horizontal="center" vertical="center" textRotation="0" wrapText="0" indent="0" justifyLastLine="0" shrinkToFit="0" readingOrder="0"/>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font>
    </dxf>
    <dxf>
      <border outline="0">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tint="0.149998474074526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font>
      <border diagonalUp="0" diagonalDown="0" outline="0">
        <left style="thin">
          <color indexed="64"/>
        </left>
        <right/>
        <top style="thin">
          <color indexed="64"/>
        </top>
        <bottom style="thin">
          <color indexed="64"/>
        </bottom>
      </border>
    </dxf>
    <dxf>
      <font>
        <b/>
      </font>
      <border diagonalUp="0" diagonalDown="0" outline="0">
        <left style="thin">
          <color indexed="64"/>
        </left>
        <right style="thin">
          <color indexed="64"/>
        </right>
        <top style="thin">
          <color indexed="64"/>
        </top>
        <bottom style="thin">
          <color indexed="64"/>
        </bottom>
      </border>
    </dxf>
    <dxf>
      <font>
        <b/>
      </font>
      <border diagonalUp="0" diagonalDown="0" outline="0">
        <left style="thin">
          <color indexed="64"/>
        </left>
        <right style="thin">
          <color indexed="64"/>
        </right>
        <top style="thin">
          <color indexed="64"/>
        </top>
        <bottom style="thin">
          <color indexed="64"/>
        </bottom>
      </border>
    </dxf>
    <dxf>
      <font>
        <b/>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charset val="1"/>
      </font>
    </dxf>
    <dxf>
      <border outline="0">
        <bottom style="thin">
          <color indexed="64"/>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font>
    </dxf>
    <dxf>
      <font>
        <b/>
      </font>
    </dxf>
    <dxf>
      <font>
        <b/>
      </font>
      <numFmt numFmtId="2" formatCode="0.00"/>
    </dxf>
    <dxf>
      <font>
        <b/>
      </font>
      <numFmt numFmtId="2" formatCode="0.00"/>
    </dxf>
    <dxf>
      <font>
        <b/>
      </font>
      <numFmt numFmtId="165" formatCode="0.0%"/>
    </dxf>
    <dxf>
      <font>
        <b/>
      </font>
      <numFmt numFmtId="165" formatCode="0.0%"/>
    </dxf>
    <dxf>
      <font>
        <b/>
      </font>
      <numFmt numFmtId="165" formatCode="0.0%"/>
    </dxf>
    <dxf>
      <font>
        <b/>
      </font>
      <numFmt numFmtId="2" formatCode="0.00"/>
    </dxf>
    <dxf>
      <font>
        <b/>
      </font>
      <numFmt numFmtId="2" formatCode="0.00"/>
    </dxf>
    <dxf>
      <font>
        <b/>
      </font>
      <numFmt numFmtId="2" formatCode="0.00"/>
    </dxf>
    <dxf>
      <font>
        <b/>
      </font>
      <numFmt numFmtId="2" formatCode="0.00"/>
    </dxf>
    <dxf>
      <font>
        <b/>
      </font>
      <numFmt numFmtId="165" formatCode="0.0%"/>
    </dxf>
    <dxf>
      <font>
        <b/>
      </font>
      <numFmt numFmtId="165" formatCode="0.0%"/>
    </dxf>
    <dxf>
      <font>
        <b/>
      </font>
      <numFmt numFmtId="165" formatCode="0.0%"/>
    </dxf>
    <dxf>
      <font>
        <b/>
      </font>
      <numFmt numFmtId="165" formatCode="0.0%"/>
    </dxf>
    <dxf>
      <font>
        <b/>
      </font>
      <numFmt numFmtId="164" formatCode="\₹#,##0.00"/>
    </dxf>
    <dxf>
      <font>
        <b/>
      </font>
      <numFmt numFmtId="2" formatCode="0.00"/>
    </dxf>
    <dxf>
      <font>
        <b/>
      </font>
    </dxf>
    <dxf>
      <font>
        <b/>
      </font>
      <numFmt numFmtId="164" formatCode="\₹#,##0.00"/>
    </dxf>
    <dxf>
      <font>
        <b/>
      </font>
      <numFmt numFmtId="164" formatCode="\₹#,##0.00"/>
    </dxf>
    <dxf>
      <font>
        <b/>
      </font>
      <numFmt numFmtId="2" formatCode="0.00"/>
    </dxf>
    <dxf>
      <font>
        <b/>
      </font>
      <numFmt numFmtId="164" formatCode="\₹#,##0.00"/>
    </dxf>
    <dxf>
      <font>
        <b/>
      </font>
      <numFmt numFmtId="2" formatCode="0.00"/>
    </dxf>
    <dxf>
      <font>
        <b/>
      </font>
    </dxf>
    <dxf>
      <font>
        <b/>
      </font>
    </dxf>
    <dxf>
      <font>
        <b/>
      </font>
      <numFmt numFmtId="164" formatCode="\₹#,##0.00"/>
    </dxf>
    <dxf>
      <font>
        <b/>
      </font>
      <numFmt numFmtId="2" formatCode="0.00"/>
    </dxf>
    <dxf>
      <font>
        <b/>
      </font>
      <numFmt numFmtId="2" formatCode="0.00"/>
    </dxf>
    <dxf>
      <font>
        <b/>
      </font>
      <numFmt numFmtId="2" formatCode="0.0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numFmt numFmtId="19" formatCode="dd/mm/yyyy"/>
    </dxf>
    <dxf>
      <font>
        <b/>
      </font>
      <numFmt numFmtId="19" formatCode="dd/mm/yyyy"/>
    </dxf>
    <dxf>
      <font>
        <b/>
      </font>
    </dxf>
    <dxf>
      <font>
        <b/>
      </font>
    </dxf>
    <dxf>
      <border outline="0">
        <bottom style="thin">
          <color rgb="FFD9D9D9"/>
        </bottom>
      </border>
    </dxf>
    <dxf>
      <font>
        <b/>
        <i val="0"/>
        <strike val="0"/>
        <condense val="0"/>
        <extend val="0"/>
        <outline val="0"/>
        <shadow val="0"/>
        <u val="none"/>
        <vertAlign val="baseline"/>
        <sz val="11"/>
        <color rgb="FFFFFFFF"/>
        <name val="Cambria"/>
        <charset val="1"/>
        <scheme val="none"/>
      </font>
      <fill>
        <patternFill patternType="solid">
          <fgColor rgb="FF333333"/>
          <bgColor theme="1"/>
        </patternFill>
      </fill>
      <alignment horizontal="center" vertical="center"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2F2F2"/>
      <rgbColor rgb="FFEAF2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33CCCC"/>
      <rgbColor rgb="FF99CC00"/>
      <rgbColor rgb="FFFFCC00"/>
      <rgbColor rgb="FFFF9900"/>
      <rgbColor rgb="FFFF6600"/>
      <rgbColor rgb="FF666666"/>
      <rgbColor rgb="FF969696"/>
      <rgbColor rgb="FF17365D"/>
      <rgbColor rgb="FF4F81BD"/>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80808"/>
      <color rgb="FF6ACAD4"/>
      <color rgb="FFF9A345"/>
      <color rgb="FFFF5050"/>
      <color rgb="FF990099"/>
      <color rgb="FFA323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[Manufacturing_Data_Analytics_Completed.xlsx]Sheet13!PivotTable13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Scrap Cost by Line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Sheet13!$B$3</c:f>
              <c:strCache>
                <c:ptCount val="1"/>
                <c:pt idx="0">
                  <c:v>Total</c:v>
                </c:pt>
              </c:strCache>
            </c:strRef>
          </c:tx>
          <c:spPr>
            <a:blipFill>
              <a:blip xmlns:r="http://schemas.openxmlformats.org/officeDocument/2006/relationships" r:embed="rId3"/>
              <a:tile tx="0" ty="0" sx="100000" sy="100000" flip="none" algn="tl"/>
            </a:blipFill>
            <a:ln>
              <a:solidFill>
                <a:schemeClr val="tx1"/>
              </a:solidFill>
            </a:ln>
            <a:effectLst/>
            <a:sp3d>
              <a:contourClr>
                <a:schemeClr val="tx1"/>
              </a:contourClr>
            </a:sp3d>
          </c:spPr>
          <c:invertIfNegative val="0"/>
          <c:cat>
            <c:strRef>
              <c:f>Sheet13!$A$4:$A$9</c:f>
              <c:strCache>
                <c:ptCount val="5"/>
                <c:pt idx="0">
                  <c:v>Line 1</c:v>
                </c:pt>
                <c:pt idx="1">
                  <c:v>Line 2</c:v>
                </c:pt>
                <c:pt idx="2">
                  <c:v>Line 3</c:v>
                </c:pt>
                <c:pt idx="3">
                  <c:v>Line 4</c:v>
                </c:pt>
                <c:pt idx="4">
                  <c:v>Line 5</c:v>
                </c:pt>
              </c:strCache>
            </c:strRef>
          </c:cat>
          <c:val>
            <c:numRef>
              <c:f>Sheet13!$B$4:$B$9</c:f>
              <c:numCache>
                <c:formatCode>General</c:formatCode>
                <c:ptCount val="5"/>
                <c:pt idx="0">
                  <c:v>50339.315323478564</c:v>
                </c:pt>
                <c:pt idx="1">
                  <c:v>62030.728681044588</c:v>
                </c:pt>
                <c:pt idx="2">
                  <c:v>78358.047997539703</c:v>
                </c:pt>
                <c:pt idx="3">
                  <c:v>47228.222922771638</c:v>
                </c:pt>
                <c:pt idx="4">
                  <c:v>63087.380261361526</c:v>
                </c:pt>
              </c:numCache>
            </c:numRef>
          </c:val>
          <c:extLst>
            <c:ext xmlns:c16="http://schemas.microsoft.com/office/drawing/2014/chart" uri="{C3380CC4-5D6E-409C-BE32-E72D297353CC}">
              <c16:uniqueId val="{00000000-F44B-4061-B1CB-D60FBA577BA1}"/>
            </c:ext>
          </c:extLst>
        </c:ser>
        <c:dLbls>
          <c:showLegendKey val="0"/>
          <c:showVal val="0"/>
          <c:showCatName val="0"/>
          <c:showSerName val="0"/>
          <c:showPercent val="0"/>
          <c:showBubbleSize val="0"/>
        </c:dLbls>
        <c:gapWidth val="150"/>
        <c:shape val="box"/>
        <c:axId val="1231620896"/>
        <c:axId val="989389360"/>
        <c:axId val="0"/>
      </c:bar3DChart>
      <c:catAx>
        <c:axId val="123162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89360"/>
        <c:crosses val="autoZero"/>
        <c:auto val="1"/>
        <c:lblAlgn val="ctr"/>
        <c:lblOffset val="100"/>
        <c:noMultiLvlLbl val="0"/>
      </c:catAx>
      <c:valAx>
        <c:axId val="98938936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162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OEE by Machine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'05_Student1_Operations'!$B$19</c:f>
              <c:strCache>
                <c:ptCount val="1"/>
                <c:pt idx="0">
                  <c:v>OEE %</c:v>
                </c:pt>
              </c:strCache>
            </c:strRef>
          </c:tx>
          <c:spPr>
            <a:blipFill>
              <a:blip xmlns:r="http://schemas.openxmlformats.org/officeDocument/2006/relationships" r:embed="rId3"/>
              <a:tile tx="0" ty="0" sx="100000" sy="100000" flip="none" algn="tl"/>
            </a:blipFill>
            <a:ln>
              <a:solidFill>
                <a:srgbClr val="080808"/>
              </a:solidFill>
            </a:ln>
            <a:effectLst/>
          </c:spPr>
          <c:invertIfNegative val="0"/>
          <c:cat>
            <c:strRef>
              <c:f>'05_Student1_Operations'!$A$20:$A$34</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'05_Student1_Operations'!$B$20:$B$34</c:f>
              <c:numCache>
                <c:formatCode>0.0%</c:formatCode>
                <c:ptCount val="15"/>
                <c:pt idx="0">
                  <c:v>0.91540950433770796</c:v>
                </c:pt>
                <c:pt idx="1">
                  <c:v>0.91167136329414178</c:v>
                </c:pt>
                <c:pt idx="2">
                  <c:v>0.94083708394520971</c:v>
                </c:pt>
                <c:pt idx="3">
                  <c:v>0.84793916451371298</c:v>
                </c:pt>
                <c:pt idx="4">
                  <c:v>0.87788801157646867</c:v>
                </c:pt>
                <c:pt idx="5">
                  <c:v>0.82974936421872469</c:v>
                </c:pt>
                <c:pt idx="6">
                  <c:v>0.81390044735839251</c:v>
                </c:pt>
                <c:pt idx="7">
                  <c:v>0.81692992320272317</c:v>
                </c:pt>
                <c:pt idx="8">
                  <c:v>0.73698347551810595</c:v>
                </c:pt>
                <c:pt idx="9">
                  <c:v>0.95947888124569525</c:v>
                </c:pt>
                <c:pt idx="10">
                  <c:v>0.93916038268869539</c:v>
                </c:pt>
                <c:pt idx="11">
                  <c:v>0.92402508136300132</c:v>
                </c:pt>
                <c:pt idx="12">
                  <c:v>0.87744689341326054</c:v>
                </c:pt>
                <c:pt idx="13">
                  <c:v>0.82621508931937915</c:v>
                </c:pt>
                <c:pt idx="14">
                  <c:v>0.89922384902939967</c:v>
                </c:pt>
              </c:numCache>
            </c:numRef>
          </c:val>
          <c:extLst>
            <c:ext xmlns:c16="http://schemas.microsoft.com/office/drawing/2014/chart" uri="{C3380CC4-5D6E-409C-BE32-E72D297353CC}">
              <c16:uniqueId val="{00000000-A809-469B-B4D3-695315392FA1}"/>
            </c:ext>
          </c:extLst>
        </c:ser>
        <c:dLbls>
          <c:showLegendKey val="0"/>
          <c:showVal val="0"/>
          <c:showCatName val="0"/>
          <c:showSerName val="0"/>
          <c:showPercent val="0"/>
          <c:showBubbleSize val="0"/>
        </c:dLbls>
        <c:gapWidth val="115"/>
        <c:axId val="1917146"/>
        <c:axId val="61889870"/>
      </c:barChart>
      <c:catAx>
        <c:axId val="191714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OEE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89870"/>
        <c:crosses val="autoZero"/>
        <c:auto val="1"/>
        <c:lblAlgn val="ctr"/>
        <c:lblOffset val="100"/>
        <c:noMultiLvlLbl val="0"/>
      </c:catAx>
      <c:valAx>
        <c:axId val="6188987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Machine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7146"/>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Downtime by Machine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'05_Student1_Operations'!$C$19</c:f>
              <c:strCache>
                <c:ptCount val="1"/>
                <c:pt idx="0">
                  <c:v>Downtime Hrs</c:v>
                </c:pt>
              </c:strCache>
            </c:strRef>
          </c:tx>
          <c:spPr>
            <a:blipFill>
              <a:blip xmlns:r="http://schemas.openxmlformats.org/officeDocument/2006/relationships" r:embed="rId3"/>
              <a:tile tx="0" ty="0" sx="100000" sy="100000" flip="none" algn="tl"/>
            </a:blip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'05_Student1_Operations'!$A$20:$A$34</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'05_Student1_Operations'!$C$20:$C$34</c:f>
              <c:numCache>
                <c:formatCode>General</c:formatCode>
                <c:ptCount val="15"/>
                <c:pt idx="0">
                  <c:v>26.283333333333335</c:v>
                </c:pt>
                <c:pt idx="1">
                  <c:v>29.049999999999997</c:v>
                </c:pt>
                <c:pt idx="2">
                  <c:v>22.499999999999996</c:v>
                </c:pt>
                <c:pt idx="3">
                  <c:v>29.783333333333331</c:v>
                </c:pt>
                <c:pt idx="4">
                  <c:v>28.18333333333333</c:v>
                </c:pt>
                <c:pt idx="5">
                  <c:v>36.666666666666664</c:v>
                </c:pt>
                <c:pt idx="6">
                  <c:v>26.133333333333333</c:v>
                </c:pt>
                <c:pt idx="7">
                  <c:v>32.349999999999994</c:v>
                </c:pt>
                <c:pt idx="8">
                  <c:v>39.916666666666657</c:v>
                </c:pt>
                <c:pt idx="9">
                  <c:v>17.016666666666669</c:v>
                </c:pt>
                <c:pt idx="10">
                  <c:v>22.86666666666666</c:v>
                </c:pt>
                <c:pt idx="11">
                  <c:v>25.966666666666661</c:v>
                </c:pt>
                <c:pt idx="12">
                  <c:v>26.533333333333339</c:v>
                </c:pt>
                <c:pt idx="13">
                  <c:v>34.050000000000004</c:v>
                </c:pt>
                <c:pt idx="14">
                  <c:v>23.650000000000006</c:v>
                </c:pt>
              </c:numCache>
            </c:numRef>
          </c:val>
          <c:extLst>
            <c:ext xmlns:c16="http://schemas.microsoft.com/office/drawing/2014/chart" uri="{C3380CC4-5D6E-409C-BE32-E72D297353CC}">
              <c16:uniqueId val="{00000000-8998-480E-827B-119B44087D75}"/>
            </c:ext>
          </c:extLst>
        </c:ser>
        <c:dLbls>
          <c:showLegendKey val="0"/>
          <c:showVal val="0"/>
          <c:showCatName val="0"/>
          <c:showSerName val="0"/>
          <c:showPercent val="0"/>
          <c:showBubbleSize val="0"/>
        </c:dLbls>
        <c:gapWidth val="100"/>
        <c:overlap val="-24"/>
        <c:axId val="86395938"/>
        <c:axId val="32913983"/>
      </c:barChart>
      <c:catAx>
        <c:axId val="8639593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913983"/>
        <c:crosses val="autoZero"/>
        <c:auto val="1"/>
        <c:lblAlgn val="ctr"/>
        <c:lblOffset val="100"/>
        <c:noMultiLvlLbl val="0"/>
      </c:catAx>
      <c:valAx>
        <c:axId val="3291398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Hours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395938"/>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rPr>
              <a:t>Production achievement by production line</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3500000" scaled="1"/>
            <a:tileRect/>
          </a:gradFill>
          <a:ln>
            <a:solidFill>
              <a:schemeClr val="tx1"/>
            </a:solidFill>
          </a:ln>
          <a:effectLst/>
          <a:sp3d>
            <a:contourClr>
              <a:schemeClr val="tx1"/>
            </a:contourClr>
          </a:sp3d>
        </c:spPr>
        <c:marker>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solidFill>
              <a:schemeClr val="tx1"/>
            </a:solidFill>
          </a:ln>
          <a:effectLst/>
          <a:sp3d>
            <a:contourClr>
              <a:schemeClr val="tx1"/>
            </a:contourClr>
          </a:sp3d>
        </c:spPr>
        <c:marker>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3"/>
            <a:tile tx="0" ty="0" sx="100000" sy="100000" flip="none" algn="tl"/>
          </a:blipFill>
          <a:ln>
            <a:solidFill>
              <a:schemeClr val="tx1"/>
            </a:solidFill>
          </a:ln>
          <a:effectLst/>
          <a:sp3d>
            <a:contourClr>
              <a:schemeClr val="tx1"/>
            </a:contourClr>
          </a:sp3d>
        </c:spPr>
      </c:pivotFmt>
      <c:pivotFmt>
        <c:idx val="8"/>
        <c:spPr>
          <a:gradFill flip="none" rotWithShape="1">
            <a:gsLst>
              <a:gs pos="0">
                <a:srgbClr val="990099">
                  <a:shade val="30000"/>
                  <a:satMod val="115000"/>
                </a:srgbClr>
              </a:gs>
              <a:gs pos="50000">
                <a:srgbClr val="990099">
                  <a:shade val="67500"/>
                  <a:satMod val="115000"/>
                </a:srgbClr>
              </a:gs>
              <a:gs pos="100000">
                <a:srgbClr val="990099">
                  <a:shade val="100000"/>
                  <a:satMod val="115000"/>
                </a:srgbClr>
              </a:gs>
            </a:gsLst>
            <a:lin ang="13500000" scaled="1"/>
            <a:tileRect/>
          </a:gradFill>
          <a:ln>
            <a:solidFill>
              <a:schemeClr val="tx1"/>
            </a:solidFill>
          </a:ln>
          <a:effectLst/>
          <a:sp3d>
            <a:contourClr>
              <a:schemeClr val="tx1"/>
            </a:contourClr>
          </a:sp3d>
        </c:spPr>
      </c:pivotFmt>
      <c:pivotFmt>
        <c:idx val="9"/>
      </c:pivotFmt>
      <c:pivotFmt>
        <c:idx val="10"/>
        <c:spPr>
          <a:solidFill>
            <a:schemeClr val="accent4">
              <a:lumMod val="60000"/>
              <a:lumOff val="4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3"/>
            <a:tile tx="0" ty="0" sx="100000" sy="100000" flip="none" algn="tl"/>
          </a:blip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bg1"/>
        </a:solidFill>
        <a:ln>
          <a:noFill/>
        </a:ln>
        <a:effectLst/>
        <a:sp3d/>
      </c:spPr>
    </c:backWall>
    <c:plotArea>
      <c:layout/>
      <c:bar3DChart>
        <c:barDir val="col"/>
        <c:grouping val="stacked"/>
        <c:varyColors val="0"/>
        <c:ser>
          <c:idx val="0"/>
          <c:order val="0"/>
          <c:tx>
            <c:v>Sum of Planned_Quantity</c:v>
          </c:tx>
          <c:spPr>
            <a:blipFill>
              <a:blip xmlns:r="http://schemas.openxmlformats.org/officeDocument/2006/relationships" r:embed="rId3"/>
              <a:tile tx="0" ty="0" sx="100000" sy="100000" flip="none" algn="tl"/>
            </a:blipFill>
            <a:ln>
              <a:solidFill>
                <a:schemeClr val="tx1"/>
              </a:solidFill>
            </a:ln>
            <a:effectLst/>
            <a:sp3d>
              <a:contourClr>
                <a:schemeClr val="tx1"/>
              </a:contourClr>
            </a:sp3d>
          </c:spPr>
          <c:invertIfNegative val="0"/>
          <c:cat>
            <c:strLit>
              <c:ptCount val="5"/>
              <c:pt idx="0">
                <c:v>Line 1</c:v>
              </c:pt>
              <c:pt idx="1">
                <c:v>Line 2</c:v>
              </c:pt>
              <c:pt idx="2">
                <c:v>Line 3</c:v>
              </c:pt>
              <c:pt idx="3">
                <c:v>Line 4</c:v>
              </c:pt>
              <c:pt idx="4">
                <c:v>Line 5</c:v>
              </c:pt>
            </c:strLit>
          </c:cat>
          <c:val>
            <c:numLit>
              <c:formatCode>General</c:formatCode>
              <c:ptCount val="5"/>
              <c:pt idx="0">
                <c:v>159588</c:v>
              </c:pt>
              <c:pt idx="1">
                <c:v>154426</c:v>
              </c:pt>
              <c:pt idx="2">
                <c:v>142261</c:v>
              </c:pt>
              <c:pt idx="3">
                <c:v>143281</c:v>
              </c:pt>
              <c:pt idx="4">
                <c:v>140588</c:v>
              </c:pt>
            </c:numLit>
          </c:val>
          <c:extLst>
            <c:ext xmlns:c16="http://schemas.microsoft.com/office/drawing/2014/chart" uri="{C3380CC4-5D6E-409C-BE32-E72D297353CC}">
              <c16:uniqueId val="{00000000-F756-4AFF-BE0C-7D5482FF39FF}"/>
            </c:ext>
          </c:extLst>
        </c:ser>
        <c:ser>
          <c:idx val="1"/>
          <c:order val="1"/>
          <c:tx>
            <c:v>Sum of Produced_Quantity</c:v>
          </c:tx>
          <c:spPr>
            <a:solidFill>
              <a:schemeClr val="accent4">
                <a:lumMod val="40000"/>
                <a:lumOff val="60000"/>
              </a:schemeClr>
            </a:solidFill>
            <a:ln>
              <a:solidFill>
                <a:schemeClr val="tx1"/>
              </a:solidFill>
            </a:ln>
            <a:effectLst/>
            <a:sp3d>
              <a:contourClr>
                <a:schemeClr val="tx1"/>
              </a:contourClr>
            </a:sp3d>
          </c:spPr>
          <c:invertIfNegative val="0"/>
          <c:cat>
            <c:strLit>
              <c:ptCount val="5"/>
              <c:pt idx="0">
                <c:v>Line 1</c:v>
              </c:pt>
              <c:pt idx="1">
                <c:v>Line 2</c:v>
              </c:pt>
              <c:pt idx="2">
                <c:v>Line 3</c:v>
              </c:pt>
              <c:pt idx="3">
                <c:v>Line 4</c:v>
              </c:pt>
              <c:pt idx="4">
                <c:v>Line 5</c:v>
              </c:pt>
            </c:strLit>
          </c:cat>
          <c:val>
            <c:numLit>
              <c:formatCode>General</c:formatCode>
              <c:ptCount val="5"/>
              <c:pt idx="0">
                <c:v>154535</c:v>
              </c:pt>
              <c:pt idx="1">
                <c:v>140662</c:v>
              </c:pt>
              <c:pt idx="2">
                <c:v>124166</c:v>
              </c:pt>
              <c:pt idx="3">
                <c:v>141477</c:v>
              </c:pt>
              <c:pt idx="4">
                <c:v>131341</c:v>
              </c:pt>
            </c:numLit>
          </c:val>
          <c:extLst>
            <c:ext xmlns:c16="http://schemas.microsoft.com/office/drawing/2014/chart" uri="{C3380CC4-5D6E-409C-BE32-E72D297353CC}">
              <c16:uniqueId val="{00000001-F756-4AFF-BE0C-7D5482FF39FF}"/>
            </c:ext>
          </c:extLst>
        </c:ser>
        <c:ser>
          <c:idx val="2"/>
          <c:order val="2"/>
          <c:tx>
            <c:v>Average of Production_Achievement_%</c:v>
          </c:tx>
          <c:spPr>
            <a:solidFill>
              <a:schemeClr val="accent6">
                <a:lumMod val="75000"/>
              </a:schemeClr>
            </a:solidFill>
            <a:ln>
              <a:solidFill>
                <a:schemeClr val="tx1"/>
              </a:solidFill>
            </a:ln>
            <a:effectLst/>
            <a:sp3d>
              <a:contourClr>
                <a:schemeClr val="tx1"/>
              </a:contourClr>
            </a:sp3d>
          </c:spPr>
          <c:invertIfNegative val="0"/>
          <c:cat>
            <c:strLit>
              <c:ptCount val="5"/>
              <c:pt idx="0">
                <c:v>Line 1</c:v>
              </c:pt>
              <c:pt idx="1">
                <c:v>Line 2</c:v>
              </c:pt>
              <c:pt idx="2">
                <c:v>Line 3</c:v>
              </c:pt>
              <c:pt idx="3">
                <c:v>Line 4</c:v>
              </c:pt>
              <c:pt idx="4">
                <c:v>Line 5</c:v>
              </c:pt>
            </c:strLit>
          </c:cat>
          <c:val>
            <c:numLit>
              <c:formatCode>General</c:formatCode>
              <c:ptCount val="5"/>
              <c:pt idx="0">
                <c:v>0.96891545327907391</c:v>
              </c:pt>
              <c:pt idx="1">
                <c:v>0.91144815142991487</c:v>
              </c:pt>
              <c:pt idx="2">
                <c:v>0.87233304549167823</c:v>
              </c:pt>
              <c:pt idx="3">
                <c:v>0.9879253370033757</c:v>
              </c:pt>
              <c:pt idx="4">
                <c:v>0.93417367217490477</c:v>
              </c:pt>
            </c:numLit>
          </c:val>
          <c:extLst>
            <c:ext xmlns:c16="http://schemas.microsoft.com/office/drawing/2014/chart" uri="{C3380CC4-5D6E-409C-BE32-E72D297353CC}">
              <c16:uniqueId val="{00000002-F756-4AFF-BE0C-7D5482FF39FF}"/>
            </c:ext>
          </c:extLst>
        </c:ser>
        <c:dLbls>
          <c:showLegendKey val="0"/>
          <c:showVal val="0"/>
          <c:showCatName val="0"/>
          <c:showSerName val="0"/>
          <c:showPercent val="0"/>
          <c:showBubbleSize val="0"/>
        </c:dLbls>
        <c:gapWidth val="150"/>
        <c:shape val="box"/>
        <c:axId val="1231575424"/>
        <c:axId val="989351920"/>
        <c:axId val="0"/>
      </c:bar3DChart>
      <c:valAx>
        <c:axId val="9893519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1575424"/>
        <c:crosses val="autoZero"/>
        <c:crossBetween val="between"/>
      </c:valAx>
      <c:catAx>
        <c:axId val="123157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5192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Production</a:t>
            </a:r>
            <a:r>
              <a:rPr lang="en-US" baseline="0"/>
              <a:t> By Shift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tile tx="0" ty="0" sx="100000" sy="100000" flip="none" algn="tl"/>
          </a:blipFill>
          <a:ln>
            <a:solidFill>
              <a:schemeClr val="tx1"/>
            </a:solidFill>
          </a:ln>
          <a:effectLst/>
        </c:spPr>
      </c:pivotFmt>
      <c:pivotFmt>
        <c:idx val="4"/>
        <c:spPr>
          <a:solidFill>
            <a:srgbClr val="A3237E"/>
          </a:solidFill>
          <a:ln>
            <a:solidFill>
              <a:schemeClr val="tx1"/>
            </a:solidFill>
          </a:ln>
          <a:effectLst/>
        </c:spPr>
      </c:pivotFmt>
      <c:pivotFmt>
        <c:idx val="5"/>
        <c:spPr>
          <a:solidFill>
            <a:schemeClr val="accent4">
              <a:lumMod val="40000"/>
              <a:lumOff val="60000"/>
            </a:schemeClr>
          </a:solidFill>
          <a:ln>
            <a:solidFill>
              <a:schemeClr val="tx1"/>
            </a:solid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3"/>
            <a:tile tx="0" ty="0" sx="100000" sy="100000" flip="none" algn="tl"/>
          </a:blipFill>
          <a:ln>
            <a:solidFill>
              <a:schemeClr val="tx1"/>
            </a:solidFill>
          </a:ln>
          <a:effectLst/>
        </c:spPr>
      </c:pivotFmt>
      <c:pivotFmt>
        <c:idx val="8"/>
        <c:spPr>
          <a:solidFill>
            <a:srgbClr val="A3237E"/>
          </a:solidFill>
          <a:ln>
            <a:solidFill>
              <a:schemeClr val="tx1"/>
            </a:solidFill>
          </a:ln>
          <a:effectLst/>
        </c:spPr>
      </c:pivotFmt>
      <c:pivotFmt>
        <c:idx val="9"/>
        <c:spPr>
          <a:solidFill>
            <a:schemeClr val="accent4">
              <a:lumMod val="40000"/>
              <a:lumOff val="60000"/>
            </a:schemeClr>
          </a:solidFill>
          <a:ln>
            <a:solidFill>
              <a:schemeClr val="tx1"/>
            </a:solid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blipFill>
            <a:blip xmlns:r="http://schemas.openxmlformats.org/officeDocument/2006/relationships" r:embed="rId3"/>
            <a:tile tx="0" ty="0" sx="100000" sy="100000" flip="none" algn="tl"/>
          </a:blipFill>
          <a:ln>
            <a:solidFill>
              <a:schemeClr val="tx1"/>
            </a:solidFill>
          </a:ln>
          <a:effectLst/>
        </c:spPr>
      </c:pivotFmt>
      <c:pivotFmt>
        <c:idx val="20"/>
        <c:spPr>
          <a:solidFill>
            <a:srgbClr val="990099"/>
          </a:solidFill>
          <a:ln>
            <a:solidFill>
              <a:schemeClr val="tx1"/>
            </a:solidFill>
          </a:ln>
          <a:effectLst/>
        </c:spPr>
      </c:pivotFmt>
      <c:pivotFmt>
        <c:idx val="21"/>
        <c:spPr>
          <a:solidFill>
            <a:schemeClr val="accent4">
              <a:lumMod val="40000"/>
              <a:lumOff val="60000"/>
            </a:schemeClr>
          </a:solidFill>
          <a:ln>
            <a:solidFill>
              <a:schemeClr val="tx1"/>
            </a:solidFill>
          </a:ln>
          <a:effectLst/>
        </c:spPr>
      </c:pivotFmt>
      <c:pivotFmt>
        <c:idx val="2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v>Sum of Produced_Quantity</c:v>
          </c:tx>
          <c:dPt>
            <c:idx val="0"/>
            <c:bubble3D val="0"/>
            <c:spPr>
              <a:blipFill>
                <a:blip xmlns:r="http://schemas.openxmlformats.org/officeDocument/2006/relationships" r:embed="rId3"/>
                <a:tile tx="0" ty="0" sx="100000" sy="100000" flip="none" algn="tl"/>
              </a:blipFill>
              <a:ln>
                <a:solidFill>
                  <a:schemeClr val="tx1"/>
                </a:solidFill>
              </a:ln>
              <a:effectLst/>
            </c:spPr>
            <c:extLst>
              <c:ext xmlns:c16="http://schemas.microsoft.com/office/drawing/2014/chart" uri="{C3380CC4-5D6E-409C-BE32-E72D297353CC}">
                <c16:uniqueId val="{00000001-DB8A-45AC-9FFF-E0EDC3BC41C5}"/>
              </c:ext>
            </c:extLst>
          </c:dPt>
          <c:dPt>
            <c:idx val="1"/>
            <c:bubble3D val="0"/>
            <c:spPr>
              <a:solidFill>
                <a:srgbClr val="990099"/>
              </a:solidFill>
              <a:ln>
                <a:solidFill>
                  <a:schemeClr val="tx1"/>
                </a:solidFill>
              </a:ln>
              <a:effectLst/>
            </c:spPr>
            <c:extLst>
              <c:ext xmlns:c16="http://schemas.microsoft.com/office/drawing/2014/chart" uri="{C3380CC4-5D6E-409C-BE32-E72D297353CC}">
                <c16:uniqueId val="{00000003-DB8A-45AC-9FFF-E0EDC3BC41C5}"/>
              </c:ext>
            </c:extLst>
          </c:dPt>
          <c:dPt>
            <c:idx val="2"/>
            <c:bubble3D val="0"/>
            <c:spPr>
              <a:solidFill>
                <a:schemeClr val="accent4">
                  <a:lumMod val="40000"/>
                  <a:lumOff val="60000"/>
                </a:schemeClr>
              </a:solidFill>
              <a:ln>
                <a:solidFill>
                  <a:schemeClr val="tx1"/>
                </a:solidFill>
              </a:ln>
              <a:effectLst/>
            </c:spPr>
            <c:extLst>
              <c:ext xmlns:c16="http://schemas.microsoft.com/office/drawing/2014/chart" uri="{C3380CC4-5D6E-409C-BE32-E72D297353CC}">
                <c16:uniqueId val="{00000005-DB8A-45AC-9FFF-E0EDC3BC41C5}"/>
              </c:ext>
            </c:extLst>
          </c:dPt>
          <c:cat>
            <c:strLit>
              <c:ptCount val="3"/>
              <c:pt idx="0">
                <c:v>Evening</c:v>
              </c:pt>
              <c:pt idx="1">
                <c:v>Morning</c:v>
              </c:pt>
              <c:pt idx="2">
                <c:v>Night</c:v>
              </c:pt>
            </c:strLit>
          </c:cat>
          <c:val>
            <c:numLit>
              <c:formatCode>General</c:formatCode>
              <c:ptCount val="3"/>
              <c:pt idx="0">
                <c:v>258816</c:v>
              </c:pt>
              <c:pt idx="1">
                <c:v>294044</c:v>
              </c:pt>
              <c:pt idx="2">
                <c:v>139321</c:v>
              </c:pt>
            </c:numLit>
          </c:val>
          <c:extLst>
            <c:ext xmlns:c16="http://schemas.microsoft.com/office/drawing/2014/chart" uri="{C3380CC4-5D6E-409C-BE32-E72D297353CC}">
              <c16:uniqueId val="{00000006-DB8A-45AC-9FFF-E0EDC3BC41C5}"/>
            </c:ext>
          </c:extLst>
        </c:ser>
        <c:ser>
          <c:idx val="1"/>
          <c:order val="1"/>
          <c:tx>
            <c:v>Series2</c:v>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8-DB8A-45AC-9FFF-E0EDC3BC41C5}"/>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A-DB8A-45AC-9FFF-E0EDC3BC41C5}"/>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C-DB8A-45AC-9FFF-E0EDC3BC41C5}"/>
              </c:ext>
            </c:extLst>
          </c:dPt>
          <c:cat>
            <c:strLit>
              <c:ptCount val="3"/>
              <c:pt idx="0">
                <c:v>Evening</c:v>
              </c:pt>
              <c:pt idx="1">
                <c:v>Morning</c:v>
              </c:pt>
              <c:pt idx="2">
                <c:v>Night</c:v>
              </c:pt>
            </c:strLit>
          </c:cat>
          <c:val>
            <c:numLit>
              <c:formatCode>General</c:formatCode>
              <c:ptCount val="3"/>
              <c:pt idx="0">
                <c:v>0.93269127229714743</c:v>
              </c:pt>
              <c:pt idx="1">
                <c:v>0.98383416879675534</c:v>
              </c:pt>
              <c:pt idx="2">
                <c:v>0.85315492345344279</c:v>
              </c:pt>
            </c:numLit>
          </c:val>
          <c:extLst>
            <c:ext xmlns:c16="http://schemas.microsoft.com/office/drawing/2014/chart" uri="{C3380CC4-5D6E-409C-BE32-E72D297353CC}">
              <c16:uniqueId val="{0000000D-DB8A-45AC-9FFF-E0EDC3BC41C5}"/>
            </c:ext>
          </c:extLst>
        </c:ser>
        <c:ser>
          <c:idx val="2"/>
          <c:order val="2"/>
          <c:tx>
            <c:v>Series3</c:v>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F-DB8A-45AC-9FFF-E0EDC3BC41C5}"/>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11-DB8A-45AC-9FFF-E0EDC3BC41C5}"/>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13-DB8A-45AC-9FFF-E0EDC3BC41C5}"/>
              </c:ext>
            </c:extLst>
          </c:dPt>
          <c:cat>
            <c:strLit>
              <c:ptCount val="3"/>
              <c:pt idx="0">
                <c:v>Evening</c:v>
              </c:pt>
              <c:pt idx="1">
                <c:v>Morning</c:v>
              </c:pt>
              <c:pt idx="2">
                <c:v>Night</c:v>
              </c:pt>
            </c:strLit>
          </c:cat>
          <c:val>
            <c:numLit>
              <c:formatCode>General</c:formatCode>
              <c:ptCount val="3"/>
              <c:pt idx="0">
                <c:v>323.44035023598593</c:v>
              </c:pt>
              <c:pt idx="1">
                <c:v>374.58282518597599</c:v>
              </c:pt>
              <c:pt idx="2">
                <c:v>177.71721503866578</c:v>
              </c:pt>
            </c:numLit>
          </c:val>
          <c:extLst>
            <c:ext xmlns:c16="http://schemas.microsoft.com/office/drawing/2014/chart" uri="{C3380CC4-5D6E-409C-BE32-E72D297353CC}">
              <c16:uniqueId val="{00000014-DB8A-45AC-9FFF-E0EDC3BC41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Downtime by Reason</a:t>
            </a:r>
            <a:endParaRPr lang="en-US"/>
          </a:p>
        </c:rich>
      </c:tx>
      <c:layout>
        <c:manualLayout>
          <c:xMode val="edge"/>
          <c:yMode val="edge"/>
          <c:x val="0.28783155931719823"/>
          <c:y val="3.81732831760749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1"/>
        </a:solidFill>
        <a:ln>
          <a:noFill/>
        </a:ln>
        <a:effectLst/>
        <a:sp3d/>
      </c:spPr>
    </c:sideWall>
    <c:backWall>
      <c:thickness val="0"/>
      <c:spPr>
        <a:solidFill>
          <a:schemeClr val="bg1"/>
        </a:solidFill>
        <a:ln>
          <a:noFill/>
        </a:ln>
        <a:effectLst/>
        <a:sp3d/>
      </c:spPr>
    </c:backWall>
    <c:plotArea>
      <c:layout/>
      <c:bar3DChart>
        <c:barDir val="bar"/>
        <c:grouping val="clustered"/>
        <c:varyColors val="0"/>
        <c:ser>
          <c:idx val="0"/>
          <c:order val="0"/>
          <c:tx>
            <c:v>Total</c:v>
          </c:tx>
          <c:spPr>
            <a:blipFill>
              <a:blip xmlns:r="http://schemas.openxmlformats.org/officeDocument/2006/relationships" r:embed="rId3"/>
              <a:tile tx="0" ty="0" sx="100000" sy="100000" flip="none" algn="tl"/>
            </a:blipFill>
            <a:ln>
              <a:solidFill>
                <a:schemeClr val="tx1"/>
              </a:solidFill>
            </a:ln>
            <a:effectLst/>
            <a:sp3d>
              <a:contourClr>
                <a:schemeClr val="tx1"/>
              </a:contourClr>
            </a:sp3d>
          </c:spPr>
          <c:invertIfNegative val="0"/>
          <c:dLbls>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9"/>
              <c:pt idx="0">
                <c:v>Machine Breakdown</c:v>
              </c:pt>
              <c:pt idx="1">
                <c:v>Material Shortage</c:v>
              </c:pt>
              <c:pt idx="2">
                <c:v>No Downtime</c:v>
              </c:pt>
              <c:pt idx="3">
                <c:v>Operator Issue</c:v>
              </c:pt>
              <c:pt idx="4">
                <c:v>Power Failure</c:v>
              </c:pt>
              <c:pt idx="5">
                <c:v>Preventive Maintenance</c:v>
              </c:pt>
              <c:pt idx="6">
                <c:v>Quality Inspection</c:v>
              </c:pt>
              <c:pt idx="7">
                <c:v>Setup Time</c:v>
              </c:pt>
              <c:pt idx="8">
                <c:v>Tool Change</c:v>
              </c:pt>
            </c:strLit>
          </c:cat>
          <c:val>
            <c:numLit>
              <c:formatCode>General</c:formatCode>
              <c:ptCount val="9"/>
              <c:pt idx="0">
                <c:v>6394</c:v>
              </c:pt>
              <c:pt idx="1">
                <c:v>3934</c:v>
              </c:pt>
              <c:pt idx="2">
                <c:v>0</c:v>
              </c:pt>
              <c:pt idx="3">
                <c:v>2502</c:v>
              </c:pt>
              <c:pt idx="4">
                <c:v>2171</c:v>
              </c:pt>
              <c:pt idx="5">
                <c:v>2273</c:v>
              </c:pt>
              <c:pt idx="6">
                <c:v>1807</c:v>
              </c:pt>
              <c:pt idx="7">
                <c:v>3291</c:v>
              </c:pt>
              <c:pt idx="8">
                <c:v>2885</c:v>
              </c:pt>
            </c:numLit>
          </c:val>
          <c:extLst>
            <c:ext xmlns:c16="http://schemas.microsoft.com/office/drawing/2014/chart" uri="{C3380CC4-5D6E-409C-BE32-E72D297353CC}">
              <c16:uniqueId val="{00000000-35CC-4303-896F-A503F5CE31EE}"/>
            </c:ext>
          </c:extLst>
        </c:ser>
        <c:dLbls>
          <c:showLegendKey val="0"/>
          <c:showVal val="1"/>
          <c:showCatName val="0"/>
          <c:showSerName val="0"/>
          <c:showPercent val="0"/>
          <c:showBubbleSize val="0"/>
        </c:dLbls>
        <c:gapWidth val="150"/>
        <c:shape val="box"/>
        <c:axId val="1231671472"/>
        <c:axId val="989401360"/>
        <c:axId val="0"/>
      </c:bar3DChart>
      <c:catAx>
        <c:axId val="1231671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401360"/>
        <c:crosses val="autoZero"/>
        <c:auto val="1"/>
        <c:lblAlgn val="ctr"/>
        <c:lblOffset val="100"/>
        <c:noMultiLvlLbl val="0"/>
      </c:catAx>
      <c:valAx>
        <c:axId val="98940136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167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Monthly Production/OEE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4"/>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solidFill>
                <a:schemeClr val="accent4"/>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4"/>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solidFill>
                <a:schemeClr val="accent4"/>
              </a:solidFill>
            </a:ln>
            <a:effectLst>
              <a:glow rad="63500">
                <a:schemeClr val="accent1">
                  <a:satMod val="175000"/>
                  <a:alpha val="25000"/>
                </a:schemeClr>
              </a:glow>
            </a:effectLst>
          </c:spPr>
        </c:marker>
      </c:pivotFmt>
      <c:pivotFmt>
        <c:idx val="4"/>
        <c:spPr>
          <a:noFill/>
          <a:ln w="22225" cap="rnd" cmpd="sng" algn="ctr">
            <a:solidFill>
              <a:schemeClr val="accent4"/>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solidFill>
                <a:schemeClr val="accent4"/>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4"/>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solidFill>
                <a:schemeClr val="accent4"/>
              </a:solidFill>
            </a:ln>
            <a:effectLst>
              <a:glow rad="63500">
                <a:schemeClr val="accent1">
                  <a:satMod val="175000"/>
                  <a:alpha val="25000"/>
                </a:schemeClr>
              </a:glow>
            </a:effectLst>
          </c:spPr>
        </c:marker>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4"/>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solidFill>
                <a:schemeClr val="accent4"/>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marker>
          <c:symbol val="circle"/>
          <c:size val="4"/>
          <c:spPr>
            <a:solidFill>
              <a:schemeClr val="accent4">
                <a:lumMod val="60000"/>
                <a:lumOff val="40000"/>
              </a:schemeClr>
            </a:solidFill>
            <a:ln>
              <a:solidFill>
                <a:schemeClr val="accent4"/>
              </a:solidFill>
            </a:ln>
            <a:effectLst>
              <a:glow rad="63500">
                <a:schemeClr val="accent1">
                  <a:satMod val="175000"/>
                  <a:alpha val="25000"/>
                </a:schemeClr>
              </a:glow>
            </a:effectLst>
          </c:spPr>
        </c:marker>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Produced_Quantity</c:v>
          </c:tx>
          <c:spPr>
            <a:ln w="22225" cap="rnd">
              <a:solidFill>
                <a:schemeClr val="accent4"/>
              </a:solidFill>
            </a:ln>
            <a:effectLst>
              <a:glow rad="139700">
                <a:schemeClr val="accent1">
                  <a:satMod val="175000"/>
                  <a:alpha val="14000"/>
                </a:schemeClr>
              </a:glow>
            </a:effectLst>
          </c:spPr>
          <c:marker>
            <c:symbol val="circle"/>
            <c:size val="4"/>
            <c:spPr>
              <a:solidFill>
                <a:schemeClr val="accent1">
                  <a:lumMod val="60000"/>
                  <a:lumOff val="40000"/>
                </a:schemeClr>
              </a:solidFill>
              <a:ln>
                <a:solidFill>
                  <a:schemeClr val="accent4"/>
                </a:solidFill>
              </a:ln>
              <a:effectLst>
                <a:glow rad="63500">
                  <a:schemeClr val="accent1">
                    <a:satMod val="175000"/>
                    <a:alpha val="25000"/>
                  </a:schemeClr>
                </a:glow>
              </a:effectLst>
            </c:spPr>
          </c:marker>
          <c:dPt>
            <c:idx val="5"/>
            <c:marker>
              <c:symbol val="circle"/>
              <c:size val="4"/>
              <c:spPr>
                <a:solidFill>
                  <a:schemeClr val="accent4">
                    <a:lumMod val="60000"/>
                    <a:lumOff val="40000"/>
                  </a:schemeClr>
                </a:solidFill>
                <a:ln>
                  <a:solidFill>
                    <a:schemeClr val="accent4"/>
                  </a:solidFill>
                </a:ln>
                <a:effectLst>
                  <a:glow rad="63500">
                    <a:schemeClr val="accent1">
                      <a:satMod val="175000"/>
                      <a:alpha val="25000"/>
                    </a:schemeClr>
                  </a:glow>
                </a:effectLst>
              </c:spPr>
            </c:marker>
            <c:bubble3D val="0"/>
            <c:extLst>
              <c:ext xmlns:c16="http://schemas.microsoft.com/office/drawing/2014/chart" uri="{C3380CC4-5D6E-409C-BE32-E72D297353CC}">
                <c16:uniqueId val="{00000000-945E-468E-993B-4693B4208F32}"/>
              </c:ext>
            </c:extLst>
          </c:dPt>
          <c:cat>
            <c:strRef>
              <c:extLst>
                <c:ext xmlns:c16="http://schemas.microsoft.com/office/drawing/2014/chart" uri="{F5D05F6E-A05E-4728-AFD3-386EB277150F}">
                  <c16:filteredLitCache>
                    <c:strCache>
                      <c:ptCount val="1"/>
                      <c:pt idx="6">
                        <c:v>(blank)</c:v>
                      </c:pt>
                    </c:strCache>
                  </c16:filteredLitCache>
                </c:ext>
              </c:extLst>
              <c:f/>
              <c:strCache>
                <c:ptCount val="6"/>
                <c:pt idx="0">
                  <c:v>January</c:v>
                </c:pt>
                <c:pt idx="1">
                  <c:v>February</c:v>
                </c:pt>
                <c:pt idx="2">
                  <c:v>March</c:v>
                </c:pt>
                <c:pt idx="3">
                  <c:v>April</c:v>
                </c:pt>
                <c:pt idx="4">
                  <c:v>May</c:v>
                </c:pt>
                <c:pt idx="5">
                  <c:v>June</c:v>
                </c:pt>
              </c:strCache>
            </c:strRef>
          </c:cat>
          <c:val>
            <c:numRef>
              <c:extLst>
                <c:ext xmlns:c16="http://schemas.microsoft.com/office/drawing/2014/chart" uri="{F5D05F6E-A05E-4728-AFD3-386EB277150F}">
                  <c16:filteredLitCache>
                    <c:numCache>
                      <c:formatCode>General</c:formatCode>
                      <c:ptCount val="1"/>
                      <c:pt idx="6">
                        <c:v>0</c:v>
                      </c:pt>
                    </c:numCache>
                  </c16:filteredLitCache>
                </c:ext>
              </c:extLst>
              <c:f/>
              <c:numCache>
                <c:formatCode>General</c:formatCode>
                <c:ptCount val="6"/>
                <c:pt idx="0">
                  <c:v>123582</c:v>
                </c:pt>
                <c:pt idx="1">
                  <c:v>108462</c:v>
                </c:pt>
                <c:pt idx="2">
                  <c:v>110123</c:v>
                </c:pt>
                <c:pt idx="3">
                  <c:v>116277</c:v>
                </c:pt>
                <c:pt idx="4">
                  <c:v>116924</c:v>
                </c:pt>
                <c:pt idx="5">
                  <c:v>116813</c:v>
                </c:pt>
              </c:numCache>
            </c:numRef>
          </c:val>
          <c:smooth val="0"/>
          <c:extLst>
            <c:ext xmlns:c16="http://schemas.microsoft.com/office/drawing/2014/chart" uri="{C3380CC4-5D6E-409C-BE32-E72D297353CC}">
              <c16:uniqueId val="{00000001-945E-468E-993B-4693B4208F32}"/>
            </c:ext>
          </c:extLst>
        </c:ser>
        <c:ser>
          <c:idx val="1"/>
          <c:order val="1"/>
          <c:tx>
            <c:v>Sum of Downtime_Hours</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extLst>
                <c:ext xmlns:c16="http://schemas.microsoft.com/office/drawing/2014/chart" uri="{F5D05F6E-A05E-4728-AFD3-386EB277150F}">
                  <c16:filteredLitCache>
                    <c:strCache>
                      <c:ptCount val="1"/>
                      <c:pt idx="6">
                        <c:v>(blank)</c:v>
                      </c:pt>
                    </c:strCache>
                  </c16:filteredLitCache>
                </c:ext>
              </c:extLst>
              <c:f/>
              <c:strCache>
                <c:ptCount val="6"/>
                <c:pt idx="0">
                  <c:v>January</c:v>
                </c:pt>
                <c:pt idx="1">
                  <c:v>February</c:v>
                </c:pt>
                <c:pt idx="2">
                  <c:v>March</c:v>
                </c:pt>
                <c:pt idx="3">
                  <c:v>April</c:v>
                </c:pt>
                <c:pt idx="4">
                  <c:v>May</c:v>
                </c:pt>
                <c:pt idx="5">
                  <c:v>June</c:v>
                </c:pt>
              </c:strCache>
            </c:strRef>
          </c:cat>
          <c:val>
            <c:numRef>
              <c:extLst>
                <c:ext xmlns:c16="http://schemas.microsoft.com/office/drawing/2014/chart" uri="{F5D05F6E-A05E-4728-AFD3-386EB277150F}">
                  <c16:filteredLitCache>
                    <c:numCache>
                      <c:formatCode>General</c:formatCode>
                      <c:ptCount val="1"/>
                      <c:pt idx="6">
                        <c:v>0</c:v>
                      </c:pt>
                    </c:numCache>
                  </c16:filteredLitCache>
                </c:ext>
              </c:extLst>
              <c:f/>
              <c:numCache>
                <c:formatCode>General</c:formatCode>
                <c:ptCount val="6"/>
                <c:pt idx="0">
                  <c:v>74.916666666666686</c:v>
                </c:pt>
                <c:pt idx="1">
                  <c:v>64.216666666666654</c:v>
                </c:pt>
                <c:pt idx="2">
                  <c:v>71.75</c:v>
                </c:pt>
                <c:pt idx="3">
                  <c:v>70.666666666666671</c:v>
                </c:pt>
                <c:pt idx="4">
                  <c:v>70.516666666666666</c:v>
                </c:pt>
                <c:pt idx="5">
                  <c:v>68.883333333333283</c:v>
                </c:pt>
              </c:numCache>
            </c:numRef>
          </c:val>
          <c:smooth val="0"/>
          <c:extLst>
            <c:ext xmlns:c16="http://schemas.microsoft.com/office/drawing/2014/chart" uri="{C3380CC4-5D6E-409C-BE32-E72D297353CC}">
              <c16:uniqueId val="{00000002-945E-468E-993B-4693B4208F32}"/>
            </c:ext>
          </c:extLst>
        </c:ser>
        <c:ser>
          <c:idx val="2"/>
          <c:order val="2"/>
          <c:tx>
            <c:v>Average of OEE_%</c:v>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extLst>
                <c:ext xmlns:c16="http://schemas.microsoft.com/office/drawing/2014/chart" uri="{F5D05F6E-A05E-4728-AFD3-386EB277150F}">
                  <c16:filteredLitCache>
                    <c:strCache>
                      <c:ptCount val="1"/>
                      <c:pt idx="6">
                        <c:v>(blank)</c:v>
                      </c:pt>
                    </c:strCache>
                  </c16:filteredLitCache>
                </c:ext>
              </c:extLst>
              <c:f/>
              <c:strCache>
                <c:ptCount val="6"/>
                <c:pt idx="0">
                  <c:v>January</c:v>
                </c:pt>
                <c:pt idx="1">
                  <c:v>February</c:v>
                </c:pt>
                <c:pt idx="2">
                  <c:v>March</c:v>
                </c:pt>
                <c:pt idx="3">
                  <c:v>April</c:v>
                </c:pt>
                <c:pt idx="4">
                  <c:v>May</c:v>
                </c:pt>
                <c:pt idx="5">
                  <c:v>June</c:v>
                </c:pt>
              </c:strCache>
            </c:strRef>
          </c:cat>
          <c:val>
            <c:numRef>
              <c:extLst>
                <c:ext xmlns:c16="http://schemas.microsoft.com/office/drawing/2014/chart" uri="{F5D05F6E-A05E-4728-AFD3-386EB277150F}">
                  <c16:filteredLitCache>
                    <c:numCache>
                      <c:formatCode>General</c:formatCode>
                      <c:ptCount val="1"/>
                      <c:pt idx="6">
                        <c:v>0</c:v>
                      </c:pt>
                    </c:numCache>
                  </c16:filteredLitCache>
                </c:ext>
              </c:extLst>
              <c:f/>
              <c:numCache>
                <c:formatCode>General</c:formatCode>
                <c:ptCount val="6"/>
                <c:pt idx="0">
                  <c:v>0.88370143956757219</c:v>
                </c:pt>
                <c:pt idx="1">
                  <c:v>0.87309151916692773</c:v>
                </c:pt>
                <c:pt idx="2">
                  <c:v>0.87489161688030259</c:v>
                </c:pt>
                <c:pt idx="3">
                  <c:v>0.87523748794596146</c:v>
                </c:pt>
                <c:pt idx="4">
                  <c:v>0.86849781454404651</c:v>
                </c:pt>
                <c:pt idx="5">
                  <c:v>0.87824411232283961</c:v>
                </c:pt>
              </c:numCache>
            </c:numRef>
          </c:val>
          <c:smooth val="0"/>
          <c:extLst>
            <c:ext xmlns:c16="http://schemas.microsoft.com/office/drawing/2014/chart" uri="{C3380CC4-5D6E-409C-BE32-E72D297353CC}">
              <c16:uniqueId val="{00000003-945E-468E-993B-4693B4208F32}"/>
            </c:ext>
          </c:extLst>
        </c:ser>
        <c:dLbls>
          <c:showLegendKey val="0"/>
          <c:showVal val="0"/>
          <c:showCatName val="0"/>
          <c:showSerName val="0"/>
          <c:showPercent val="0"/>
          <c:showBubbleSize val="0"/>
        </c:dLbls>
        <c:marker val="1"/>
        <c:smooth val="0"/>
        <c:axId val="1231637600"/>
        <c:axId val="989351920"/>
      </c:lineChart>
      <c:catAx>
        <c:axId val="12316376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9351920"/>
        <c:crosses val="autoZero"/>
        <c:auto val="1"/>
        <c:lblAlgn val="ctr"/>
        <c:lblOffset val="100"/>
        <c:noMultiLvlLbl val="0"/>
      </c:catAx>
      <c:valAx>
        <c:axId val="9893519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163760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Defect Rate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'06_Student2_Quality_Cost'!$B$20</c:f>
              <c:strCache>
                <c:ptCount val="1"/>
                <c:pt idx="0">
                  <c:v>Defect Rate %</c:v>
                </c:pt>
              </c:strCache>
            </c:strRef>
          </c:tx>
          <c:spPr>
            <a:blipFill>
              <a:blip xmlns:r="http://schemas.openxmlformats.org/officeDocument/2006/relationships" r:embed="rId3"/>
              <a:tile tx="0" ty="0" sx="100000" sy="100000" flip="none" algn="tl"/>
            </a:blip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'06_Student2_Quality_Cost'!$A$21:$A$25</c:f>
              <c:strCache>
                <c:ptCount val="5"/>
                <c:pt idx="0">
                  <c:v>Product A</c:v>
                </c:pt>
                <c:pt idx="1">
                  <c:v>Product B</c:v>
                </c:pt>
                <c:pt idx="2">
                  <c:v>Product C</c:v>
                </c:pt>
                <c:pt idx="3">
                  <c:v>Product D</c:v>
                </c:pt>
                <c:pt idx="4">
                  <c:v>Product E</c:v>
                </c:pt>
              </c:strCache>
            </c:strRef>
          </c:cat>
          <c:val>
            <c:numRef>
              <c:f>'06_Student2_Quality_Cost'!$B$21:$B$25</c:f>
              <c:numCache>
                <c:formatCode>0.0%</c:formatCode>
                <c:ptCount val="5"/>
                <c:pt idx="0">
                  <c:v>6.3211363028460241E-2</c:v>
                </c:pt>
                <c:pt idx="1">
                  <c:v>6.5182211636825568E-2</c:v>
                </c:pt>
                <c:pt idx="2">
                  <c:v>6.4527123127614536E-2</c:v>
                </c:pt>
                <c:pt idx="3">
                  <c:v>6.4731422332998084E-2</c:v>
                </c:pt>
                <c:pt idx="4">
                  <c:v>6.7868298952572514E-2</c:v>
                </c:pt>
              </c:numCache>
            </c:numRef>
          </c:val>
          <c:extLst>
            <c:ext xmlns:c16="http://schemas.microsoft.com/office/drawing/2014/chart" uri="{C3380CC4-5D6E-409C-BE32-E72D297353CC}">
              <c16:uniqueId val="{00000000-FE8D-4519-B85C-C6ABB4037F40}"/>
            </c:ext>
          </c:extLst>
        </c:ser>
        <c:dLbls>
          <c:showLegendKey val="0"/>
          <c:showVal val="0"/>
          <c:showCatName val="0"/>
          <c:showSerName val="0"/>
          <c:showPercent val="0"/>
          <c:showBubbleSize val="0"/>
        </c:dLbls>
        <c:gapWidth val="100"/>
        <c:overlap val="-24"/>
        <c:axId val="79900531"/>
        <c:axId val="84361099"/>
      </c:barChart>
      <c:catAx>
        <c:axId val="799005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361099"/>
        <c:crosses val="autoZero"/>
        <c:auto val="1"/>
        <c:lblAlgn val="ctr"/>
        <c:lblOffset val="100"/>
        <c:noMultiLvlLbl val="0"/>
      </c:catAx>
      <c:valAx>
        <c:axId val="8436109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Defect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00531"/>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Scrap by Machine</a:t>
            </a:r>
            <a:endParaRPr lang="en-IN"/>
          </a:p>
        </c:rich>
      </c:tx>
      <c:layout>
        <c:manualLayout>
          <c:xMode val="edge"/>
          <c:yMode val="edge"/>
          <c:x val="0.29964481907356977"/>
          <c:y val="2.41313247901190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solidFill>
            <a:schemeClr val="accent4">
              <a:lumMod val="40000"/>
              <a:lumOff val="60000"/>
            </a:schemeClr>
          </a:solidFill>
          <a:ln>
            <a:solidFill>
              <a:schemeClr val="tx1"/>
            </a:solid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a:solidFill>
              <a:schemeClr val="tx1"/>
            </a:solid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tile tx="0" ty="0" sx="100000" sy="100000" flip="none" algn="tl"/>
          </a:blip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solidFill>
              <a:schemeClr val="tx1"/>
            </a:solidFill>
          </a:ln>
          <a:effectLst/>
        </c:spPr>
        <c:marker>
          <c:symbol val="none"/>
        </c:marker>
      </c:pivotFmt>
      <c:pivotFmt>
        <c:idx val="5"/>
        <c:spPr>
          <a:blipFill>
            <a:blip xmlns:r="http://schemas.openxmlformats.org/officeDocument/2006/relationships" r:embed="rId3"/>
            <a:tile tx="0" ty="0" sx="100000" sy="100000" flip="none" algn="tl"/>
          </a:blipFill>
          <a:ln>
            <a:solidFill>
              <a:schemeClr val="tx1"/>
            </a:solidFill>
          </a:ln>
          <a:effectLst/>
        </c:spPr>
        <c:marker>
          <c:symbol val="none"/>
        </c:marker>
      </c:pivotFmt>
    </c:pivotFmts>
    <c:plotArea>
      <c:layout/>
      <c:barChart>
        <c:barDir val="bar"/>
        <c:grouping val="clustered"/>
        <c:varyColors val="0"/>
        <c:ser>
          <c:idx val="0"/>
          <c:order val="0"/>
          <c:tx>
            <c:v>Series1</c:v>
          </c:tx>
          <c:spPr>
            <a:solidFill>
              <a:schemeClr val="accent4">
                <a:lumMod val="40000"/>
                <a:lumOff val="60000"/>
              </a:schemeClr>
            </a:solidFill>
            <a:ln>
              <a:solidFill>
                <a:schemeClr val="tx1"/>
              </a:solidFill>
            </a:ln>
            <a:effectLst/>
          </c:spPr>
          <c:invertIfNegative val="0"/>
          <c:cat>
            <c:strLit>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Lit>
          </c:cat>
          <c:val>
            <c:numLit>
              <c:formatCode>General</c:formatCode>
              <c:ptCount val="15"/>
              <c:pt idx="0">
                <c:v>609</c:v>
              </c:pt>
              <c:pt idx="1">
                <c:v>951</c:v>
              </c:pt>
              <c:pt idx="2">
                <c:v>644</c:v>
              </c:pt>
              <c:pt idx="3">
                <c:v>952</c:v>
              </c:pt>
              <c:pt idx="4">
                <c:v>708</c:v>
              </c:pt>
              <c:pt idx="5">
                <c:v>1072</c:v>
              </c:pt>
              <c:pt idx="6">
                <c:v>1014</c:v>
              </c:pt>
              <c:pt idx="7">
                <c:v>832</c:v>
              </c:pt>
              <c:pt idx="8">
                <c:v>1639</c:v>
              </c:pt>
              <c:pt idx="9">
                <c:v>473</c:v>
              </c:pt>
              <c:pt idx="10">
                <c:v>657</c:v>
              </c:pt>
              <c:pt idx="11">
                <c:v>928</c:v>
              </c:pt>
              <c:pt idx="12">
                <c:v>871</c:v>
              </c:pt>
              <c:pt idx="13">
                <c:v>1207</c:v>
              </c:pt>
              <c:pt idx="14">
                <c:v>695</c:v>
              </c:pt>
            </c:numLit>
          </c:val>
          <c:extLst>
            <c:ext xmlns:c16="http://schemas.microsoft.com/office/drawing/2014/chart" uri="{C3380CC4-5D6E-409C-BE32-E72D297353CC}">
              <c16:uniqueId val="{00000000-C108-401A-A0BA-ED2987C9710A}"/>
            </c:ext>
          </c:extLst>
        </c:ser>
        <c:ser>
          <c:idx val="1"/>
          <c:order val="1"/>
          <c:tx>
            <c:v>Sum of Scrap_Cost</c:v>
          </c:tx>
          <c:spPr>
            <a:blipFill>
              <a:blip xmlns:r="http://schemas.openxmlformats.org/officeDocument/2006/relationships" r:embed="rId3"/>
              <a:tile tx="0" ty="0" sx="100000" sy="100000" flip="none" algn="tl"/>
            </a:blipFill>
            <a:ln>
              <a:solidFill>
                <a:schemeClr val="tx1"/>
              </a:solidFill>
            </a:ln>
            <a:effectLst/>
          </c:spPr>
          <c:invertIfNegative val="0"/>
          <c:cat>
            <c:strLit>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Lit>
          </c:cat>
          <c:val>
            <c:numLit>
              <c:formatCode>General</c:formatCode>
              <c:ptCount val="15"/>
              <c:pt idx="0">
                <c:v>14050.163855403211</c:v>
              </c:pt>
              <c:pt idx="1">
                <c:v>21489.341499017923</c:v>
              </c:pt>
              <c:pt idx="2">
                <c:v>14799.809969057449</c:v>
              </c:pt>
              <c:pt idx="3">
                <c:v>20770.636894613843</c:v>
              </c:pt>
              <c:pt idx="4">
                <c:v>16784.990033932732</c:v>
              </c:pt>
              <c:pt idx="5">
                <c:v>24475.101752498031</c:v>
              </c:pt>
              <c:pt idx="6">
                <c:v>23494.506781215165</c:v>
              </c:pt>
              <c:pt idx="7">
                <c:v>19030.986063743603</c:v>
              </c:pt>
              <c:pt idx="8">
                <c:v>35832.555152580957</c:v>
              </c:pt>
              <c:pt idx="9">
                <c:v>10845.25561590418</c:v>
              </c:pt>
              <c:pt idx="10">
                <c:v>15326.373369585821</c:v>
              </c:pt>
              <c:pt idx="11">
                <c:v>21056.59393728165</c:v>
              </c:pt>
              <c:pt idx="12">
                <c:v>19438.27649366402</c:v>
              </c:pt>
              <c:pt idx="13">
                <c:v>28009.475793676072</c:v>
              </c:pt>
              <c:pt idx="14">
                <c:v>15639.627974021503</c:v>
              </c:pt>
            </c:numLit>
          </c:val>
          <c:extLst>
            <c:ext xmlns:c16="http://schemas.microsoft.com/office/drawing/2014/chart" uri="{C3380CC4-5D6E-409C-BE32-E72D297353CC}">
              <c16:uniqueId val="{00000001-C108-401A-A0BA-ED2987C9710A}"/>
            </c:ext>
          </c:extLst>
        </c:ser>
        <c:dLbls>
          <c:showLegendKey val="0"/>
          <c:showVal val="0"/>
          <c:showCatName val="0"/>
          <c:showSerName val="0"/>
          <c:showPercent val="0"/>
          <c:showBubbleSize val="0"/>
        </c:dLbls>
        <c:gapWidth val="150"/>
        <c:axId val="704817711"/>
        <c:axId val="989389360"/>
      </c:barChart>
      <c:catAx>
        <c:axId val="7048177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89360"/>
        <c:crosses val="autoZero"/>
        <c:auto val="1"/>
        <c:lblAlgn val="ctr"/>
        <c:lblOffset val="100"/>
        <c:noMultiLvlLbl val="0"/>
      </c:catAx>
      <c:valAx>
        <c:axId val="98938936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81771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Defect Rate by Shift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solidFill>
              <a:schemeClr val="tx1"/>
            </a:solid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blipFill>
              <a:blip xmlns:r="http://schemas.openxmlformats.org/officeDocument/2006/relationships" r:embed="rId3"/>
              <a:tile tx="0" ty="0" sx="100000" sy="100000" flip="none" algn="tl"/>
            </a:blipFill>
            <a:ln>
              <a:solidFill>
                <a:schemeClr val="tx1"/>
              </a:solidFill>
            </a:ln>
            <a:effectLst/>
          </c:spPr>
          <c:invertIfNegative val="0"/>
          <c:dLbls>
            <c:spPr>
              <a:solidFill>
                <a:schemeClr val="tx1">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Evening</c:v>
              </c:pt>
              <c:pt idx="1">
                <c:v>Morning</c:v>
              </c:pt>
              <c:pt idx="2">
                <c:v>Night</c:v>
              </c:pt>
            </c:strLit>
          </c:cat>
          <c:val>
            <c:numLit>
              <c:formatCode>General</c:formatCode>
              <c:ptCount val="3"/>
              <c:pt idx="0">
                <c:v>6.3336565560766875E-2</c:v>
              </c:pt>
              <c:pt idx="1">
                <c:v>6.2956409067124033E-2</c:v>
              </c:pt>
              <c:pt idx="2">
                <c:v>7.1065379058755554E-2</c:v>
              </c:pt>
            </c:numLit>
          </c:val>
          <c:extLst>
            <c:ext xmlns:c16="http://schemas.microsoft.com/office/drawing/2014/chart" uri="{C3380CC4-5D6E-409C-BE32-E72D297353CC}">
              <c16:uniqueId val="{00000000-C88D-4BF4-AE09-C1ED31D37492}"/>
            </c:ext>
          </c:extLst>
        </c:ser>
        <c:dLbls>
          <c:dLblPos val="outEnd"/>
          <c:showLegendKey val="0"/>
          <c:showVal val="1"/>
          <c:showCatName val="0"/>
          <c:showSerName val="0"/>
          <c:showPercent val="0"/>
          <c:showBubbleSize val="0"/>
        </c:dLbls>
        <c:gapWidth val="100"/>
        <c:overlap val="-24"/>
        <c:axId val="1231608832"/>
        <c:axId val="989338480"/>
      </c:barChart>
      <c:catAx>
        <c:axId val="12316088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38480"/>
        <c:crosses val="autoZero"/>
        <c:auto val="1"/>
        <c:lblAlgn val="ctr"/>
        <c:lblOffset val="100"/>
        <c:noMultiLvlLbl val="0"/>
      </c:catAx>
      <c:valAx>
        <c:axId val="989338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1608832"/>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solidFill>
              <a:schemeClr val="tx1"/>
            </a:solid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tx1"/>
            </a:solidFill>
          </a:ln>
          <a:effectLst/>
        </c:spPr>
        <c:marker>
          <c:symbol val="circle"/>
          <c:size val="6"/>
          <c:spPr>
            <a:gradFill>
              <a:gsLst>
                <a:gs pos="0">
                  <a:schemeClr val="accent3">
                    <a:shade val="51000"/>
                  </a:schemeClr>
                </a:gs>
                <a:gs pos="80000">
                  <a:schemeClr val="accent3">
                    <a:shade val="93000"/>
                  </a:schemeClr>
                </a:gs>
                <a:gs pos="100000">
                  <a:schemeClr val="accent3">
                    <a:shade val="94000"/>
                  </a:schemeClr>
                </a:gs>
              </a:gsLst>
              <a:lin ang="16200000" scaled="0"/>
              <a:tileRect/>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tile tx="0" ty="0" sx="100000" sy="100000" flip="none" algn="tl"/>
          </a:blip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tile tx="0" ty="0" sx="100000" sy="100000" flip="none" algn="tl"/>
          </a:blip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Revenue</c:v>
          </c:tx>
          <c:spPr>
            <a:blipFill>
              <a:blip xmlns:r="http://schemas.openxmlformats.org/officeDocument/2006/relationships" r:embed="rId3"/>
              <a:tile tx="0" ty="0" sx="100000" sy="100000" flip="none" algn="tl"/>
            </a:blipFill>
            <a:ln>
              <a:solidFill>
                <a:schemeClr val="tx1"/>
              </a:solidFill>
            </a:ln>
            <a:effectLst/>
          </c:spPr>
          <c:invertIfNegative val="0"/>
          <c:cat>
            <c:strLit>
              <c:ptCount val="5"/>
              <c:pt idx="0">
                <c:v>Product A</c:v>
              </c:pt>
              <c:pt idx="1">
                <c:v>Product B</c:v>
              </c:pt>
              <c:pt idx="2">
                <c:v>Product C</c:v>
              </c:pt>
              <c:pt idx="3">
                <c:v>Product D</c:v>
              </c:pt>
              <c:pt idx="4">
                <c:v>Product E</c:v>
              </c:pt>
            </c:strLit>
          </c:cat>
          <c:val>
            <c:numLit>
              <c:formatCode>General</c:formatCode>
              <c:ptCount val="5"/>
              <c:pt idx="0">
                <c:v>5774816.5200000042</c:v>
              </c:pt>
              <c:pt idx="1">
                <c:v>5543057.4999999981</c:v>
              </c:pt>
              <c:pt idx="2">
                <c:v>4791216.51</c:v>
              </c:pt>
              <c:pt idx="3">
                <c:v>4872236.6999999965</c:v>
              </c:pt>
              <c:pt idx="4">
                <c:v>4056728.5499999993</c:v>
              </c:pt>
            </c:numLit>
          </c:val>
          <c:extLst>
            <c:ext xmlns:c16="http://schemas.microsoft.com/office/drawing/2014/chart" uri="{C3380CC4-5D6E-409C-BE32-E72D297353CC}">
              <c16:uniqueId val="{00000000-00AC-4D76-B34A-AB9BAAF97826}"/>
            </c:ext>
          </c:extLst>
        </c:ser>
        <c:ser>
          <c:idx val="1"/>
          <c:order val="1"/>
          <c:tx>
            <c:v>Sum of Cost_Per_Unit</c:v>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cat>
            <c:strLit>
              <c:ptCount val="5"/>
              <c:pt idx="0">
                <c:v>Product A</c:v>
              </c:pt>
              <c:pt idx="1">
                <c:v>Product B</c:v>
              </c:pt>
              <c:pt idx="2">
                <c:v>Product C</c:v>
              </c:pt>
              <c:pt idx="3">
                <c:v>Product D</c:v>
              </c:pt>
              <c:pt idx="4">
                <c:v>Product E</c:v>
              </c:pt>
            </c:strLit>
          </c:cat>
          <c:val>
            <c:numLit>
              <c:formatCode>General</c:formatCode>
              <c:ptCount val="5"/>
              <c:pt idx="0">
                <c:v>5735.8144760448085</c:v>
              </c:pt>
              <c:pt idx="1">
                <c:v>6148.364689878782</c:v>
              </c:pt>
              <c:pt idx="2">
                <c:v>6311.4151016650922</c:v>
              </c:pt>
              <c:pt idx="3">
                <c:v>4950.4922728502161</c:v>
              </c:pt>
              <c:pt idx="4">
                <c:v>6041.9889971581842</c:v>
              </c:pt>
            </c:numLit>
          </c:val>
          <c:extLst>
            <c:ext xmlns:c16="http://schemas.microsoft.com/office/drawing/2014/chart" uri="{C3380CC4-5D6E-409C-BE32-E72D297353CC}">
              <c16:uniqueId val="{00000001-00AC-4D76-B34A-AB9BAAF97826}"/>
            </c:ext>
          </c:extLst>
        </c:ser>
        <c:ser>
          <c:idx val="2"/>
          <c:order val="2"/>
          <c:tx>
            <c:v>Sum of Profit</c:v>
          </c:tx>
          <c:spPr>
            <a:solidFill>
              <a:schemeClr val="accent4">
                <a:lumMod val="60000"/>
                <a:lumOff val="40000"/>
              </a:schemeClr>
            </a:solidFill>
            <a:ln>
              <a:solidFill>
                <a:schemeClr val="tx1"/>
              </a:solidFill>
            </a:ln>
            <a:effectLst/>
          </c:spPr>
          <c:invertIfNegative val="0"/>
          <c:cat>
            <c:strLit>
              <c:ptCount val="5"/>
              <c:pt idx="0">
                <c:v>Product A</c:v>
              </c:pt>
              <c:pt idx="1">
                <c:v>Product B</c:v>
              </c:pt>
              <c:pt idx="2">
                <c:v>Product C</c:v>
              </c:pt>
              <c:pt idx="3">
                <c:v>Product D</c:v>
              </c:pt>
              <c:pt idx="4">
                <c:v>Product E</c:v>
              </c:pt>
            </c:strLit>
          </c:cat>
          <c:val>
            <c:numLit>
              <c:formatCode>General</c:formatCode>
              <c:ptCount val="5"/>
              <c:pt idx="0">
                <c:v>1167679.5664573759</c:v>
              </c:pt>
              <c:pt idx="1">
                <c:v>1166530.4614109059</c:v>
              </c:pt>
              <c:pt idx="2">
                <c:v>974320.32596379519</c:v>
              </c:pt>
              <c:pt idx="3">
                <c:v>1003179.042397492</c:v>
              </c:pt>
              <c:pt idx="4">
                <c:v>776959.75858423638</c:v>
              </c:pt>
            </c:numLit>
          </c:val>
          <c:extLst>
            <c:ext xmlns:c16="http://schemas.microsoft.com/office/drawing/2014/chart" uri="{C3380CC4-5D6E-409C-BE32-E72D297353CC}">
              <c16:uniqueId val="{00000002-00AC-4D76-B34A-AB9BAAF97826}"/>
            </c:ext>
          </c:extLst>
        </c:ser>
        <c:dLbls>
          <c:showLegendKey val="0"/>
          <c:showVal val="0"/>
          <c:showCatName val="0"/>
          <c:showSerName val="0"/>
          <c:showPercent val="0"/>
          <c:showBubbleSize val="0"/>
        </c:dLbls>
        <c:gapWidth val="150"/>
        <c:overlap val="100"/>
        <c:axId val="704652527"/>
        <c:axId val="636369424"/>
      </c:barChart>
      <c:catAx>
        <c:axId val="704652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369424"/>
        <c:crosses val="autoZero"/>
        <c:auto val="1"/>
        <c:lblAlgn val="ctr"/>
        <c:lblOffset val="100"/>
        <c:noMultiLvlLbl val="0"/>
      </c:catAx>
      <c:valAx>
        <c:axId val="6363694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65252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Maintenance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solidFill>
              <a:schemeClr val="tx1"/>
            </a:solidFill>
          </a:ln>
          <a:effectLst/>
          <a:sp3d>
            <a:contourClr>
              <a:schemeClr val="tx1"/>
            </a:contourClr>
          </a:sp3d>
        </c:spPr>
        <c:marker>
          <c:symbol val="circle"/>
          <c:size val="6"/>
          <c:spPr>
            <a:gradFill>
              <a:gsLst>
                <a:gs pos="0">
                  <a:schemeClr val="accent3">
                    <a:shade val="51000"/>
                  </a:schemeClr>
                </a:gs>
                <a:gs pos="80000">
                  <a:schemeClr val="accent3">
                    <a:shade val="93000"/>
                  </a:schemeClr>
                </a:gs>
                <a:gs pos="100000">
                  <a:schemeClr val="accent3">
                    <a:shade val="94000"/>
                  </a:schemeClr>
                </a:gs>
              </a:gsLst>
              <a:lin ang="16200000" scaled="0"/>
              <a:tileRect/>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solidFill>
              <a:schemeClr val="tx1"/>
            </a:solidFill>
          </a:ln>
          <a:effectLst/>
          <a:sp3d>
            <a:contourClr>
              <a:schemeClr val="tx1"/>
            </a:contourClr>
          </a:sp3d>
        </c:spPr>
        <c:marker>
          <c:symbol val="circle"/>
          <c:size val="6"/>
          <c:spPr>
            <a:gradFill>
              <a:gsLst>
                <a:gs pos="0">
                  <a:schemeClr val="accent4">
                    <a:shade val="51000"/>
                  </a:schemeClr>
                </a:gs>
                <a:gs pos="80000">
                  <a:schemeClr val="accent4">
                    <a:shade val="93000"/>
                  </a:schemeClr>
                </a:gs>
                <a:gs pos="100000">
                  <a:schemeClr val="accent4">
                    <a:shade val="94000"/>
                  </a:schemeClr>
                </a:gs>
              </a:gsLst>
              <a:lin ang="16200000" scaled="0"/>
              <a:tileRect/>
            </a:gra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1"/>
        </a:solidFill>
        <a:ln>
          <a:noFill/>
        </a:ln>
        <a:effectLst/>
        <a:sp3d/>
      </c:spPr>
    </c:sideWall>
    <c:backWall>
      <c:thickness val="0"/>
      <c:spPr>
        <a:solidFill>
          <a:schemeClr val="bg1"/>
        </a:solidFill>
        <a:ln>
          <a:noFill/>
        </a:ln>
        <a:effectLst/>
        <a:sp3d/>
      </c:spPr>
    </c:backWall>
    <c:plotArea>
      <c:layout/>
      <c:bar3DChart>
        <c:barDir val="col"/>
        <c:grouping val="percentStacked"/>
        <c:varyColors val="0"/>
        <c:ser>
          <c:idx val="0"/>
          <c:order val="0"/>
          <c:tx>
            <c:v>Sum of Record_ID</c:v>
          </c:tx>
          <c:spPr>
            <a:blipFill>
              <a:blip xmlns:r="http://schemas.openxmlformats.org/officeDocument/2006/relationships" r:embed="rId3"/>
              <a:tile tx="0" ty="0" sx="100000" sy="100000" flip="none" algn="tl"/>
            </a:blipFill>
            <a:ln>
              <a:solidFill>
                <a:schemeClr val="tx1"/>
              </a:solidFill>
            </a:ln>
            <a:effectLst/>
            <a:sp3d>
              <a:contourClr>
                <a:schemeClr val="tx1"/>
              </a:contourClr>
            </a:sp3d>
          </c:spPr>
          <c:invertIfNegative val="0"/>
          <c:cat>
            <c:strLit>
              <c:ptCount val="4"/>
              <c:pt idx="0">
                <c:v>Completed</c:v>
              </c:pt>
              <c:pt idx="1">
                <c:v>Overdue</c:v>
              </c:pt>
              <c:pt idx="2">
                <c:v>Pending</c:v>
              </c:pt>
              <c:pt idx="3">
                <c:v>Scheduled</c:v>
              </c:pt>
            </c:strLit>
          </c:cat>
          <c:val>
            <c:numLit>
              <c:formatCode>General</c:formatCode>
              <c:ptCount val="4"/>
              <c:pt idx="0">
                <c:v>206338</c:v>
              </c:pt>
              <c:pt idx="1">
                <c:v>76971</c:v>
              </c:pt>
              <c:pt idx="2">
                <c:v>74605</c:v>
              </c:pt>
              <c:pt idx="3">
                <c:v>142586</c:v>
              </c:pt>
            </c:numLit>
          </c:val>
          <c:extLst>
            <c:ext xmlns:c16="http://schemas.microsoft.com/office/drawing/2014/chart" uri="{C3380CC4-5D6E-409C-BE32-E72D297353CC}">
              <c16:uniqueId val="{00000000-6521-4622-9B3E-EC24C9F52E55}"/>
            </c:ext>
          </c:extLst>
        </c:ser>
        <c:ser>
          <c:idx val="1"/>
          <c:order val="1"/>
          <c:tx>
            <c:v>Average of OEE_%</c:v>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a:sp3d/>
          </c:spPr>
          <c:invertIfNegative val="0"/>
          <c:cat>
            <c:strLit>
              <c:ptCount val="4"/>
              <c:pt idx="0">
                <c:v>Completed</c:v>
              </c:pt>
              <c:pt idx="1">
                <c:v>Overdue</c:v>
              </c:pt>
              <c:pt idx="2">
                <c:v>Pending</c:v>
              </c:pt>
              <c:pt idx="3">
                <c:v>Scheduled</c:v>
              </c:pt>
            </c:strLit>
          </c:cat>
          <c:val>
            <c:numLit>
              <c:formatCode>General</c:formatCode>
              <c:ptCount val="4"/>
              <c:pt idx="0">
                <c:v>0.88084085666352108</c:v>
              </c:pt>
              <c:pt idx="1">
                <c:v>0.87232759220887679</c:v>
              </c:pt>
              <c:pt idx="2">
                <c:v>0.87041073655487256</c:v>
              </c:pt>
              <c:pt idx="3">
                <c:v>0.87340439399811698</c:v>
              </c:pt>
            </c:numLit>
          </c:val>
          <c:extLst>
            <c:ext xmlns:c16="http://schemas.microsoft.com/office/drawing/2014/chart" uri="{C3380CC4-5D6E-409C-BE32-E72D297353CC}">
              <c16:uniqueId val="{00000001-6521-4622-9B3E-EC24C9F52E55}"/>
            </c:ext>
          </c:extLst>
        </c:ser>
        <c:ser>
          <c:idx val="2"/>
          <c:order val="2"/>
          <c:tx>
            <c:v>Sum of Downtime_Hours</c:v>
          </c:tx>
          <c:spPr>
            <a:solidFill>
              <a:schemeClr val="accent4">
                <a:lumMod val="40000"/>
                <a:lumOff val="60000"/>
              </a:schemeClr>
            </a:solidFill>
            <a:ln>
              <a:solidFill>
                <a:schemeClr val="tx1"/>
              </a:solidFill>
            </a:ln>
            <a:effectLst/>
            <a:sp3d>
              <a:contourClr>
                <a:schemeClr val="tx1"/>
              </a:contourClr>
            </a:sp3d>
          </c:spPr>
          <c:invertIfNegative val="0"/>
          <c:cat>
            <c:strLit>
              <c:ptCount val="4"/>
              <c:pt idx="0">
                <c:v>Completed</c:v>
              </c:pt>
              <c:pt idx="1">
                <c:v>Overdue</c:v>
              </c:pt>
              <c:pt idx="2">
                <c:v>Pending</c:v>
              </c:pt>
              <c:pt idx="3">
                <c:v>Scheduled</c:v>
              </c:pt>
            </c:strLit>
          </c:cat>
          <c:val>
            <c:numLit>
              <c:formatCode>General</c:formatCode>
              <c:ptCount val="4"/>
              <c:pt idx="0">
                <c:v>170.08333333333331</c:v>
              </c:pt>
              <c:pt idx="1">
                <c:v>70.066666666666634</c:v>
              </c:pt>
              <c:pt idx="2">
                <c:v>67.483333333333334</c:v>
              </c:pt>
              <c:pt idx="3">
                <c:v>113.31666666666668</c:v>
              </c:pt>
            </c:numLit>
          </c:val>
          <c:extLst>
            <c:ext xmlns:c16="http://schemas.microsoft.com/office/drawing/2014/chart" uri="{C3380CC4-5D6E-409C-BE32-E72D297353CC}">
              <c16:uniqueId val="{00000002-6521-4622-9B3E-EC24C9F52E55}"/>
            </c:ext>
          </c:extLst>
        </c:ser>
        <c:ser>
          <c:idx val="3"/>
          <c:order val="3"/>
          <c:tx>
            <c:v>Sum of Defect_Rate_%</c:v>
          </c:tx>
          <c:spPr>
            <a:solidFill>
              <a:schemeClr val="accent4"/>
            </a:solidFill>
            <a:ln>
              <a:solidFill>
                <a:schemeClr val="tx1"/>
              </a:solidFill>
            </a:ln>
            <a:effectLst/>
            <a:sp3d>
              <a:contourClr>
                <a:schemeClr val="tx1"/>
              </a:contourClr>
            </a:sp3d>
          </c:spPr>
          <c:invertIfNegative val="0"/>
          <c:cat>
            <c:strLit>
              <c:ptCount val="4"/>
              <c:pt idx="0">
                <c:v>Completed</c:v>
              </c:pt>
              <c:pt idx="1">
                <c:v>Overdue</c:v>
              </c:pt>
              <c:pt idx="2">
                <c:v>Pending</c:v>
              </c:pt>
              <c:pt idx="3">
                <c:v>Scheduled</c:v>
              </c:pt>
            </c:strLit>
          </c:cat>
          <c:val>
            <c:numLit>
              <c:formatCode>General</c:formatCode>
              <c:ptCount val="4"/>
              <c:pt idx="0">
                <c:v>25.163264634278445</c:v>
              </c:pt>
              <c:pt idx="1">
                <c:v>10.542917281007538</c:v>
              </c:pt>
              <c:pt idx="2">
                <c:v>10.581279339306194</c:v>
              </c:pt>
              <c:pt idx="3">
                <c:v>18.626014993305176</c:v>
              </c:pt>
            </c:numLit>
          </c:val>
          <c:extLst>
            <c:ext xmlns:c16="http://schemas.microsoft.com/office/drawing/2014/chart" uri="{C3380CC4-5D6E-409C-BE32-E72D297353CC}">
              <c16:uniqueId val="{00000003-6521-4622-9B3E-EC24C9F52E55}"/>
            </c:ext>
          </c:extLst>
        </c:ser>
        <c:dLbls>
          <c:showLegendKey val="0"/>
          <c:showVal val="0"/>
          <c:showCatName val="0"/>
          <c:showSerName val="0"/>
          <c:showPercent val="0"/>
          <c:showBubbleSize val="0"/>
        </c:dLbls>
        <c:gapWidth val="150"/>
        <c:shape val="box"/>
        <c:axId val="1224934976"/>
        <c:axId val="989386000"/>
        <c:axId val="0"/>
      </c:bar3DChart>
      <c:catAx>
        <c:axId val="122493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86000"/>
        <c:crosses val="autoZero"/>
        <c:auto val="1"/>
        <c:lblAlgn val="ctr"/>
        <c:lblOffset val="100"/>
        <c:noMultiLvlLbl val="0"/>
      </c:catAx>
      <c:valAx>
        <c:axId val="98938600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9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Maintenance Risk</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tile tx="0" ty="0" sx="100000" sy="100000" flip="none" algn="tl"/>
          </a:blipFill>
          <a:ln>
            <a:noFill/>
          </a:ln>
          <a:effectLst/>
          <a:sp3d/>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a:sp3d/>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solidFill>
              <a:srgbClr val="080808"/>
            </a:solidFill>
          </a:ln>
          <a:effectLst/>
          <a:sp3d>
            <a:contourClr>
              <a:srgbClr val="080808"/>
            </a:contourClr>
          </a:sp3d>
        </c:spPr>
        <c:marker>
          <c:symbol val="circle"/>
          <c:size val="6"/>
          <c:spPr>
            <a:gradFill>
              <a:gsLst>
                <a:gs pos="0">
                  <a:schemeClr val="accent3">
                    <a:shade val="51000"/>
                  </a:schemeClr>
                </a:gs>
                <a:gs pos="80000">
                  <a:schemeClr val="accent3">
                    <a:shade val="93000"/>
                  </a:schemeClr>
                </a:gs>
                <a:gs pos="100000">
                  <a:schemeClr val="accent3">
                    <a:shade val="94000"/>
                  </a:schemeClr>
                </a:gs>
              </a:gsLst>
              <a:lin ang="16200000" scaled="0"/>
              <a:tileRect/>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tile tx="0" ty="0" sx="100000" sy="100000" flip="none" algn="tl"/>
          </a:blip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solidFill>
              <a:srgbClr val="080808"/>
            </a:solidFill>
          </a:ln>
          <a:effectLst/>
          <a:sp3d>
            <a:contourClr>
              <a:srgbClr val="080808"/>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tile tx="0" ty="0" sx="100000" sy="100000" flip="none" algn="tl"/>
          </a:blip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solidFill>
              <a:srgbClr val="080808"/>
            </a:solidFill>
          </a:ln>
          <a:effectLst/>
          <a:sp3d>
            <a:contourClr>
              <a:srgbClr val="080808"/>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1"/>
        </a:solidFill>
        <a:ln>
          <a:noFill/>
        </a:ln>
        <a:effectLst/>
        <a:sp3d/>
      </c:spPr>
    </c:sideWall>
    <c:backWall>
      <c:thickness val="0"/>
      <c:spPr>
        <a:solidFill>
          <a:schemeClr val="bg1"/>
        </a:solidFill>
        <a:ln>
          <a:noFill/>
        </a:ln>
        <a:effectLst/>
        <a:sp3d/>
      </c:spPr>
    </c:backWall>
    <c:plotArea>
      <c:layout/>
      <c:bar3DChart>
        <c:barDir val="bar"/>
        <c:grouping val="stacked"/>
        <c:varyColors val="0"/>
        <c:ser>
          <c:idx val="0"/>
          <c:order val="0"/>
          <c:tx>
            <c:v>Sum of Downtime_Hours</c:v>
          </c:tx>
          <c:spPr>
            <a:blipFill>
              <a:blip xmlns:r="http://schemas.openxmlformats.org/officeDocument/2006/relationships" r:embed="rId3"/>
              <a:tile tx="0" ty="0" sx="100000" sy="100000" flip="none" algn="tl"/>
            </a:blipFill>
            <a:ln>
              <a:noFill/>
            </a:ln>
            <a:effectLst/>
            <a:sp3d/>
          </c:spPr>
          <c:invertIfNegative val="0"/>
          <c:cat>
            <c:strLit>
              <c:ptCount val="16"/>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pt idx="15">
                <c:v>(blank)</c:v>
              </c:pt>
            </c:strLit>
          </c:cat>
          <c:val>
            <c:numLit>
              <c:formatCode>General</c:formatCode>
              <c:ptCount val="16"/>
              <c:pt idx="0">
                <c:v>26.283333333333335</c:v>
              </c:pt>
              <c:pt idx="1">
                <c:v>29.049999999999997</c:v>
              </c:pt>
              <c:pt idx="2">
                <c:v>22.499999999999996</c:v>
              </c:pt>
              <c:pt idx="3">
                <c:v>29.783333333333331</c:v>
              </c:pt>
              <c:pt idx="4">
                <c:v>28.18333333333333</c:v>
              </c:pt>
              <c:pt idx="5">
                <c:v>36.666666666666664</c:v>
              </c:pt>
              <c:pt idx="6">
                <c:v>26.133333333333333</c:v>
              </c:pt>
              <c:pt idx="7">
                <c:v>32.349999999999994</c:v>
              </c:pt>
              <c:pt idx="8">
                <c:v>39.916666666666657</c:v>
              </c:pt>
              <c:pt idx="9">
                <c:v>17.016666666666669</c:v>
              </c:pt>
              <c:pt idx="10">
                <c:v>22.86666666666666</c:v>
              </c:pt>
              <c:pt idx="11">
                <c:v>25.966666666666661</c:v>
              </c:pt>
              <c:pt idx="12">
                <c:v>26.533333333333339</c:v>
              </c:pt>
              <c:pt idx="13">
                <c:v>34.050000000000004</c:v>
              </c:pt>
              <c:pt idx="14">
                <c:v>23.650000000000006</c:v>
              </c:pt>
              <c:pt idx="15">
                <c:v>0</c:v>
              </c:pt>
            </c:numLit>
          </c:val>
          <c:extLst>
            <c:ext xmlns:c16="http://schemas.microsoft.com/office/drawing/2014/chart" uri="{C3380CC4-5D6E-409C-BE32-E72D297353CC}">
              <c16:uniqueId val="{00000000-7923-44B4-8FE6-209B06F1E177}"/>
            </c:ext>
          </c:extLst>
        </c:ser>
        <c:ser>
          <c:idx val="1"/>
          <c:order val="1"/>
          <c:tx>
            <c:v>Average of OEE_%</c:v>
          </c:tx>
          <c:spPr>
            <a:solidFill>
              <a:schemeClr val="accent4">
                <a:lumMod val="60000"/>
                <a:lumOff val="40000"/>
              </a:schemeClr>
            </a:solidFill>
            <a:ln>
              <a:noFill/>
            </a:ln>
            <a:effectLst/>
            <a:sp3d/>
          </c:spPr>
          <c:invertIfNegative val="0"/>
          <c:cat>
            <c:strLit>
              <c:ptCount val="16"/>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pt idx="15">
                <c:v>(blank)</c:v>
              </c:pt>
            </c:strLit>
          </c:cat>
          <c:val>
            <c:numLit>
              <c:formatCode>General</c:formatCode>
              <c:ptCount val="16"/>
              <c:pt idx="0">
                <c:v>0.91540950433770796</c:v>
              </c:pt>
              <c:pt idx="1">
                <c:v>0.91167136329414178</c:v>
              </c:pt>
              <c:pt idx="2">
                <c:v>0.94083708394520971</c:v>
              </c:pt>
              <c:pt idx="3">
                <c:v>0.84793916451371298</c:v>
              </c:pt>
              <c:pt idx="4">
                <c:v>0.87788801157646867</c:v>
              </c:pt>
              <c:pt idx="5">
                <c:v>0.82974936421872469</c:v>
              </c:pt>
              <c:pt idx="6">
                <c:v>0.81390044735839251</c:v>
              </c:pt>
              <c:pt idx="7">
                <c:v>0.81692992320272317</c:v>
              </c:pt>
              <c:pt idx="8">
                <c:v>0.73698347551810595</c:v>
              </c:pt>
              <c:pt idx="9">
                <c:v>0.95947888124569525</c:v>
              </c:pt>
              <c:pt idx="10">
                <c:v>0.93916038268869539</c:v>
              </c:pt>
              <c:pt idx="11">
                <c:v>0.92402508136300132</c:v>
              </c:pt>
              <c:pt idx="12">
                <c:v>0.87744689341326054</c:v>
              </c:pt>
              <c:pt idx="13">
                <c:v>0.82621508931937915</c:v>
              </c:pt>
              <c:pt idx="14">
                <c:v>0.89922384902939967</c:v>
              </c:pt>
              <c:pt idx="15">
                <c:v>0</c:v>
              </c:pt>
            </c:numLit>
          </c:val>
          <c:extLst>
            <c:ext xmlns:c16="http://schemas.microsoft.com/office/drawing/2014/chart" uri="{C3380CC4-5D6E-409C-BE32-E72D297353CC}">
              <c16:uniqueId val="{00000001-7923-44B4-8FE6-209B06F1E177}"/>
            </c:ext>
          </c:extLst>
        </c:ser>
        <c:ser>
          <c:idx val="2"/>
          <c:order val="2"/>
          <c:tx>
            <c:v>Average of Defect_Rate_%</c:v>
          </c:tx>
          <c:spPr>
            <a:solidFill>
              <a:schemeClr val="tx1"/>
            </a:solidFill>
            <a:ln>
              <a:solidFill>
                <a:srgbClr val="080808"/>
              </a:solidFill>
            </a:ln>
            <a:effectLst/>
            <a:sp3d>
              <a:contourClr>
                <a:srgbClr val="080808"/>
              </a:contourClr>
            </a:sp3d>
          </c:spPr>
          <c:invertIfNegative val="0"/>
          <c:cat>
            <c:strLit>
              <c:ptCount val="16"/>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pt idx="15">
                <c:v>(blank)</c:v>
              </c:pt>
            </c:strLit>
          </c:cat>
          <c:val>
            <c:numLit>
              <c:formatCode>General</c:formatCode>
              <c:ptCount val="16"/>
              <c:pt idx="0">
                <c:v>3.9920091199513945E-2</c:v>
              </c:pt>
              <c:pt idx="1">
                <c:v>5.7823801612313708E-2</c:v>
              </c:pt>
              <c:pt idx="2">
                <c:v>4.8997980609044069E-2</c:v>
              </c:pt>
              <c:pt idx="3">
                <c:v>6.726219088095145E-2</c:v>
              </c:pt>
              <c:pt idx="4">
                <c:v>4.958407556013502E-2</c:v>
              </c:pt>
              <c:pt idx="5">
                <c:v>7.9715093781731569E-2</c:v>
              </c:pt>
              <c:pt idx="6">
                <c:v>8.8204969877140299E-2</c:v>
              </c:pt>
              <c:pt idx="7">
                <c:v>6.0029975813043562E-2</c:v>
              </c:pt>
              <c:pt idx="8">
                <c:v>0.13973805141432005</c:v>
              </c:pt>
              <c:pt idx="9">
                <c:v>3.755826833672412E-2</c:v>
              </c:pt>
              <c:pt idx="10">
                <c:v>4.9168985177685129E-2</c:v>
              </c:pt>
              <c:pt idx="11">
                <c:v>5.8163247233769304E-2</c:v>
              </c:pt>
              <c:pt idx="12">
                <c:v>6.7615202123703103E-2</c:v>
              </c:pt>
              <c:pt idx="13">
                <c:v>9.8814590825057766E-2</c:v>
              </c:pt>
              <c:pt idx="14">
                <c:v>4.7027431386198068E-2</c:v>
              </c:pt>
              <c:pt idx="15">
                <c:v>0</c:v>
              </c:pt>
            </c:numLit>
          </c:val>
          <c:extLst>
            <c:ext xmlns:c16="http://schemas.microsoft.com/office/drawing/2014/chart" uri="{C3380CC4-5D6E-409C-BE32-E72D297353CC}">
              <c16:uniqueId val="{00000002-7923-44B4-8FE6-209B06F1E177}"/>
            </c:ext>
          </c:extLst>
        </c:ser>
        <c:dLbls>
          <c:showLegendKey val="0"/>
          <c:showVal val="0"/>
          <c:showCatName val="0"/>
          <c:showSerName val="0"/>
          <c:showPercent val="0"/>
          <c:showBubbleSize val="0"/>
        </c:dLbls>
        <c:gapWidth val="150"/>
        <c:shape val="box"/>
        <c:axId val="1115989776"/>
        <c:axId val="989392240"/>
        <c:axId val="0"/>
      </c:bar3DChart>
      <c:catAx>
        <c:axId val="11159897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92240"/>
        <c:crosses val="autoZero"/>
        <c:auto val="1"/>
        <c:lblAlgn val="ctr"/>
        <c:lblOffset val="100"/>
        <c:noMultiLvlLbl val="0"/>
      </c:catAx>
      <c:valAx>
        <c:axId val="98939224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598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OEE by Production Line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'08_Management_Dashboard'!$B$13</c:f>
              <c:strCache>
                <c:ptCount val="1"/>
                <c:pt idx="0">
                  <c:v>      OEE %</c:v>
                </c:pt>
              </c:strCache>
            </c:strRef>
          </c:tx>
          <c:spPr>
            <a:blipFill>
              <a:blip xmlns:r="http://schemas.openxmlformats.org/officeDocument/2006/relationships" r:embed="rId3"/>
              <a:tile tx="0" ty="0" sx="100000" sy="100000" flip="none" algn="tl"/>
            </a:blip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'08_Management_Dashboard'!$A$14:$A$18</c:f>
              <c:strCache>
                <c:ptCount val="5"/>
                <c:pt idx="0">
                  <c:v>Line 1</c:v>
                </c:pt>
                <c:pt idx="1">
                  <c:v>Line 2</c:v>
                </c:pt>
                <c:pt idx="2">
                  <c:v>Line 3</c:v>
                </c:pt>
                <c:pt idx="3">
                  <c:v>Line 4</c:v>
                </c:pt>
                <c:pt idx="4">
                  <c:v>Line 5</c:v>
                </c:pt>
              </c:strCache>
            </c:strRef>
          </c:cat>
          <c:val>
            <c:numRef>
              <c:f>'08_Management_Dashboard'!$B$14:$B$18</c:f>
              <c:numCache>
                <c:formatCode>0.0%</c:formatCode>
                <c:ptCount val="5"/>
                <c:pt idx="0">
                  <c:v>0.92147599745749742</c:v>
                </c:pt>
                <c:pt idx="1">
                  <c:v>0.85199945168542368</c:v>
                </c:pt>
                <c:pt idx="2">
                  <c:v>0.79090572100930023</c:v>
                </c:pt>
                <c:pt idx="3">
                  <c:v>0.93964447762728975</c:v>
                </c:pt>
                <c:pt idx="4">
                  <c:v>0.86901792376386655</c:v>
                </c:pt>
              </c:numCache>
            </c:numRef>
          </c:val>
          <c:extLst>
            <c:ext xmlns:c16="http://schemas.microsoft.com/office/drawing/2014/chart" uri="{C3380CC4-5D6E-409C-BE32-E72D297353CC}">
              <c16:uniqueId val="{00000000-74E9-48D9-88BE-A20E2FF0069C}"/>
            </c:ext>
          </c:extLst>
        </c:ser>
        <c:dLbls>
          <c:showLegendKey val="0"/>
          <c:showVal val="0"/>
          <c:showCatName val="0"/>
          <c:showSerName val="0"/>
          <c:showPercent val="0"/>
          <c:showBubbleSize val="0"/>
        </c:dLbls>
        <c:gapWidth val="100"/>
        <c:overlap val="-24"/>
        <c:axId val="10461710"/>
        <c:axId val="60433748"/>
      </c:barChart>
      <c:catAx>
        <c:axId val="1046171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433748"/>
        <c:crosses val="autoZero"/>
        <c:auto val="1"/>
        <c:lblAlgn val="ctr"/>
        <c:lblOffset val="100"/>
        <c:noMultiLvlLbl val="0"/>
      </c:catAx>
      <c:valAx>
        <c:axId val="604337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OEE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1710"/>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Downtime by Machine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'08_Management_Dashboard'!$E$13</c:f>
              <c:strCache>
                <c:ptCount val="1"/>
                <c:pt idx="0">
                  <c:v>Downtime Hrs</c:v>
                </c:pt>
              </c:strCache>
            </c:strRef>
          </c:tx>
          <c:spPr>
            <a:blipFill>
              <a:blip xmlns:r="http://schemas.openxmlformats.org/officeDocument/2006/relationships" r:embed="rId3"/>
              <a:tile tx="0" ty="0" sx="100000" sy="100000" flip="none" algn="tl"/>
            </a:blip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'08_Management_Dashboard'!$D$14:$D$28</c:f>
              <c:strCache>
                <c:ptCount val="15"/>
                <c:pt idx="0">
                  <c:v>M101</c:v>
                </c:pt>
                <c:pt idx="1">
                  <c:v>M102</c:v>
                </c:pt>
                <c:pt idx="2">
                  <c:v>M103</c:v>
                </c:pt>
                <c:pt idx="3">
                  <c:v>M201</c:v>
                </c:pt>
                <c:pt idx="4">
                  <c:v>M202</c:v>
                </c:pt>
                <c:pt idx="5">
                  <c:v>M203</c:v>
                </c:pt>
                <c:pt idx="6">
                  <c:v>M301</c:v>
                </c:pt>
                <c:pt idx="7">
                  <c:v>M302</c:v>
                </c:pt>
                <c:pt idx="8">
                  <c:v>M303</c:v>
                </c:pt>
                <c:pt idx="9">
                  <c:v>M401</c:v>
                </c:pt>
                <c:pt idx="10">
                  <c:v>M402</c:v>
                </c:pt>
                <c:pt idx="11">
                  <c:v>M403</c:v>
                </c:pt>
                <c:pt idx="12">
                  <c:v>M501</c:v>
                </c:pt>
                <c:pt idx="13">
                  <c:v>M502</c:v>
                </c:pt>
                <c:pt idx="14">
                  <c:v>M503</c:v>
                </c:pt>
              </c:strCache>
            </c:strRef>
          </c:cat>
          <c:val>
            <c:numRef>
              <c:f>'08_Management_Dashboard'!$E$14:$E$28</c:f>
              <c:numCache>
                <c:formatCode>General</c:formatCode>
                <c:ptCount val="15"/>
                <c:pt idx="0">
                  <c:v>26.283333333333335</c:v>
                </c:pt>
                <c:pt idx="1">
                  <c:v>29.049999999999997</c:v>
                </c:pt>
                <c:pt idx="2">
                  <c:v>22.499999999999996</c:v>
                </c:pt>
                <c:pt idx="3">
                  <c:v>29.783333333333331</c:v>
                </c:pt>
                <c:pt idx="4">
                  <c:v>28.18333333333333</c:v>
                </c:pt>
                <c:pt idx="5">
                  <c:v>36.666666666666664</c:v>
                </c:pt>
                <c:pt idx="6">
                  <c:v>26.133333333333333</c:v>
                </c:pt>
                <c:pt idx="7">
                  <c:v>32.349999999999994</c:v>
                </c:pt>
                <c:pt idx="8">
                  <c:v>39.916666666666657</c:v>
                </c:pt>
                <c:pt idx="9">
                  <c:v>17.016666666666669</c:v>
                </c:pt>
                <c:pt idx="10">
                  <c:v>22.86666666666666</c:v>
                </c:pt>
                <c:pt idx="11">
                  <c:v>25.966666666666661</c:v>
                </c:pt>
                <c:pt idx="12">
                  <c:v>26.533333333333339</c:v>
                </c:pt>
                <c:pt idx="13">
                  <c:v>34.050000000000004</c:v>
                </c:pt>
                <c:pt idx="14">
                  <c:v>23.650000000000006</c:v>
                </c:pt>
              </c:numCache>
            </c:numRef>
          </c:val>
          <c:extLst>
            <c:ext xmlns:c16="http://schemas.microsoft.com/office/drawing/2014/chart" uri="{C3380CC4-5D6E-409C-BE32-E72D297353CC}">
              <c16:uniqueId val="{00000000-14AF-4E7B-9666-A78D0DD75B41}"/>
            </c:ext>
          </c:extLst>
        </c:ser>
        <c:dLbls>
          <c:showLegendKey val="0"/>
          <c:showVal val="0"/>
          <c:showCatName val="0"/>
          <c:showSerName val="0"/>
          <c:showPercent val="0"/>
          <c:showBubbleSize val="0"/>
        </c:dLbls>
        <c:gapWidth val="100"/>
        <c:overlap val="-24"/>
        <c:axId val="91129404"/>
        <c:axId val="83399659"/>
      </c:barChart>
      <c:catAx>
        <c:axId val="911294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399659"/>
        <c:crosses val="autoZero"/>
        <c:auto val="1"/>
        <c:lblAlgn val="ctr"/>
        <c:lblOffset val="100"/>
        <c:noMultiLvlLbl val="0"/>
      </c:catAx>
      <c:valAx>
        <c:axId val="8339965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Hours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129404"/>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Defect Rate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'08_Management_Dashboard'!$H$13</c:f>
              <c:strCache>
                <c:ptCount val="1"/>
                <c:pt idx="0">
                  <c:v>Defect Rate %</c:v>
                </c:pt>
              </c:strCache>
            </c:strRef>
          </c:tx>
          <c:spPr>
            <a:blipFill>
              <a:blip xmlns:r="http://schemas.openxmlformats.org/officeDocument/2006/relationships" r:embed="rId3"/>
              <a:tile tx="0" ty="0" sx="100000" sy="100000" flip="none" algn="tl"/>
            </a:blip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'08_Management_Dashboard'!$G$14:$G$18</c:f>
              <c:strCache>
                <c:ptCount val="5"/>
                <c:pt idx="0">
                  <c:v>Product A</c:v>
                </c:pt>
                <c:pt idx="1">
                  <c:v>Product B</c:v>
                </c:pt>
                <c:pt idx="2">
                  <c:v>Product C</c:v>
                </c:pt>
                <c:pt idx="3">
                  <c:v>Product D</c:v>
                </c:pt>
                <c:pt idx="4">
                  <c:v>Product E</c:v>
                </c:pt>
              </c:strCache>
            </c:strRef>
          </c:cat>
          <c:val>
            <c:numRef>
              <c:f>'08_Management_Dashboard'!$H$14:$H$18</c:f>
              <c:numCache>
                <c:formatCode>0.0%</c:formatCode>
                <c:ptCount val="5"/>
                <c:pt idx="0">
                  <c:v>6.3211363028460241E-2</c:v>
                </c:pt>
                <c:pt idx="1">
                  <c:v>6.5182211636825568E-2</c:v>
                </c:pt>
                <c:pt idx="2">
                  <c:v>6.4527123127614536E-2</c:v>
                </c:pt>
                <c:pt idx="3">
                  <c:v>6.4731422332998084E-2</c:v>
                </c:pt>
                <c:pt idx="4">
                  <c:v>6.7868298952572514E-2</c:v>
                </c:pt>
              </c:numCache>
            </c:numRef>
          </c:val>
          <c:extLst>
            <c:ext xmlns:c16="http://schemas.microsoft.com/office/drawing/2014/chart" uri="{C3380CC4-5D6E-409C-BE32-E72D297353CC}">
              <c16:uniqueId val="{00000000-E5FB-47F9-8837-B6B5E6CC9B09}"/>
            </c:ext>
          </c:extLst>
        </c:ser>
        <c:dLbls>
          <c:showLegendKey val="0"/>
          <c:showVal val="0"/>
          <c:showCatName val="0"/>
          <c:showSerName val="0"/>
          <c:showPercent val="0"/>
          <c:showBubbleSize val="0"/>
        </c:dLbls>
        <c:gapWidth val="100"/>
        <c:overlap val="-24"/>
        <c:axId val="8645035"/>
        <c:axId val="82714963"/>
      </c:barChart>
      <c:catAx>
        <c:axId val="86450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714963"/>
        <c:crosses val="autoZero"/>
        <c:auto val="1"/>
        <c:lblAlgn val="ctr"/>
        <c:lblOffset val="100"/>
        <c:noMultiLvlLbl val="0"/>
      </c:catAx>
      <c:valAx>
        <c:axId val="8271496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Defect Rate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45035"/>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Production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'08_Management_Dashboard'!$K$13</c:f>
              <c:strCache>
                <c:ptCount val="1"/>
                <c:pt idx="0">
                  <c:v>Production</c:v>
                </c:pt>
              </c:strCache>
            </c:strRef>
          </c:tx>
          <c:spPr>
            <a:ln w="34925" cap="rnd">
              <a:solidFill>
                <a:schemeClr val="accent4">
                  <a:lumMod val="75000"/>
                </a:schemeClr>
              </a:solidFill>
              <a:round/>
            </a:ln>
            <a:effectLst>
              <a:glow rad="127000">
                <a:schemeClr val="accent1">
                  <a:alpha val="5000"/>
                </a:schemeClr>
              </a:glow>
            </a:effectLst>
          </c:spPr>
          <c:marker>
            <c:symbol val="circle"/>
            <c:size val="6"/>
            <c:spPr>
              <a:solidFill>
                <a:schemeClr val="accent4">
                  <a:lumMod val="60000"/>
                  <a:lumOff val="40000"/>
                </a:schemeClr>
              </a:solidFill>
              <a:ln w="9525">
                <a:solidFill>
                  <a:schemeClr val="accent4">
                    <a:lumMod val="75000"/>
                  </a:schemeClr>
                </a:solidFill>
                <a:round/>
              </a:ln>
              <a:effectLst>
                <a:glow rad="127000">
                  <a:schemeClr val="accent1">
                    <a:alpha val="5000"/>
                  </a:schemeClr>
                </a:glow>
              </a:effectLst>
            </c:spPr>
          </c:marker>
          <c:cat>
            <c:strRef>
              <c:f>'08_Management_Dashboard'!$J$14:$J$19</c:f>
              <c:strCache>
                <c:ptCount val="6"/>
                <c:pt idx="0">
                  <c:v>2026-01</c:v>
                </c:pt>
                <c:pt idx="1">
                  <c:v>2026-02</c:v>
                </c:pt>
                <c:pt idx="2">
                  <c:v>2026-03</c:v>
                </c:pt>
                <c:pt idx="3">
                  <c:v>2026-04</c:v>
                </c:pt>
                <c:pt idx="4">
                  <c:v>2026-05</c:v>
                </c:pt>
                <c:pt idx="5">
                  <c:v>2026-06</c:v>
                </c:pt>
              </c:strCache>
            </c:strRef>
          </c:cat>
          <c:val>
            <c:numRef>
              <c:f>'08_Management_Dashboard'!$K$14:$K$19</c:f>
              <c:numCache>
                <c:formatCode>General</c:formatCode>
                <c:ptCount val="6"/>
                <c:pt idx="0">
                  <c:v>123582</c:v>
                </c:pt>
                <c:pt idx="1">
                  <c:v>108462</c:v>
                </c:pt>
                <c:pt idx="2">
                  <c:v>110123</c:v>
                </c:pt>
                <c:pt idx="3">
                  <c:v>116277</c:v>
                </c:pt>
                <c:pt idx="4">
                  <c:v>116924</c:v>
                </c:pt>
                <c:pt idx="5">
                  <c:v>116813</c:v>
                </c:pt>
              </c:numCache>
            </c:numRef>
          </c:val>
          <c:smooth val="1"/>
          <c:extLst>
            <c:ext xmlns:c16="http://schemas.microsoft.com/office/drawing/2014/chart" uri="{C3380CC4-5D6E-409C-BE32-E72D297353CC}">
              <c16:uniqueId val="{00000000-59F2-4A2D-BD4B-8782138BFB75}"/>
            </c:ext>
          </c:extLst>
        </c:ser>
        <c:dLbls>
          <c:showLegendKey val="0"/>
          <c:showVal val="0"/>
          <c:showCatName val="0"/>
          <c:showSerName val="0"/>
          <c:showPercent val="0"/>
          <c:showBubbleSize val="0"/>
        </c:dLbls>
        <c:hiLowLines>
          <c:spPr>
            <a:ln w="9525">
              <a:solidFill>
                <a:schemeClr val="lt1">
                  <a:lumMod val="95000"/>
                  <a:alpha val="54000"/>
                </a:schemeClr>
              </a:solidFill>
              <a:prstDash val="dash"/>
            </a:ln>
            <a:effectLst/>
          </c:spPr>
        </c:hiLowLines>
        <c:marker val="1"/>
        <c:smooth val="0"/>
        <c:axId val="99245078"/>
        <c:axId val="36206315"/>
      </c:lineChart>
      <c:catAx>
        <c:axId val="9924507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206315"/>
        <c:crosses val="autoZero"/>
        <c:auto val="1"/>
        <c:lblAlgn val="ctr"/>
        <c:lblOffset val="100"/>
        <c:noMultiLvlLbl val="0"/>
      </c:catAx>
      <c:valAx>
        <c:axId val="362063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Units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245078"/>
        <c:crosses val="autoZero"/>
        <c:crossBetween val="between"/>
      </c:val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solidFill>
              <a:schemeClr val="tx1"/>
            </a:solid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tx1"/>
            </a:solidFill>
          </a:ln>
          <a:effectLst/>
        </c:spPr>
        <c:marker>
          <c:symbol val="circle"/>
          <c:size val="6"/>
          <c:spPr>
            <a:gradFill>
              <a:gsLst>
                <a:gs pos="0">
                  <a:schemeClr val="accent3">
                    <a:shade val="51000"/>
                  </a:schemeClr>
                </a:gs>
                <a:gs pos="80000">
                  <a:schemeClr val="accent3">
                    <a:shade val="93000"/>
                  </a:schemeClr>
                </a:gs>
                <a:gs pos="100000">
                  <a:schemeClr val="accent3">
                    <a:shade val="94000"/>
                  </a:schemeClr>
                </a:gs>
              </a:gsLst>
              <a:lin ang="16200000" scaled="0"/>
              <a:tileRect/>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tile tx="0" ty="0" sx="100000" sy="100000" flip="none" algn="tl"/>
          </a:blip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tile tx="0" ty="0" sx="100000" sy="100000" flip="none" algn="tl"/>
          </a:blip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Revenue</c:v>
          </c:tx>
          <c:spPr>
            <a:blipFill>
              <a:blip xmlns:r="http://schemas.openxmlformats.org/officeDocument/2006/relationships" r:embed="rId3"/>
              <a:tile tx="0" ty="0" sx="100000" sy="100000" flip="none" algn="tl"/>
            </a:blipFill>
            <a:ln>
              <a:solidFill>
                <a:schemeClr val="tx1"/>
              </a:solidFill>
            </a:ln>
            <a:effectLst/>
          </c:spPr>
          <c:invertIfNegative val="0"/>
          <c:cat>
            <c:strLit>
              <c:ptCount val="5"/>
              <c:pt idx="0">
                <c:v>Product A</c:v>
              </c:pt>
              <c:pt idx="1">
                <c:v>Product B</c:v>
              </c:pt>
              <c:pt idx="2">
                <c:v>Product C</c:v>
              </c:pt>
              <c:pt idx="3">
                <c:v>Product D</c:v>
              </c:pt>
              <c:pt idx="4">
                <c:v>Product E</c:v>
              </c:pt>
            </c:strLit>
          </c:cat>
          <c:val>
            <c:numLit>
              <c:formatCode>General</c:formatCode>
              <c:ptCount val="5"/>
              <c:pt idx="0">
                <c:v>5774816.5200000042</c:v>
              </c:pt>
              <c:pt idx="1">
                <c:v>5543057.4999999981</c:v>
              </c:pt>
              <c:pt idx="2">
                <c:v>4791216.51</c:v>
              </c:pt>
              <c:pt idx="3">
                <c:v>4872236.6999999965</c:v>
              </c:pt>
              <c:pt idx="4">
                <c:v>4056728.5499999993</c:v>
              </c:pt>
            </c:numLit>
          </c:val>
          <c:extLst>
            <c:ext xmlns:c16="http://schemas.microsoft.com/office/drawing/2014/chart" uri="{C3380CC4-5D6E-409C-BE32-E72D297353CC}">
              <c16:uniqueId val="{00000000-184F-42F2-BE51-F00D61E0CE36}"/>
            </c:ext>
          </c:extLst>
        </c:ser>
        <c:ser>
          <c:idx val="1"/>
          <c:order val="1"/>
          <c:tx>
            <c:v>Sum of Cost_Per_Unit</c:v>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cat>
            <c:strLit>
              <c:ptCount val="5"/>
              <c:pt idx="0">
                <c:v>Product A</c:v>
              </c:pt>
              <c:pt idx="1">
                <c:v>Product B</c:v>
              </c:pt>
              <c:pt idx="2">
                <c:v>Product C</c:v>
              </c:pt>
              <c:pt idx="3">
                <c:v>Product D</c:v>
              </c:pt>
              <c:pt idx="4">
                <c:v>Product E</c:v>
              </c:pt>
            </c:strLit>
          </c:cat>
          <c:val>
            <c:numLit>
              <c:formatCode>General</c:formatCode>
              <c:ptCount val="5"/>
              <c:pt idx="0">
                <c:v>5735.8144760448085</c:v>
              </c:pt>
              <c:pt idx="1">
                <c:v>6148.364689878782</c:v>
              </c:pt>
              <c:pt idx="2">
                <c:v>6311.4151016650922</c:v>
              </c:pt>
              <c:pt idx="3">
                <c:v>4950.4922728502161</c:v>
              </c:pt>
              <c:pt idx="4">
                <c:v>6041.9889971581842</c:v>
              </c:pt>
            </c:numLit>
          </c:val>
          <c:extLst>
            <c:ext xmlns:c16="http://schemas.microsoft.com/office/drawing/2014/chart" uri="{C3380CC4-5D6E-409C-BE32-E72D297353CC}">
              <c16:uniqueId val="{00000001-184F-42F2-BE51-F00D61E0CE36}"/>
            </c:ext>
          </c:extLst>
        </c:ser>
        <c:ser>
          <c:idx val="2"/>
          <c:order val="2"/>
          <c:tx>
            <c:v>Sum of Profit</c:v>
          </c:tx>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path path="circle">
                <a:fillToRect l="100000" b="100000"/>
              </a:path>
              <a:tileRect t="-100000" r="-100000"/>
            </a:gradFill>
            <a:ln>
              <a:solidFill>
                <a:schemeClr val="tx1"/>
              </a:solidFill>
            </a:ln>
            <a:effectLst/>
          </c:spPr>
          <c:invertIfNegative val="0"/>
          <c:cat>
            <c:strLit>
              <c:ptCount val="5"/>
              <c:pt idx="0">
                <c:v>Product A</c:v>
              </c:pt>
              <c:pt idx="1">
                <c:v>Product B</c:v>
              </c:pt>
              <c:pt idx="2">
                <c:v>Product C</c:v>
              </c:pt>
              <c:pt idx="3">
                <c:v>Product D</c:v>
              </c:pt>
              <c:pt idx="4">
                <c:v>Product E</c:v>
              </c:pt>
            </c:strLit>
          </c:cat>
          <c:val>
            <c:numLit>
              <c:formatCode>General</c:formatCode>
              <c:ptCount val="5"/>
              <c:pt idx="0">
                <c:v>1167679.5664573759</c:v>
              </c:pt>
              <c:pt idx="1">
                <c:v>1166530.4614109059</c:v>
              </c:pt>
              <c:pt idx="2">
                <c:v>974320.32596379519</c:v>
              </c:pt>
              <c:pt idx="3">
                <c:v>1003179.042397492</c:v>
              </c:pt>
              <c:pt idx="4">
                <c:v>776959.75858423638</c:v>
              </c:pt>
            </c:numLit>
          </c:val>
          <c:extLst>
            <c:ext xmlns:c16="http://schemas.microsoft.com/office/drawing/2014/chart" uri="{C3380CC4-5D6E-409C-BE32-E72D297353CC}">
              <c16:uniqueId val="{00000002-184F-42F2-BE51-F00D61E0CE36}"/>
            </c:ext>
          </c:extLst>
        </c:ser>
        <c:dLbls>
          <c:showLegendKey val="0"/>
          <c:showVal val="0"/>
          <c:showCatName val="0"/>
          <c:showSerName val="0"/>
          <c:showPercent val="0"/>
          <c:showBubbleSize val="0"/>
        </c:dLbls>
        <c:gapWidth val="150"/>
        <c:overlap val="100"/>
        <c:axId val="704652527"/>
        <c:axId val="636369424"/>
      </c:barChart>
      <c:catAx>
        <c:axId val="704652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369424"/>
        <c:crosses val="autoZero"/>
        <c:auto val="1"/>
        <c:lblAlgn val="ctr"/>
        <c:lblOffset val="100"/>
        <c:noMultiLvlLbl val="0"/>
      </c:catAx>
      <c:valAx>
        <c:axId val="6363694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65252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Maintenance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solidFill>
              <a:schemeClr val="tx1"/>
            </a:solidFill>
          </a:ln>
          <a:effectLst/>
          <a:sp3d>
            <a:contourClr>
              <a:schemeClr val="tx1"/>
            </a:contourClr>
          </a:sp3d>
        </c:spPr>
        <c:marker>
          <c:symbol val="circle"/>
          <c:size val="6"/>
          <c:spPr>
            <a:gradFill>
              <a:gsLst>
                <a:gs pos="0">
                  <a:schemeClr val="accent3">
                    <a:shade val="51000"/>
                  </a:schemeClr>
                </a:gs>
                <a:gs pos="80000">
                  <a:schemeClr val="accent3">
                    <a:shade val="93000"/>
                  </a:schemeClr>
                </a:gs>
                <a:gs pos="100000">
                  <a:schemeClr val="accent3">
                    <a:shade val="94000"/>
                  </a:schemeClr>
                </a:gs>
              </a:gsLst>
              <a:lin ang="16200000" scaled="0"/>
              <a:tileRect/>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solidFill>
              <a:schemeClr val="tx1"/>
            </a:solidFill>
          </a:ln>
          <a:effectLst/>
          <a:sp3d>
            <a:contourClr>
              <a:schemeClr val="tx1"/>
            </a:contourClr>
          </a:sp3d>
        </c:spPr>
        <c:marker>
          <c:symbol val="circle"/>
          <c:size val="6"/>
          <c:spPr>
            <a:gradFill>
              <a:gsLst>
                <a:gs pos="0">
                  <a:schemeClr val="accent4">
                    <a:shade val="51000"/>
                  </a:schemeClr>
                </a:gs>
                <a:gs pos="80000">
                  <a:schemeClr val="accent4">
                    <a:shade val="93000"/>
                  </a:schemeClr>
                </a:gs>
                <a:gs pos="100000">
                  <a:schemeClr val="accent4">
                    <a:shade val="94000"/>
                  </a:schemeClr>
                </a:gs>
              </a:gsLst>
              <a:lin ang="16200000" scaled="0"/>
              <a:tileRect/>
            </a:gra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1"/>
        </a:solidFill>
        <a:ln>
          <a:solidFill>
            <a:schemeClr val="bg1"/>
          </a:solidFill>
        </a:ln>
        <a:effectLst/>
        <a:sp3d>
          <a:contourClr>
            <a:schemeClr val="bg1"/>
          </a:contourClr>
        </a:sp3d>
      </c:spPr>
    </c:sideWall>
    <c:backWall>
      <c:thickness val="0"/>
      <c:spPr>
        <a:solidFill>
          <a:schemeClr val="bg1"/>
        </a:solidFill>
        <a:ln>
          <a:solidFill>
            <a:schemeClr val="bg1"/>
          </a:solidFill>
        </a:ln>
        <a:effectLst/>
        <a:sp3d>
          <a:contourClr>
            <a:schemeClr val="bg1"/>
          </a:contourClr>
        </a:sp3d>
      </c:spPr>
    </c:backWall>
    <c:plotArea>
      <c:layout/>
      <c:bar3DChart>
        <c:barDir val="col"/>
        <c:grouping val="percentStacked"/>
        <c:varyColors val="0"/>
        <c:ser>
          <c:idx val="0"/>
          <c:order val="0"/>
          <c:tx>
            <c:v>Sum of Record_ID</c:v>
          </c:tx>
          <c:spPr>
            <a:blipFill>
              <a:blip xmlns:r="http://schemas.openxmlformats.org/officeDocument/2006/relationships" r:embed="rId3"/>
              <a:tile tx="0" ty="0" sx="100000" sy="100000" flip="none" algn="tl"/>
            </a:blipFill>
            <a:ln>
              <a:solidFill>
                <a:schemeClr val="tx1"/>
              </a:solidFill>
            </a:ln>
            <a:effectLst/>
            <a:sp3d>
              <a:contourClr>
                <a:schemeClr val="tx1"/>
              </a:contourClr>
            </a:sp3d>
          </c:spPr>
          <c:invertIfNegative val="0"/>
          <c:cat>
            <c:strLit>
              <c:ptCount val="4"/>
              <c:pt idx="0">
                <c:v>Completed</c:v>
              </c:pt>
              <c:pt idx="1">
                <c:v>Overdue</c:v>
              </c:pt>
              <c:pt idx="2">
                <c:v>Pending</c:v>
              </c:pt>
              <c:pt idx="3">
                <c:v>Scheduled</c:v>
              </c:pt>
            </c:strLit>
          </c:cat>
          <c:val>
            <c:numLit>
              <c:formatCode>General</c:formatCode>
              <c:ptCount val="4"/>
              <c:pt idx="0">
                <c:v>206338</c:v>
              </c:pt>
              <c:pt idx="1">
                <c:v>76971</c:v>
              </c:pt>
              <c:pt idx="2">
                <c:v>74605</c:v>
              </c:pt>
              <c:pt idx="3">
                <c:v>142586</c:v>
              </c:pt>
            </c:numLit>
          </c:val>
          <c:extLst>
            <c:ext xmlns:c16="http://schemas.microsoft.com/office/drawing/2014/chart" uri="{C3380CC4-5D6E-409C-BE32-E72D297353CC}">
              <c16:uniqueId val="{00000000-5725-44C8-A8E1-5E011E0EE4AA}"/>
            </c:ext>
          </c:extLst>
        </c:ser>
        <c:ser>
          <c:idx val="1"/>
          <c:order val="1"/>
          <c:tx>
            <c:v>Average of OEE_%</c:v>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a:sp3d/>
          </c:spPr>
          <c:invertIfNegative val="0"/>
          <c:cat>
            <c:strLit>
              <c:ptCount val="4"/>
              <c:pt idx="0">
                <c:v>Completed</c:v>
              </c:pt>
              <c:pt idx="1">
                <c:v>Overdue</c:v>
              </c:pt>
              <c:pt idx="2">
                <c:v>Pending</c:v>
              </c:pt>
              <c:pt idx="3">
                <c:v>Scheduled</c:v>
              </c:pt>
            </c:strLit>
          </c:cat>
          <c:val>
            <c:numLit>
              <c:formatCode>General</c:formatCode>
              <c:ptCount val="4"/>
              <c:pt idx="0">
                <c:v>0.88084085666352108</c:v>
              </c:pt>
              <c:pt idx="1">
                <c:v>0.87232759220887679</c:v>
              </c:pt>
              <c:pt idx="2">
                <c:v>0.87041073655487256</c:v>
              </c:pt>
              <c:pt idx="3">
                <c:v>0.87340439399811698</c:v>
              </c:pt>
            </c:numLit>
          </c:val>
          <c:extLst>
            <c:ext xmlns:c16="http://schemas.microsoft.com/office/drawing/2014/chart" uri="{C3380CC4-5D6E-409C-BE32-E72D297353CC}">
              <c16:uniqueId val="{00000001-5725-44C8-A8E1-5E011E0EE4AA}"/>
            </c:ext>
          </c:extLst>
        </c:ser>
        <c:ser>
          <c:idx val="2"/>
          <c:order val="2"/>
          <c:tx>
            <c:v>Sum of Downtime_Hours</c:v>
          </c:tx>
          <c:spPr>
            <a:solidFill>
              <a:schemeClr val="accent4">
                <a:lumMod val="40000"/>
                <a:lumOff val="60000"/>
              </a:schemeClr>
            </a:solidFill>
            <a:ln>
              <a:solidFill>
                <a:schemeClr val="tx1"/>
              </a:solidFill>
            </a:ln>
            <a:effectLst/>
            <a:sp3d>
              <a:contourClr>
                <a:schemeClr val="tx1"/>
              </a:contourClr>
            </a:sp3d>
          </c:spPr>
          <c:invertIfNegative val="0"/>
          <c:cat>
            <c:strLit>
              <c:ptCount val="4"/>
              <c:pt idx="0">
                <c:v>Completed</c:v>
              </c:pt>
              <c:pt idx="1">
                <c:v>Overdue</c:v>
              </c:pt>
              <c:pt idx="2">
                <c:v>Pending</c:v>
              </c:pt>
              <c:pt idx="3">
                <c:v>Scheduled</c:v>
              </c:pt>
            </c:strLit>
          </c:cat>
          <c:val>
            <c:numLit>
              <c:formatCode>General</c:formatCode>
              <c:ptCount val="4"/>
              <c:pt idx="0">
                <c:v>170.08333333333331</c:v>
              </c:pt>
              <c:pt idx="1">
                <c:v>70.066666666666634</c:v>
              </c:pt>
              <c:pt idx="2">
                <c:v>67.483333333333334</c:v>
              </c:pt>
              <c:pt idx="3">
                <c:v>113.31666666666668</c:v>
              </c:pt>
            </c:numLit>
          </c:val>
          <c:extLst>
            <c:ext xmlns:c16="http://schemas.microsoft.com/office/drawing/2014/chart" uri="{C3380CC4-5D6E-409C-BE32-E72D297353CC}">
              <c16:uniqueId val="{00000002-5725-44C8-A8E1-5E011E0EE4AA}"/>
            </c:ext>
          </c:extLst>
        </c:ser>
        <c:ser>
          <c:idx val="3"/>
          <c:order val="3"/>
          <c:tx>
            <c:v>Sum of Defect_Rate_%</c:v>
          </c:tx>
          <c:spPr>
            <a:solidFill>
              <a:schemeClr val="accent4"/>
            </a:solidFill>
            <a:ln>
              <a:solidFill>
                <a:schemeClr val="tx1"/>
              </a:solidFill>
            </a:ln>
            <a:effectLst/>
            <a:sp3d>
              <a:contourClr>
                <a:schemeClr val="tx1"/>
              </a:contourClr>
            </a:sp3d>
          </c:spPr>
          <c:invertIfNegative val="0"/>
          <c:cat>
            <c:strLit>
              <c:ptCount val="4"/>
              <c:pt idx="0">
                <c:v>Completed</c:v>
              </c:pt>
              <c:pt idx="1">
                <c:v>Overdue</c:v>
              </c:pt>
              <c:pt idx="2">
                <c:v>Pending</c:v>
              </c:pt>
              <c:pt idx="3">
                <c:v>Scheduled</c:v>
              </c:pt>
            </c:strLit>
          </c:cat>
          <c:val>
            <c:numLit>
              <c:formatCode>General</c:formatCode>
              <c:ptCount val="4"/>
              <c:pt idx="0">
                <c:v>25.163264634278445</c:v>
              </c:pt>
              <c:pt idx="1">
                <c:v>10.542917281007538</c:v>
              </c:pt>
              <c:pt idx="2">
                <c:v>10.581279339306194</c:v>
              </c:pt>
              <c:pt idx="3">
                <c:v>18.626014993305176</c:v>
              </c:pt>
            </c:numLit>
          </c:val>
          <c:extLst>
            <c:ext xmlns:c16="http://schemas.microsoft.com/office/drawing/2014/chart" uri="{C3380CC4-5D6E-409C-BE32-E72D297353CC}">
              <c16:uniqueId val="{00000003-5725-44C8-A8E1-5E011E0EE4AA}"/>
            </c:ext>
          </c:extLst>
        </c:ser>
        <c:dLbls>
          <c:showLegendKey val="0"/>
          <c:showVal val="0"/>
          <c:showCatName val="0"/>
          <c:showSerName val="0"/>
          <c:showPercent val="0"/>
          <c:showBubbleSize val="0"/>
        </c:dLbls>
        <c:gapWidth val="150"/>
        <c:shape val="box"/>
        <c:axId val="1224934976"/>
        <c:axId val="989386000"/>
        <c:axId val="0"/>
      </c:bar3DChart>
      <c:catAx>
        <c:axId val="122493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86000"/>
        <c:crosses val="autoZero"/>
        <c:auto val="1"/>
        <c:lblAlgn val="ctr"/>
        <c:lblOffset val="100"/>
        <c:noMultiLvlLbl val="0"/>
      </c:catAx>
      <c:valAx>
        <c:axId val="989386000"/>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93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Production</a:t>
            </a:r>
            <a:r>
              <a:rPr lang="en-US" baseline="0"/>
              <a:t> By Shift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tile tx="0" ty="0" sx="100000" sy="100000" flip="none" algn="tl"/>
          </a:blipFill>
          <a:ln>
            <a:solidFill>
              <a:schemeClr val="tx1"/>
            </a:solidFill>
          </a:ln>
          <a:effectLst/>
        </c:spPr>
      </c:pivotFmt>
      <c:pivotFmt>
        <c:idx val="4"/>
        <c:spPr>
          <a:solidFill>
            <a:srgbClr val="A3237E"/>
          </a:solidFill>
          <a:ln>
            <a:solidFill>
              <a:schemeClr val="tx1"/>
            </a:solidFill>
          </a:ln>
          <a:effectLst/>
        </c:spPr>
      </c:pivotFmt>
      <c:pivotFmt>
        <c:idx val="5"/>
        <c:spPr>
          <a:solidFill>
            <a:schemeClr val="accent4">
              <a:lumMod val="40000"/>
              <a:lumOff val="60000"/>
            </a:schemeClr>
          </a:solidFill>
          <a:ln>
            <a:solidFill>
              <a:schemeClr val="tx1"/>
            </a:solid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3"/>
            <a:tile tx="0" ty="0" sx="100000" sy="100000" flip="none" algn="tl"/>
          </a:blipFill>
          <a:ln>
            <a:solidFill>
              <a:schemeClr val="tx1"/>
            </a:solidFill>
          </a:ln>
          <a:effectLst/>
        </c:spPr>
      </c:pivotFmt>
      <c:pivotFmt>
        <c:idx val="8"/>
        <c:spPr>
          <a:solidFill>
            <a:srgbClr val="A3237E"/>
          </a:solidFill>
          <a:ln>
            <a:solidFill>
              <a:schemeClr val="tx1"/>
            </a:solidFill>
          </a:ln>
          <a:effectLst/>
        </c:spPr>
      </c:pivotFmt>
      <c:pivotFmt>
        <c:idx val="9"/>
        <c:spPr>
          <a:solidFill>
            <a:schemeClr val="accent4">
              <a:lumMod val="40000"/>
              <a:lumOff val="60000"/>
            </a:schemeClr>
          </a:solidFill>
          <a:ln>
            <a:solidFill>
              <a:schemeClr val="tx1"/>
            </a:solid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blipFill>
            <a:blip xmlns:r="http://schemas.openxmlformats.org/officeDocument/2006/relationships" r:embed="rId3"/>
            <a:tile tx="0" ty="0" sx="100000" sy="100000" flip="none" algn="tl"/>
          </a:blipFill>
          <a:ln>
            <a:solidFill>
              <a:schemeClr val="tx1"/>
            </a:solidFill>
          </a:ln>
          <a:effectLst/>
        </c:spPr>
      </c:pivotFmt>
      <c:pivotFmt>
        <c:idx val="20"/>
        <c:spPr>
          <a:solidFill>
            <a:srgbClr val="990099"/>
          </a:solidFill>
          <a:ln>
            <a:solidFill>
              <a:schemeClr val="tx1"/>
            </a:solidFill>
          </a:ln>
          <a:effectLst/>
        </c:spPr>
      </c:pivotFmt>
      <c:pivotFmt>
        <c:idx val="21"/>
        <c:spPr>
          <a:solidFill>
            <a:schemeClr val="accent4">
              <a:lumMod val="40000"/>
              <a:lumOff val="60000"/>
            </a:schemeClr>
          </a:solidFill>
          <a:ln>
            <a:solidFill>
              <a:schemeClr val="tx1"/>
            </a:solidFill>
          </a:ln>
          <a:effectLst/>
        </c:spPr>
      </c:pivotFmt>
      <c:pivotFmt>
        <c:idx val="2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2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v>Sum of Produced_Quantity</c:v>
          </c:tx>
          <c:dPt>
            <c:idx val="0"/>
            <c:bubble3D val="0"/>
            <c:spPr>
              <a:blipFill>
                <a:blip xmlns:r="http://schemas.openxmlformats.org/officeDocument/2006/relationships" r:embed="rId3"/>
                <a:tile tx="0" ty="0" sx="100000" sy="100000" flip="none" algn="tl"/>
              </a:blipFill>
              <a:ln>
                <a:solidFill>
                  <a:schemeClr val="tx1"/>
                </a:solidFill>
              </a:ln>
              <a:effectLst/>
            </c:spPr>
            <c:extLst>
              <c:ext xmlns:c16="http://schemas.microsoft.com/office/drawing/2014/chart" uri="{C3380CC4-5D6E-409C-BE32-E72D297353CC}">
                <c16:uniqueId val="{00000001-89F3-4F86-8279-444FDCE1367F}"/>
              </c:ext>
            </c:extLst>
          </c:dPt>
          <c:dPt>
            <c:idx val="1"/>
            <c:bubble3D val="0"/>
            <c:spPr>
              <a:solidFill>
                <a:srgbClr val="990099"/>
              </a:solidFill>
              <a:ln>
                <a:solidFill>
                  <a:schemeClr val="tx1"/>
                </a:solidFill>
              </a:ln>
              <a:effectLst/>
            </c:spPr>
            <c:extLst>
              <c:ext xmlns:c16="http://schemas.microsoft.com/office/drawing/2014/chart" uri="{C3380CC4-5D6E-409C-BE32-E72D297353CC}">
                <c16:uniqueId val="{00000003-89F3-4F86-8279-444FDCE1367F}"/>
              </c:ext>
            </c:extLst>
          </c:dPt>
          <c:dPt>
            <c:idx val="2"/>
            <c:bubble3D val="0"/>
            <c:spPr>
              <a:solidFill>
                <a:schemeClr val="accent4">
                  <a:lumMod val="40000"/>
                  <a:lumOff val="60000"/>
                </a:schemeClr>
              </a:solidFill>
              <a:ln>
                <a:solidFill>
                  <a:schemeClr val="tx1"/>
                </a:solidFill>
              </a:ln>
              <a:effectLst/>
            </c:spPr>
            <c:extLst>
              <c:ext xmlns:c16="http://schemas.microsoft.com/office/drawing/2014/chart" uri="{C3380CC4-5D6E-409C-BE32-E72D297353CC}">
                <c16:uniqueId val="{00000005-89F3-4F86-8279-444FDCE1367F}"/>
              </c:ext>
            </c:extLst>
          </c:dPt>
          <c:dLbls>
            <c:dLbl>
              <c:idx val="0"/>
              <c:layout>
                <c:manualLayout>
                  <c:x val="-2.5255476203292149E-2"/>
                  <c:y val="-8.00499304102970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F3-4F86-8279-444FDCE1367F}"/>
                </c:ext>
              </c:extLst>
            </c:dLbl>
            <c:dLbl>
              <c:idx val="1"/>
              <c:layout>
                <c:manualLayout>
                  <c:x val="-8.61399854248668E-3"/>
                  <c:y val="-2.101318736967050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F3-4F86-8279-444FDCE1367F}"/>
                </c:ext>
              </c:extLst>
            </c:dLbl>
            <c:dLbl>
              <c:idx val="2"/>
              <c:layout>
                <c:manualLayout>
                  <c:x val="-5.7315609644130801E-2"/>
                  <c:y val="3.73865236274378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F3-4F86-8279-444FDCE136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Evening</c:v>
              </c:pt>
              <c:pt idx="1">
                <c:v>Morning</c:v>
              </c:pt>
              <c:pt idx="2">
                <c:v>Night</c:v>
              </c:pt>
            </c:strLit>
          </c:cat>
          <c:val>
            <c:numLit>
              <c:formatCode>General</c:formatCode>
              <c:ptCount val="3"/>
              <c:pt idx="0">
                <c:v>258816</c:v>
              </c:pt>
              <c:pt idx="1">
                <c:v>294044</c:v>
              </c:pt>
              <c:pt idx="2">
                <c:v>139321</c:v>
              </c:pt>
            </c:numLit>
          </c:val>
          <c:extLst>
            <c:ext xmlns:c16="http://schemas.microsoft.com/office/drawing/2014/chart" uri="{C3380CC4-5D6E-409C-BE32-E72D297353CC}">
              <c16:uniqueId val="{00000006-89F3-4F86-8279-444FDCE1367F}"/>
            </c:ext>
          </c:extLst>
        </c:ser>
        <c:ser>
          <c:idx val="1"/>
          <c:order val="1"/>
          <c:tx>
            <c:v>Series2</c:v>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8-89F3-4F86-8279-444FDCE1367F}"/>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A-89F3-4F86-8279-444FDCE1367F}"/>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C-89F3-4F86-8279-444FDCE136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Evening</c:v>
              </c:pt>
              <c:pt idx="1">
                <c:v>Morning</c:v>
              </c:pt>
              <c:pt idx="2">
                <c:v>Night</c:v>
              </c:pt>
            </c:strLit>
          </c:cat>
          <c:val>
            <c:numLit>
              <c:formatCode>General</c:formatCode>
              <c:ptCount val="3"/>
              <c:pt idx="0">
                <c:v>0.93269127229714743</c:v>
              </c:pt>
              <c:pt idx="1">
                <c:v>0.98383416879675534</c:v>
              </c:pt>
              <c:pt idx="2">
                <c:v>0.85315492345344279</c:v>
              </c:pt>
            </c:numLit>
          </c:val>
          <c:extLst>
            <c:ext xmlns:c16="http://schemas.microsoft.com/office/drawing/2014/chart" uri="{C3380CC4-5D6E-409C-BE32-E72D297353CC}">
              <c16:uniqueId val="{0000000D-89F3-4F86-8279-444FDCE1367F}"/>
            </c:ext>
          </c:extLst>
        </c:ser>
        <c:ser>
          <c:idx val="2"/>
          <c:order val="2"/>
          <c:tx>
            <c:v>Series3</c:v>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F-89F3-4F86-8279-444FDCE1367F}"/>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11-89F3-4F86-8279-444FDCE1367F}"/>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13-89F3-4F86-8279-444FDCE136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Evening</c:v>
              </c:pt>
              <c:pt idx="1">
                <c:v>Morning</c:v>
              </c:pt>
              <c:pt idx="2">
                <c:v>Night</c:v>
              </c:pt>
            </c:strLit>
          </c:cat>
          <c:val>
            <c:numLit>
              <c:formatCode>General</c:formatCode>
              <c:ptCount val="3"/>
              <c:pt idx="0">
                <c:v>323.44035023598593</c:v>
              </c:pt>
              <c:pt idx="1">
                <c:v>374.58282518597599</c:v>
              </c:pt>
              <c:pt idx="2">
                <c:v>177.71721503866578</c:v>
              </c:pt>
            </c:numLit>
          </c:val>
          <c:extLst>
            <c:ext xmlns:c16="http://schemas.microsoft.com/office/drawing/2014/chart" uri="{C3380CC4-5D6E-409C-BE32-E72D297353CC}">
              <c16:uniqueId val="{00000014-89F3-4F86-8279-444FDCE136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[Manufacturing_Data_Analytics_Completed.xlsx]Sheet13!PivotTable13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Scrap Cost by Line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bg1"/>
        </a:solidFill>
        <a:ln>
          <a:noFill/>
        </a:ln>
        <a:effectLst/>
        <a:sp3d/>
      </c:spPr>
    </c:backWall>
    <c:plotArea>
      <c:layout/>
      <c:bar3DChart>
        <c:barDir val="bar"/>
        <c:grouping val="stacked"/>
        <c:varyColors val="0"/>
        <c:ser>
          <c:idx val="0"/>
          <c:order val="0"/>
          <c:tx>
            <c:strRef>
              <c:f>Sheet13!$B$3</c:f>
              <c:strCache>
                <c:ptCount val="1"/>
                <c:pt idx="0">
                  <c:v>Total</c:v>
                </c:pt>
              </c:strCache>
            </c:strRef>
          </c:tx>
          <c:spPr>
            <a:blipFill>
              <a:blip xmlns:r="http://schemas.openxmlformats.org/officeDocument/2006/relationships" r:embed="rId3"/>
              <a:tile tx="0" ty="0" sx="100000" sy="100000" flip="none" algn="tl"/>
            </a:blipFill>
            <a:ln>
              <a:solidFill>
                <a:schemeClr val="tx1"/>
              </a:solidFill>
            </a:ln>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Sheet13!$A$4:$A$9</c:f>
              <c:strCache>
                <c:ptCount val="5"/>
                <c:pt idx="0">
                  <c:v>Line 1</c:v>
                </c:pt>
                <c:pt idx="1">
                  <c:v>Line 2</c:v>
                </c:pt>
                <c:pt idx="2">
                  <c:v>Line 3</c:v>
                </c:pt>
                <c:pt idx="3">
                  <c:v>Line 4</c:v>
                </c:pt>
                <c:pt idx="4">
                  <c:v>Line 5</c:v>
                </c:pt>
              </c:strCache>
            </c:strRef>
          </c:cat>
          <c:val>
            <c:numRef>
              <c:f>Sheet13!$B$4:$B$9</c:f>
              <c:numCache>
                <c:formatCode>General</c:formatCode>
                <c:ptCount val="5"/>
                <c:pt idx="0">
                  <c:v>50339.315323478564</c:v>
                </c:pt>
                <c:pt idx="1">
                  <c:v>62030.728681044588</c:v>
                </c:pt>
                <c:pt idx="2">
                  <c:v>78358.047997539703</c:v>
                </c:pt>
                <c:pt idx="3">
                  <c:v>47228.222922771638</c:v>
                </c:pt>
                <c:pt idx="4">
                  <c:v>63087.380261361526</c:v>
                </c:pt>
              </c:numCache>
            </c:numRef>
          </c:val>
          <c:extLst>
            <c:ext xmlns:c16="http://schemas.microsoft.com/office/drawing/2014/chart" uri="{C3380CC4-5D6E-409C-BE32-E72D297353CC}">
              <c16:uniqueId val="{00000000-6819-4627-89FF-49221462EC98}"/>
            </c:ext>
          </c:extLst>
        </c:ser>
        <c:dLbls>
          <c:showLegendKey val="0"/>
          <c:showVal val="1"/>
          <c:showCatName val="0"/>
          <c:showSerName val="0"/>
          <c:showPercent val="0"/>
          <c:showBubbleSize val="0"/>
        </c:dLbls>
        <c:gapWidth val="150"/>
        <c:shape val="box"/>
        <c:axId val="1231620896"/>
        <c:axId val="989389360"/>
        <c:axId val="0"/>
      </c:bar3DChart>
      <c:catAx>
        <c:axId val="123162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389360"/>
        <c:crosses val="autoZero"/>
        <c:auto val="1"/>
        <c:lblAlgn val="ctr"/>
        <c:lblOffset val="100"/>
        <c:noMultiLvlLbl val="0"/>
      </c:catAx>
      <c:valAx>
        <c:axId val="98938936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162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withinLinear" id="16">
  <a:schemeClr val="accent3"/>
</cs:colorStyle>
</file>

<file path=xl/charts/colors17.xml><?xml version="1.0" encoding="utf-8"?>
<cs:colorStyle xmlns:cs="http://schemas.microsoft.com/office/drawing/2012/chartStyle" xmlns:a="http://schemas.openxmlformats.org/drawingml/2006/main" meth="withinLinear" id="16">
  <a:schemeClr val="accent3"/>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xdr:col>
      <xdr:colOff>304800</xdr:colOff>
      <xdr:row>5</xdr:row>
      <xdr:rowOff>42862</xdr:rowOff>
    </xdr:from>
    <xdr:to>
      <xdr:col>11</xdr:col>
      <xdr:colOff>0</xdr:colOff>
      <xdr:row>19</xdr:row>
      <xdr:rowOff>119062</xdr:rowOff>
    </xdr:to>
    <xdr:graphicFrame macro="">
      <xdr:nvGraphicFramePr>
        <xdr:cNvPr id="2" name="Chart 1">
          <a:extLst>
            <a:ext uri="{FF2B5EF4-FFF2-40B4-BE49-F238E27FC236}">
              <a16:creationId xmlns:a16="http://schemas.microsoft.com/office/drawing/2014/main" id="{9B494989-7E17-F1B9-7F71-F7284F88C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121586</xdr:colOff>
      <xdr:row>31</xdr:row>
      <xdr:rowOff>276</xdr:rowOff>
    </xdr:from>
    <xdr:to>
      <xdr:col>13</xdr:col>
      <xdr:colOff>11906</xdr:colOff>
      <xdr:row>45</xdr:row>
      <xdr:rowOff>11906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220702</xdr:colOff>
      <xdr:row>1</xdr:row>
      <xdr:rowOff>184152</xdr:rowOff>
    </xdr:from>
    <xdr:to>
      <xdr:col>20</xdr:col>
      <xdr:colOff>453020</xdr:colOff>
      <xdr:row>15</xdr:row>
      <xdr:rowOff>46464</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130968</xdr:colOff>
      <xdr:row>1</xdr:row>
      <xdr:rowOff>166688</xdr:rowOff>
    </xdr:from>
    <xdr:to>
      <xdr:col>12</xdr:col>
      <xdr:colOff>583012</xdr:colOff>
      <xdr:row>15</xdr:row>
      <xdr:rowOff>47625</xdr:rowOff>
    </xdr:to>
    <xdr:graphicFrame macro="">
      <xdr:nvGraphicFramePr>
        <xdr:cNvPr id="11" name="Chart 10">
          <a:extLst>
            <a:ext uri="{FF2B5EF4-FFF2-40B4-BE49-F238E27FC236}">
              <a16:creationId xmlns:a16="http://schemas.microsoft.com/office/drawing/2014/main" id="{4E1D683F-7704-45B0-B0A9-D36B2790C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107156</xdr:colOff>
      <xdr:row>15</xdr:row>
      <xdr:rowOff>178594</xdr:rowOff>
    </xdr:from>
    <xdr:to>
      <xdr:col>13</xdr:col>
      <xdr:colOff>11906</xdr:colOff>
      <xdr:row>30</xdr:row>
      <xdr:rowOff>64294</xdr:rowOff>
    </xdr:to>
    <xdr:graphicFrame macro="">
      <xdr:nvGraphicFramePr>
        <xdr:cNvPr id="12" name="Chart 11">
          <a:extLst>
            <a:ext uri="{FF2B5EF4-FFF2-40B4-BE49-F238E27FC236}">
              <a16:creationId xmlns:a16="http://schemas.microsoft.com/office/drawing/2014/main" id="{D886C293-E255-4503-B717-FA350B388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250031</xdr:colOff>
      <xdr:row>16</xdr:row>
      <xdr:rowOff>11906</xdr:rowOff>
    </xdr:from>
    <xdr:to>
      <xdr:col>20</xdr:col>
      <xdr:colOff>428625</xdr:colOff>
      <xdr:row>30</xdr:row>
      <xdr:rowOff>59531</xdr:rowOff>
    </xdr:to>
    <xdr:graphicFrame macro="">
      <xdr:nvGraphicFramePr>
        <xdr:cNvPr id="13" name="Chart 12">
          <a:extLst>
            <a:ext uri="{FF2B5EF4-FFF2-40B4-BE49-F238E27FC236}">
              <a16:creationId xmlns:a16="http://schemas.microsoft.com/office/drawing/2014/main" id="{9AEEB8DF-E8AB-4BBC-B16A-E262B168C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238126</xdr:colOff>
      <xdr:row>31</xdr:row>
      <xdr:rowOff>11907</xdr:rowOff>
    </xdr:from>
    <xdr:to>
      <xdr:col>20</xdr:col>
      <xdr:colOff>392907</xdr:colOff>
      <xdr:row>45</xdr:row>
      <xdr:rowOff>11906</xdr:rowOff>
    </xdr:to>
    <xdr:graphicFrame macro="">
      <xdr:nvGraphicFramePr>
        <xdr:cNvPr id="14" name="Chart 13">
          <a:extLst>
            <a:ext uri="{FF2B5EF4-FFF2-40B4-BE49-F238E27FC236}">
              <a16:creationId xmlns:a16="http://schemas.microsoft.com/office/drawing/2014/main" id="{E4DA8A61-9301-427A-8EF2-B470B609D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11</xdr:col>
      <xdr:colOff>290520</xdr:colOff>
      <xdr:row>15</xdr:row>
      <xdr:rowOff>13320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xdr:colOff>
      <xdr:row>2</xdr:row>
      <xdr:rowOff>1</xdr:rowOff>
    </xdr:from>
    <xdr:to>
      <xdr:col>19</xdr:col>
      <xdr:colOff>0</xdr:colOff>
      <xdr:row>15</xdr:row>
      <xdr:rowOff>1</xdr:rowOff>
    </xdr:to>
    <xdr:graphicFrame macro="">
      <xdr:nvGraphicFramePr>
        <xdr:cNvPr id="4" name="Chart 3">
          <a:extLst>
            <a:ext uri="{FF2B5EF4-FFF2-40B4-BE49-F238E27FC236}">
              <a16:creationId xmlns:a16="http://schemas.microsoft.com/office/drawing/2014/main" id="{A5133C0C-42C9-4C26-B818-309F54590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562842</xdr:colOff>
      <xdr:row>17</xdr:row>
      <xdr:rowOff>140711</xdr:rowOff>
    </xdr:from>
    <xdr:to>
      <xdr:col>18</xdr:col>
      <xdr:colOff>541194</xdr:colOff>
      <xdr:row>30</xdr:row>
      <xdr:rowOff>184007</xdr:rowOff>
    </xdr:to>
    <xdr:graphicFrame macro="">
      <xdr:nvGraphicFramePr>
        <xdr:cNvPr id="5" name="Chart 4">
          <a:extLst>
            <a:ext uri="{FF2B5EF4-FFF2-40B4-BE49-F238E27FC236}">
              <a16:creationId xmlns:a16="http://schemas.microsoft.com/office/drawing/2014/main" id="{5F83BEDB-F48A-4DCB-A0BA-41952C1E0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17</xdr:row>
      <xdr:rowOff>137475</xdr:rowOff>
    </xdr:from>
    <xdr:to>
      <xdr:col>11</xdr:col>
      <xdr:colOff>274949</xdr:colOff>
      <xdr:row>31</xdr:row>
      <xdr:rowOff>9821</xdr:rowOff>
    </xdr:to>
    <xdr:graphicFrame macro="">
      <xdr:nvGraphicFramePr>
        <xdr:cNvPr id="6" name="Chart 5">
          <a:extLst>
            <a:ext uri="{FF2B5EF4-FFF2-40B4-BE49-F238E27FC236}">
              <a16:creationId xmlns:a16="http://schemas.microsoft.com/office/drawing/2014/main" id="{B5C657A6-474E-4FAB-A2C3-3B23BAFDD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32</xdr:row>
      <xdr:rowOff>0</xdr:rowOff>
    </xdr:from>
    <xdr:to>
      <xdr:col>11</xdr:col>
      <xdr:colOff>255310</xdr:colOff>
      <xdr:row>46</xdr:row>
      <xdr:rowOff>131190</xdr:rowOff>
    </xdr:to>
    <xdr:graphicFrame macro="">
      <xdr:nvGraphicFramePr>
        <xdr:cNvPr id="7" name="Chart 6">
          <a:extLst>
            <a:ext uri="{FF2B5EF4-FFF2-40B4-BE49-F238E27FC236}">
              <a16:creationId xmlns:a16="http://schemas.microsoft.com/office/drawing/2014/main" id="{9CA5FAFD-960F-4590-816D-212C4AA8E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32</xdr:row>
      <xdr:rowOff>0</xdr:rowOff>
    </xdr:from>
    <xdr:to>
      <xdr:col>18</xdr:col>
      <xdr:colOff>556656</xdr:colOff>
      <xdr:row>46</xdr:row>
      <xdr:rowOff>92312</xdr:rowOff>
    </xdr:to>
    <xdr:graphicFrame macro="">
      <xdr:nvGraphicFramePr>
        <xdr:cNvPr id="8" name="Chart 7">
          <a:extLst>
            <a:ext uri="{FF2B5EF4-FFF2-40B4-BE49-F238E27FC236}">
              <a16:creationId xmlns:a16="http://schemas.microsoft.com/office/drawing/2014/main" id="{A54EB933-B2B0-4C07-A919-F0A21848A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423333</xdr:colOff>
      <xdr:row>30</xdr:row>
      <xdr:rowOff>14722</xdr:rowOff>
    </xdr:from>
    <xdr:to>
      <xdr:col>6</xdr:col>
      <xdr:colOff>315628</xdr:colOff>
      <xdr:row>43</xdr:row>
      <xdr:rowOff>57562</xdr:rowOff>
    </xdr:to>
    <xdr:graphicFrame macro="">
      <xdr:nvGraphicFramePr>
        <xdr:cNvPr id="4" name="Chart 1">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709003</xdr:colOff>
      <xdr:row>30</xdr:row>
      <xdr:rowOff>9550</xdr:rowOff>
    </xdr:from>
    <xdr:to>
      <xdr:col>10</xdr:col>
      <xdr:colOff>308609</xdr:colOff>
      <xdr:row>43</xdr:row>
      <xdr:rowOff>52390</xdr:rowOff>
    </xdr:to>
    <xdr:graphicFrame macro="">
      <xdr:nvGraphicFramePr>
        <xdr:cNvPr id="5" name="Chart 2">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221613</xdr:colOff>
      <xdr:row>44</xdr:row>
      <xdr:rowOff>60078</xdr:rowOff>
    </xdr:from>
    <xdr:to>
      <xdr:col>3</xdr:col>
      <xdr:colOff>123496</xdr:colOff>
      <xdr:row>57</xdr:row>
      <xdr:rowOff>102918</xdr:rowOff>
    </xdr:to>
    <xdr:graphicFrame macro="">
      <xdr:nvGraphicFramePr>
        <xdr:cNvPr id="6" name="Chart 3">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255431</xdr:colOff>
      <xdr:row>30</xdr:row>
      <xdr:rowOff>9550</xdr:rowOff>
    </xdr:from>
    <xdr:to>
      <xdr:col>3</xdr:col>
      <xdr:colOff>195981</xdr:colOff>
      <xdr:row>43</xdr:row>
      <xdr:rowOff>52750</xdr:rowOff>
    </xdr:to>
    <xdr:graphicFrame macro="">
      <xdr:nvGraphicFramePr>
        <xdr:cNvPr id="7" name="Chart 4">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xdr:row>
      <xdr:rowOff>180975</xdr:rowOff>
    </xdr:from>
    <xdr:to>
      <xdr:col>2</xdr:col>
      <xdr:colOff>923925</xdr:colOff>
      <xdr:row>3</xdr:row>
      <xdr:rowOff>9525</xdr:rowOff>
    </xdr:to>
    <xdr:sp macro="" textlink="">
      <xdr:nvSpPr>
        <xdr:cNvPr id="2" name="TextBox 1">
          <a:extLst>
            <a:ext uri="{FF2B5EF4-FFF2-40B4-BE49-F238E27FC236}">
              <a16:creationId xmlns:a16="http://schemas.microsoft.com/office/drawing/2014/main" id="{7E290EFA-78ED-4B05-C7AC-B88AF065C5F7}"/>
            </a:ext>
          </a:extLst>
        </xdr:cNvPr>
        <xdr:cNvSpPr txBox="1"/>
      </xdr:nvSpPr>
      <xdr:spPr>
        <a:xfrm>
          <a:off x="0" y="533400"/>
          <a:ext cx="3505200" cy="2190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mj-lt"/>
            </a:rPr>
            <a:t>                                </a:t>
          </a:r>
          <a:r>
            <a:rPr lang="en-IN" sz="1100" b="1">
              <a:solidFill>
                <a:schemeClr val="bg1"/>
              </a:solidFill>
              <a:latin typeface="+mj-lt"/>
            </a:rPr>
            <a:t>Total Production</a:t>
          </a:r>
        </a:p>
      </xdr:txBody>
    </xdr:sp>
    <xdr:clientData/>
  </xdr:twoCellAnchor>
  <xdr:twoCellAnchor>
    <xdr:from>
      <xdr:col>3</xdr:col>
      <xdr:colOff>245</xdr:colOff>
      <xdr:row>1</xdr:row>
      <xdr:rowOff>181939</xdr:rowOff>
    </xdr:from>
    <xdr:to>
      <xdr:col>6</xdr:col>
      <xdr:colOff>14432</xdr:colOff>
      <xdr:row>3</xdr:row>
      <xdr:rowOff>11916</xdr:rowOff>
    </xdr:to>
    <xdr:sp macro="" textlink="">
      <xdr:nvSpPr>
        <xdr:cNvPr id="3" name="TextBox 2">
          <a:extLst>
            <a:ext uri="{FF2B5EF4-FFF2-40B4-BE49-F238E27FC236}">
              <a16:creationId xmlns:a16="http://schemas.microsoft.com/office/drawing/2014/main" id="{866E1272-88E2-49CE-8AB6-953492B0A60E}"/>
            </a:ext>
          </a:extLst>
        </xdr:cNvPr>
        <xdr:cNvSpPr txBox="1"/>
      </xdr:nvSpPr>
      <xdr:spPr>
        <a:xfrm>
          <a:off x="3507177" y="535519"/>
          <a:ext cx="3448960" cy="21963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mj-lt"/>
            </a:rPr>
            <a:t>                                  Achievement</a:t>
          </a:r>
          <a:r>
            <a:rPr lang="en-IN" sz="1100" b="1" baseline="0">
              <a:solidFill>
                <a:schemeClr val="bg1"/>
              </a:solidFill>
              <a:latin typeface="+mj-lt"/>
            </a:rPr>
            <a:t> %</a:t>
          </a:r>
          <a:endParaRPr lang="en-IN" sz="1100" b="1">
            <a:solidFill>
              <a:schemeClr val="bg1"/>
            </a:solidFill>
            <a:latin typeface="+mj-lt"/>
          </a:endParaRPr>
        </a:p>
      </xdr:txBody>
    </xdr:sp>
    <xdr:clientData/>
  </xdr:twoCellAnchor>
  <xdr:twoCellAnchor>
    <xdr:from>
      <xdr:col>6</xdr:col>
      <xdr:colOff>1</xdr:colOff>
      <xdr:row>1</xdr:row>
      <xdr:rowOff>182152</xdr:rowOff>
    </xdr:from>
    <xdr:to>
      <xdr:col>8</xdr:col>
      <xdr:colOff>927529</xdr:colOff>
      <xdr:row>3</xdr:row>
      <xdr:rowOff>10702</xdr:rowOff>
    </xdr:to>
    <xdr:sp macro="" textlink="">
      <xdr:nvSpPr>
        <xdr:cNvPr id="9" name="TextBox 8">
          <a:extLst>
            <a:ext uri="{FF2B5EF4-FFF2-40B4-BE49-F238E27FC236}">
              <a16:creationId xmlns:a16="http://schemas.microsoft.com/office/drawing/2014/main" id="{4BF626E5-0747-4D02-BD36-ACC350D8DBA1}"/>
            </a:ext>
          </a:extLst>
        </xdr:cNvPr>
        <xdr:cNvSpPr txBox="1"/>
      </xdr:nvSpPr>
      <xdr:spPr>
        <a:xfrm>
          <a:off x="6953786" y="535326"/>
          <a:ext cx="2795070" cy="21918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mj-lt"/>
            </a:rPr>
            <a:t>                                OEE</a:t>
          </a:r>
          <a:r>
            <a:rPr lang="en-IN" sz="1200" b="1" baseline="0">
              <a:solidFill>
                <a:schemeClr val="bg1"/>
              </a:solidFill>
              <a:latin typeface="+mj-lt"/>
            </a:rPr>
            <a:t> %</a:t>
          </a:r>
          <a:endParaRPr lang="en-IN" sz="1100" b="1">
            <a:solidFill>
              <a:schemeClr val="bg1"/>
            </a:solidFill>
            <a:latin typeface="+mj-lt"/>
          </a:endParaRPr>
        </a:p>
      </xdr:txBody>
    </xdr:sp>
    <xdr:clientData/>
  </xdr:twoCellAnchor>
  <xdr:twoCellAnchor>
    <xdr:from>
      <xdr:col>8</xdr:col>
      <xdr:colOff>935338</xdr:colOff>
      <xdr:row>1</xdr:row>
      <xdr:rowOff>181938</xdr:rowOff>
    </xdr:from>
    <xdr:to>
      <xdr:col>12</xdr:col>
      <xdr:colOff>0</xdr:colOff>
      <xdr:row>3</xdr:row>
      <xdr:rowOff>10488</xdr:rowOff>
    </xdr:to>
    <xdr:sp macro="" textlink="">
      <xdr:nvSpPr>
        <xdr:cNvPr id="10" name="TextBox 9">
          <a:extLst>
            <a:ext uri="{FF2B5EF4-FFF2-40B4-BE49-F238E27FC236}">
              <a16:creationId xmlns:a16="http://schemas.microsoft.com/office/drawing/2014/main" id="{27758290-480C-4EAB-AC33-E548EE587730}"/>
            </a:ext>
          </a:extLst>
        </xdr:cNvPr>
        <xdr:cNvSpPr txBox="1"/>
      </xdr:nvSpPr>
      <xdr:spPr>
        <a:xfrm>
          <a:off x="9765270" y="533762"/>
          <a:ext cx="2806014" cy="21899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mj-lt"/>
            </a:rPr>
            <a:t>                            Defect</a:t>
          </a:r>
          <a:r>
            <a:rPr lang="en-IN" sz="1100" b="1" baseline="0">
              <a:solidFill>
                <a:schemeClr val="bg1"/>
              </a:solidFill>
              <a:latin typeface="+mj-lt"/>
            </a:rPr>
            <a:t> Rate %</a:t>
          </a:r>
          <a:endParaRPr lang="en-IN" sz="1100" b="1">
            <a:solidFill>
              <a:schemeClr val="bg1"/>
            </a:solidFill>
            <a:latin typeface="+mj-lt"/>
          </a:endParaRPr>
        </a:p>
      </xdr:txBody>
    </xdr:sp>
    <xdr:clientData/>
  </xdr:twoCellAnchor>
  <xdr:twoCellAnchor>
    <xdr:from>
      <xdr:col>0</xdr:col>
      <xdr:colOff>0</xdr:colOff>
      <xdr:row>5</xdr:row>
      <xdr:rowOff>188241</xdr:rowOff>
    </xdr:from>
    <xdr:to>
      <xdr:col>2</xdr:col>
      <xdr:colOff>923925</xdr:colOff>
      <xdr:row>7</xdr:row>
      <xdr:rowOff>11853</xdr:rowOff>
    </xdr:to>
    <xdr:sp macro="" textlink="">
      <xdr:nvSpPr>
        <xdr:cNvPr id="11" name="TextBox 10">
          <a:extLst>
            <a:ext uri="{FF2B5EF4-FFF2-40B4-BE49-F238E27FC236}">
              <a16:creationId xmlns:a16="http://schemas.microsoft.com/office/drawing/2014/main" id="{16AB3F35-781D-49CB-8530-1765FCD104DF}"/>
            </a:ext>
          </a:extLst>
        </xdr:cNvPr>
        <xdr:cNvSpPr txBox="1"/>
      </xdr:nvSpPr>
      <xdr:spPr>
        <a:xfrm>
          <a:off x="0" y="1317688"/>
          <a:ext cx="3506593" cy="22268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mj-lt"/>
            </a:rPr>
            <a:t>                                     Scrap</a:t>
          </a:r>
          <a:r>
            <a:rPr lang="en-IN" sz="1100" b="1" baseline="0">
              <a:solidFill>
                <a:schemeClr val="bg1"/>
              </a:solidFill>
              <a:latin typeface="+mj-lt"/>
            </a:rPr>
            <a:t> Cost %</a:t>
          </a:r>
          <a:endParaRPr lang="en-IN" sz="1100" b="1">
            <a:solidFill>
              <a:schemeClr val="bg1"/>
            </a:solidFill>
            <a:latin typeface="+mj-lt"/>
          </a:endParaRPr>
        </a:p>
      </xdr:txBody>
    </xdr:sp>
    <xdr:clientData/>
  </xdr:twoCellAnchor>
  <xdr:twoCellAnchor>
    <xdr:from>
      <xdr:col>3</xdr:col>
      <xdr:colOff>1</xdr:colOff>
      <xdr:row>5</xdr:row>
      <xdr:rowOff>192317</xdr:rowOff>
    </xdr:from>
    <xdr:to>
      <xdr:col>6</xdr:col>
      <xdr:colOff>1</xdr:colOff>
      <xdr:row>7</xdr:row>
      <xdr:rowOff>13809</xdr:rowOff>
    </xdr:to>
    <xdr:sp macro="" textlink="">
      <xdr:nvSpPr>
        <xdr:cNvPr id="13" name="TextBox 12">
          <a:extLst>
            <a:ext uri="{FF2B5EF4-FFF2-40B4-BE49-F238E27FC236}">
              <a16:creationId xmlns:a16="http://schemas.microsoft.com/office/drawing/2014/main" id="{CF24408B-D883-41BD-860B-B39775BEABE6}"/>
            </a:ext>
          </a:extLst>
        </xdr:cNvPr>
        <xdr:cNvSpPr txBox="1"/>
      </xdr:nvSpPr>
      <xdr:spPr>
        <a:xfrm>
          <a:off x="3511177" y="1303567"/>
          <a:ext cx="3436471" cy="2136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mj-lt"/>
            </a:rPr>
            <a:t>                                Downtime</a:t>
          </a:r>
          <a:r>
            <a:rPr lang="en-IN" sz="1100" b="1" baseline="0">
              <a:solidFill>
                <a:schemeClr val="bg1"/>
              </a:solidFill>
              <a:latin typeface="+mj-lt"/>
            </a:rPr>
            <a:t> Hours </a:t>
          </a:r>
          <a:endParaRPr lang="en-IN" sz="1100" b="1">
            <a:solidFill>
              <a:schemeClr val="bg1"/>
            </a:solidFill>
            <a:latin typeface="+mj-lt"/>
          </a:endParaRPr>
        </a:p>
      </xdr:txBody>
    </xdr:sp>
    <xdr:clientData/>
  </xdr:twoCellAnchor>
  <xdr:twoCellAnchor>
    <xdr:from>
      <xdr:col>6</xdr:col>
      <xdr:colOff>7529</xdr:colOff>
      <xdr:row>5</xdr:row>
      <xdr:rowOff>197890</xdr:rowOff>
    </xdr:from>
    <xdr:to>
      <xdr:col>9</xdr:col>
      <xdr:colOff>9191</xdr:colOff>
      <xdr:row>7</xdr:row>
      <xdr:rowOff>13569</xdr:rowOff>
    </xdr:to>
    <xdr:sp macro="" textlink="">
      <xdr:nvSpPr>
        <xdr:cNvPr id="15" name="TextBox 14">
          <a:extLst>
            <a:ext uri="{FF2B5EF4-FFF2-40B4-BE49-F238E27FC236}">
              <a16:creationId xmlns:a16="http://schemas.microsoft.com/office/drawing/2014/main" id="{3F2CD11F-FB8E-45A0-BF48-939196A0C047}"/>
            </a:ext>
          </a:extLst>
        </xdr:cNvPr>
        <xdr:cNvSpPr txBox="1"/>
      </xdr:nvSpPr>
      <xdr:spPr>
        <a:xfrm>
          <a:off x="6961155" y="1327337"/>
          <a:ext cx="2802690" cy="2147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mj-lt"/>
            </a:rPr>
            <a:t>                                     Revenue</a:t>
          </a:r>
        </a:p>
      </xdr:txBody>
    </xdr:sp>
    <xdr:clientData/>
  </xdr:twoCellAnchor>
  <xdr:twoCellAnchor>
    <xdr:from>
      <xdr:col>8</xdr:col>
      <xdr:colOff>935338</xdr:colOff>
      <xdr:row>5</xdr:row>
      <xdr:rowOff>201655</xdr:rowOff>
    </xdr:from>
    <xdr:to>
      <xdr:col>12</xdr:col>
      <xdr:colOff>0</xdr:colOff>
      <xdr:row>7</xdr:row>
      <xdr:rowOff>17334</xdr:rowOff>
    </xdr:to>
    <xdr:sp macro="" textlink="">
      <xdr:nvSpPr>
        <xdr:cNvPr id="17" name="TextBox 16">
          <a:extLst>
            <a:ext uri="{FF2B5EF4-FFF2-40B4-BE49-F238E27FC236}">
              <a16:creationId xmlns:a16="http://schemas.microsoft.com/office/drawing/2014/main" id="{B97A86D9-DB57-4981-8061-91FAFF9368C8}"/>
            </a:ext>
          </a:extLst>
        </xdr:cNvPr>
        <xdr:cNvSpPr txBox="1"/>
      </xdr:nvSpPr>
      <xdr:spPr>
        <a:xfrm>
          <a:off x="9765270" y="1321486"/>
          <a:ext cx="2806014" cy="21899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mj-lt"/>
            </a:rPr>
            <a:t>                                    Profit</a:t>
          </a:r>
        </a:p>
      </xdr:txBody>
    </xdr:sp>
    <xdr:clientData/>
  </xdr:twoCellAnchor>
  <xdr:twoCellAnchor>
    <xdr:from>
      <xdr:col>10</xdr:col>
      <xdr:colOff>665239</xdr:colOff>
      <xdr:row>44</xdr:row>
      <xdr:rowOff>60477</xdr:rowOff>
    </xdr:from>
    <xdr:to>
      <xdr:col>16</xdr:col>
      <xdr:colOff>255708</xdr:colOff>
      <xdr:row>57</xdr:row>
      <xdr:rowOff>75595</xdr:rowOff>
    </xdr:to>
    <xdr:graphicFrame macro="">
      <xdr:nvGraphicFramePr>
        <xdr:cNvPr id="8" name="Chart 7">
          <a:extLst>
            <a:ext uri="{FF2B5EF4-FFF2-40B4-BE49-F238E27FC236}">
              <a16:creationId xmlns:a16="http://schemas.microsoft.com/office/drawing/2014/main" id="{53932DCF-BFA5-4D7B-AA7B-DDB87C338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635000</xdr:colOff>
      <xdr:row>30</xdr:row>
      <xdr:rowOff>15121</xdr:rowOff>
    </xdr:from>
    <xdr:to>
      <xdr:col>16</xdr:col>
      <xdr:colOff>205830</xdr:colOff>
      <xdr:row>43</xdr:row>
      <xdr:rowOff>30240</xdr:rowOff>
    </xdr:to>
    <xdr:graphicFrame macro="">
      <xdr:nvGraphicFramePr>
        <xdr:cNvPr id="12" name="Chart 11">
          <a:extLst>
            <a:ext uri="{FF2B5EF4-FFF2-40B4-BE49-F238E27FC236}">
              <a16:creationId xmlns:a16="http://schemas.microsoft.com/office/drawing/2014/main" id="{6CEF8E31-38E1-4D5F-AE35-2856818BD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393095</xdr:colOff>
      <xdr:row>44</xdr:row>
      <xdr:rowOff>60476</xdr:rowOff>
    </xdr:from>
    <xdr:to>
      <xdr:col>6</xdr:col>
      <xdr:colOff>423333</xdr:colOff>
      <xdr:row>57</xdr:row>
      <xdr:rowOff>90714</xdr:rowOff>
    </xdr:to>
    <xdr:graphicFrame macro="">
      <xdr:nvGraphicFramePr>
        <xdr:cNvPr id="14" name="Chart 13">
          <a:extLst>
            <a:ext uri="{FF2B5EF4-FFF2-40B4-BE49-F238E27FC236}">
              <a16:creationId xmlns:a16="http://schemas.microsoft.com/office/drawing/2014/main" id="{691593F4-ECC1-4EC7-A48C-30F8748DE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725715</xdr:colOff>
      <xdr:row>44</xdr:row>
      <xdr:rowOff>45358</xdr:rowOff>
    </xdr:from>
    <xdr:to>
      <xdr:col>10</xdr:col>
      <xdr:colOff>393095</xdr:colOff>
      <xdr:row>57</xdr:row>
      <xdr:rowOff>75595</xdr:rowOff>
    </xdr:to>
    <xdr:graphicFrame macro="">
      <xdr:nvGraphicFramePr>
        <xdr:cNvPr id="16" name="Chart 15">
          <a:extLst>
            <a:ext uri="{FF2B5EF4-FFF2-40B4-BE49-F238E27FC236}">
              <a16:creationId xmlns:a16="http://schemas.microsoft.com/office/drawing/2014/main" id="{4253965B-81E7-46D2-953A-9F9DCE27A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195719</xdr:colOff>
      <xdr:row>60</xdr:row>
      <xdr:rowOff>0</xdr:rowOff>
    </xdr:from>
    <xdr:to>
      <xdr:col>1</xdr:col>
      <xdr:colOff>704588</xdr:colOff>
      <xdr:row>69</xdr:row>
      <xdr:rowOff>52191</xdr:rowOff>
    </xdr:to>
    <mc:AlternateContent xmlns:mc="http://schemas.openxmlformats.org/markup-compatibility/2006" xmlns:a14="http://schemas.microsoft.com/office/drawing/2010/main">
      <mc:Choice Requires="a14">
        <xdr:graphicFrame macro="">
          <xdr:nvGraphicFramePr>
            <xdr:cNvPr id="18" name="Product_Type 1">
              <a:extLst>
                <a:ext uri="{FF2B5EF4-FFF2-40B4-BE49-F238E27FC236}">
                  <a16:creationId xmlns:a16="http://schemas.microsoft.com/office/drawing/2014/main" id="{DE275C47-5020-43D7-9DD6-EBC2CF4F383A}"/>
                </a:ext>
              </a:extLst>
            </xdr:cNvPr>
            <xdr:cNvGraphicFramePr/>
          </xdr:nvGraphicFramePr>
          <xdr:xfrm>
            <a:off x="0" y="0"/>
            <a:ext cx="0" cy="0"/>
          </xdr:xfrm>
          <a:graphic>
            <a:graphicData uri="http://schemas.microsoft.com/office/drawing/2010/slicer">
              <sle:slicer xmlns:sle="http://schemas.microsoft.com/office/drawing/2010/slicer" name="Product_Type 1"/>
            </a:graphicData>
          </a:graphic>
        </xdr:graphicFrame>
      </mc:Choice>
      <mc:Fallback xmlns="">
        <xdr:sp macro="" textlink="">
          <xdr:nvSpPr>
            <xdr:cNvPr id="0" name=""/>
            <xdr:cNvSpPr>
              <a:spLocks noTextEdit="1"/>
            </xdr:cNvSpPr>
          </xdr:nvSpPr>
          <xdr:spPr>
            <a:xfrm>
              <a:off x="195719" y="11948272"/>
              <a:ext cx="2161737" cy="2965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152399</xdr:colOff>
      <xdr:row>60</xdr:row>
      <xdr:rowOff>34968</xdr:rowOff>
    </xdr:from>
    <xdr:to>
      <xdr:col>3</xdr:col>
      <xdr:colOff>1343938</xdr:colOff>
      <xdr:row>69</xdr:row>
      <xdr:rowOff>65239</xdr:rowOff>
    </xdr:to>
    <mc:AlternateContent xmlns:mc="http://schemas.openxmlformats.org/markup-compatibility/2006" xmlns:a14="http://schemas.microsoft.com/office/drawing/2010/main">
      <mc:Choice Requires="a14">
        <xdr:graphicFrame macro="">
          <xdr:nvGraphicFramePr>
            <xdr:cNvPr id="19" name="Month 1">
              <a:extLst>
                <a:ext uri="{FF2B5EF4-FFF2-40B4-BE49-F238E27FC236}">
                  <a16:creationId xmlns:a16="http://schemas.microsoft.com/office/drawing/2014/main" id="{2ADC9CCF-4090-4B4F-AA50-00E2FCC9EE6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743759" y="11983240"/>
              <a:ext cx="2130032" cy="294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165445</xdr:colOff>
      <xdr:row>60</xdr:row>
      <xdr:rowOff>21920</xdr:rowOff>
    </xdr:from>
    <xdr:to>
      <xdr:col>6</xdr:col>
      <xdr:colOff>378389</xdr:colOff>
      <xdr:row>69</xdr:row>
      <xdr:rowOff>65238</xdr:rowOff>
    </xdr:to>
    <mc:AlternateContent xmlns:mc="http://schemas.openxmlformats.org/markup-compatibility/2006" xmlns:a14="http://schemas.microsoft.com/office/drawing/2010/main">
      <mc:Choice Requires="a14">
        <xdr:graphicFrame macro="">
          <xdr:nvGraphicFramePr>
            <xdr:cNvPr id="20" name="Production_Line 1">
              <a:extLst>
                <a:ext uri="{FF2B5EF4-FFF2-40B4-BE49-F238E27FC236}">
                  <a16:creationId xmlns:a16="http://schemas.microsoft.com/office/drawing/2014/main" id="{6CCAA1F1-876E-4E7F-AA34-692536CA523E}"/>
                </a:ext>
              </a:extLst>
            </xdr:cNvPr>
            <xdr:cNvGraphicFramePr/>
          </xdr:nvGraphicFramePr>
          <xdr:xfrm>
            <a:off x="0" y="0"/>
            <a:ext cx="0" cy="0"/>
          </xdr:xfrm>
          <a:graphic>
            <a:graphicData uri="http://schemas.microsoft.com/office/drawing/2010/slicer">
              <sle:slicer xmlns:sle="http://schemas.microsoft.com/office/drawing/2010/slicer" name="Production_Line 1"/>
            </a:graphicData>
          </a:graphic>
        </xdr:graphicFrame>
      </mc:Choice>
      <mc:Fallback xmlns="">
        <xdr:sp macro="" textlink="">
          <xdr:nvSpPr>
            <xdr:cNvPr id="0" name=""/>
            <xdr:cNvSpPr>
              <a:spLocks noTextEdit="1"/>
            </xdr:cNvSpPr>
          </xdr:nvSpPr>
          <xdr:spPr>
            <a:xfrm>
              <a:off x="5264121" y="11970192"/>
              <a:ext cx="2201989" cy="2956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808971</xdr:colOff>
      <xdr:row>60</xdr:row>
      <xdr:rowOff>26094</xdr:rowOff>
    </xdr:from>
    <xdr:to>
      <xdr:col>9</xdr:col>
      <xdr:colOff>130478</xdr:colOff>
      <xdr:row>69</xdr:row>
      <xdr:rowOff>91334</xdr:rowOff>
    </xdr:to>
    <mc:AlternateContent xmlns:mc="http://schemas.openxmlformats.org/markup-compatibility/2006" xmlns:a14="http://schemas.microsoft.com/office/drawing/2010/main">
      <mc:Choice Requires="a14">
        <xdr:graphicFrame macro="">
          <xdr:nvGraphicFramePr>
            <xdr:cNvPr id="21" name="Machine_ID 1">
              <a:extLst>
                <a:ext uri="{FF2B5EF4-FFF2-40B4-BE49-F238E27FC236}">
                  <a16:creationId xmlns:a16="http://schemas.microsoft.com/office/drawing/2014/main" id="{105182BE-356F-4724-B92D-E5C7826CBC60}"/>
                </a:ext>
              </a:extLst>
            </xdr:cNvPr>
            <xdr:cNvGraphicFramePr/>
          </xdr:nvGraphicFramePr>
          <xdr:xfrm>
            <a:off x="0" y="0"/>
            <a:ext cx="0" cy="0"/>
          </xdr:xfrm>
          <a:graphic>
            <a:graphicData uri="http://schemas.microsoft.com/office/drawing/2010/slicer">
              <sle:slicer xmlns:sle="http://schemas.microsoft.com/office/drawing/2010/slicer" name="Machine_ID 1"/>
            </a:graphicData>
          </a:graphic>
        </xdr:graphicFrame>
      </mc:Choice>
      <mc:Fallback xmlns="">
        <xdr:sp macro="" textlink="">
          <xdr:nvSpPr>
            <xdr:cNvPr id="0" name=""/>
            <xdr:cNvSpPr>
              <a:spLocks noTextEdit="1"/>
            </xdr:cNvSpPr>
          </xdr:nvSpPr>
          <xdr:spPr>
            <a:xfrm>
              <a:off x="7896692" y="11974366"/>
              <a:ext cx="2221029" cy="2978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574110</xdr:colOff>
      <xdr:row>59</xdr:row>
      <xdr:rowOff>225337</xdr:rowOff>
    </xdr:from>
    <xdr:to>
      <xdr:col>12</xdr:col>
      <xdr:colOff>985</xdr:colOff>
      <xdr:row>69</xdr:row>
      <xdr:rowOff>91335</xdr:rowOff>
    </xdr:to>
    <mc:AlternateContent xmlns:mc="http://schemas.openxmlformats.org/markup-compatibility/2006" xmlns:a14="http://schemas.microsoft.com/office/drawing/2010/main">
      <mc:Choice Requires="a14">
        <xdr:graphicFrame macro="">
          <xdr:nvGraphicFramePr>
            <xdr:cNvPr id="22" name="Shift 1">
              <a:extLst>
                <a:ext uri="{FF2B5EF4-FFF2-40B4-BE49-F238E27FC236}">
                  <a16:creationId xmlns:a16="http://schemas.microsoft.com/office/drawing/2014/main" id="{483C15E1-5C65-4980-B184-6B4938A8FB45}"/>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10561353" y="11949491"/>
              <a:ext cx="2241368" cy="3003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YANASUNDARAM STHAPATI" refreshedDate="46284.811762384263" createdVersion="8" refreshedVersion="8" minRefreshableVersion="3" recordCount="1001" xr:uid="{FC075032-5E6E-404D-9C5F-57C1871910D1}">
  <cacheSource type="worksheet">
    <worksheetSource ref="A1:AV1002" sheet="01_Manufacturing_Data"/>
  </cacheSource>
  <cacheFields count="48">
    <cacheField name="Record_ID" numFmtId="0">
      <sharedItems containsString="0" containsBlank="1" containsNumber="1" containsInteger="1" minValue="1" maxValue="1000"/>
    </cacheField>
    <cacheField name="Production_Date" numFmtId="14">
      <sharedItems containsNonDate="0" containsDate="1" containsString="0" containsBlank="1" minDate="2026-01-01T00:00:00" maxDate="2026-07-01T00:00:00"/>
    </cacheField>
    <cacheField name="Month" numFmtId="14">
      <sharedItems containsBlank="1" count="7">
        <s v="June"/>
        <s v="March"/>
        <s v="January"/>
        <s v="May"/>
        <s v="February"/>
        <s v="April"/>
        <m/>
      </sharedItems>
    </cacheField>
    <cacheField name="Plant" numFmtId="0">
      <sharedItems containsBlank="1"/>
    </cacheField>
    <cacheField name="Production_Line" numFmtId="0">
      <sharedItems containsBlank="1" count="6">
        <s v="Line 1"/>
        <s v="Line 4"/>
        <s v="Line 5"/>
        <s v="Line 2"/>
        <s v="Line 3"/>
        <m/>
      </sharedItems>
    </cacheField>
    <cacheField name="Machine_ID" numFmtId="0">
      <sharedItems containsBlank="1" count="16">
        <s v="M103"/>
        <s v="M102"/>
        <s v="M402"/>
        <s v="M101"/>
        <s v="M501"/>
        <s v="M401"/>
        <s v="M403"/>
        <s v="M202"/>
        <s v="M201"/>
        <s v="M503"/>
        <s v="M502"/>
        <s v="M203"/>
        <s v="M303"/>
        <s v="M302"/>
        <s v="M301"/>
        <m/>
      </sharedItems>
    </cacheField>
    <cacheField name="Shift" numFmtId="0">
      <sharedItems containsBlank="1" count="4">
        <s v="Morning"/>
        <s v="Evening"/>
        <s v="Night"/>
        <m/>
      </sharedItems>
    </cacheField>
    <cacheField name="Product_Type" numFmtId="0">
      <sharedItems containsBlank="1" count="6">
        <s v="Product A"/>
        <s v="Product D"/>
        <s v="Product E"/>
        <s v="Product B"/>
        <s v="Product C"/>
        <m/>
      </sharedItems>
    </cacheField>
    <cacheField name="Batch_ID" numFmtId="0">
      <sharedItems containsBlank="1"/>
    </cacheField>
    <cacheField name="Operator_ID" numFmtId="0">
      <sharedItems containsBlank="1"/>
    </cacheField>
    <cacheField name="Planned_Quantity" numFmtId="0">
      <sharedItems containsString="0" containsBlank="1" containsNumber="1" containsInteger="1" minValue="452" maxValue="979"/>
    </cacheField>
    <cacheField name="Produced_Quantity" numFmtId="0">
      <sharedItems containsString="0" containsBlank="1" containsNumber="1" containsInteger="1" minValue="306" maxValue="1172"/>
    </cacheField>
    <cacheField name="Good_Quantity" numFmtId="0">
      <sharedItems containsString="0" containsBlank="1" containsNumber="1" containsInteger="1" minValue="287" maxValue="1105"/>
    </cacheField>
    <cacheField name="Defect_Quantity" numFmtId="0">
      <sharedItems containsString="0" containsBlank="1" containsNumber="1" containsInteger="1" minValue="12" maxValue="139"/>
    </cacheField>
    <cacheField name="Scrap_Quantity" numFmtId="0">
      <sharedItems containsString="0" containsBlank="1" containsNumber="1" containsInteger="1" minValue="2" maxValue="48"/>
    </cacheField>
    <cacheField name="Downtime_Minutes" numFmtId="0">
      <sharedItems containsString="0" containsBlank="1" containsNumber="1" containsInteger="1" minValue="0" maxValue="175"/>
    </cacheField>
    <cacheField name="Downtime_Reason" numFmtId="0">
      <sharedItems containsBlank="1"/>
    </cacheField>
    <cacheField name="Ideal_Cycle_Time_Sec" numFmtId="0">
      <sharedItems containsString="0" containsBlank="1" containsNumber="1" containsInteger="1" minValue="42" maxValue="64"/>
    </cacheField>
    <cacheField name="Actual_Cycle_Time_Sec" numFmtId="0">
      <sharedItems containsString="0" containsBlank="1" containsNumber="1" containsInteger="1" minValue="40" maxValue="73"/>
    </cacheField>
    <cacheField name="Machine_Temperature_C" numFmtId="0">
      <sharedItems containsString="0" containsBlank="1" containsNumber="1" minValue="60" maxValue="100"/>
    </cacheField>
    <cacheField name="Machine_Vibration_mm_s" numFmtId="0">
      <sharedItems containsString="0" containsBlank="1" containsNumber="1" minValue="0.72" maxValue="5"/>
    </cacheField>
    <cacheField name="Energy_Consumption_kWh" numFmtId="0">
      <sharedItems containsString="0" containsBlank="1" containsNumber="1" minValue="15" maxValue="41.73"/>
    </cacheField>
    <cacheField name="Raw_Material_Cost" numFmtId="0">
      <sharedItems containsString="0" containsBlank="1" containsNumber="1" minValue="8876.4599999999991" maxValue="23707.279999999999"/>
    </cacheField>
    <cacheField name="Labour_Hours" numFmtId="0">
      <sharedItems containsString="0" containsBlank="1" containsNumber="1" minValue="4.76" maxValue="12.24"/>
    </cacheField>
    <cacheField name="Maintenance_Status" numFmtId="0">
      <sharedItems containsBlank="1"/>
    </cacheField>
    <cacheField name="Maintenance_Days_Ago" numFmtId="0">
      <sharedItems containsString="0" containsBlank="1" containsNumber="1" containsInteger="1" minValue="1" maxValue="76"/>
    </cacheField>
    <cacheField name="Revenue" numFmtId="0">
      <sharedItems containsString="0" containsBlank="1" containsNumber="1" minValue="13724.78" maxValue="37369.800000000003"/>
    </cacheField>
    <cacheField name="Quality_Score" numFmtId="0">
      <sharedItems containsString="0" containsBlank="1" containsNumber="1" minValue="0.81942544459644295" maxValue="0.97457627118644097"/>
    </cacheField>
    <cacheField name="Production_Cost" numFmtId="0">
      <sharedItems containsString="0" containsBlank="1" containsNumber="1" minValue="11653.14" maxValue="28654.71"/>
    </cacheField>
    <cacheField name="Scrap_Cost" numFmtId="0">
      <sharedItems containsString="0" containsBlank="1" containsNumber="1" minValue="56.641271186440697" maxValue="1032.9329596412599"/>
    </cacheField>
    <cacheField name="Planned_Production_Time_Min" numFmtId="0">
      <sharedItems containsString="0" containsBlank="1" containsNumber="1" minValue="482.13333333333298" maxValue="742.4"/>
    </cacheField>
    <cacheField name="Availability" numFmtId="0">
      <sharedItems containsString="0" containsBlank="1" containsNumber="1" minValue="0.69538572458543602" maxValue="1"/>
    </cacheField>
    <cacheField name="Profit" numFmtId="0">
      <sharedItems containsString="0" containsBlank="1" containsNumber="1" minValue="32.387040358744102" maxValue="9862.3270083432708"/>
    </cacheField>
    <cacheField name="Production_Achievement_%" numFmtId="0">
      <sharedItems containsString="0" containsBlank="1" containsNumber="1" minValue="0.56849315068493156" maxValue="1.1995905834186285"/>
    </cacheField>
    <cacheField name="Defect_Rate_%" numFmtId="0">
      <sharedItems containsString="0" containsBlank="1" containsNumber="1" minValue="2.5423728813559324E-2" maxValue="0.18057455540355677"/>
    </cacheField>
    <cacheField name="Scrap_Rate_%" numFmtId="0">
      <sharedItems containsString="0" containsBlank="1" containsNumber="1" minValue="4.2372881355932203E-3" maxValue="7.6158940397350994E-2"/>
    </cacheField>
    <cacheField name="Good_Rate_%" numFmtId="0">
      <sharedItems containsString="0" containsBlank="1" containsNumber="1" minValue="0.81942544459644318" maxValue="0.97457627118644063"/>
    </cacheField>
    <cacheField name="Downtime_Hours" numFmtId="0">
      <sharedItems containsString="0" containsBlank="1" containsNumber="1" minValue="0" maxValue="2.9166666666666665"/>
    </cacheField>
    <cacheField name="Operating_Time_Min" numFmtId="0">
      <sharedItems containsString="0" containsBlank="1" containsNumber="1" minValue="385.79999999999995" maxValue="733.86666666666702"/>
    </cacheField>
    <cacheField name="Actual_Production_Rate" numFmtId="0">
      <sharedItems containsString="0" containsBlank="1" containsNumber="1" minValue="0.64584212747994929" maxValue="1.7344126765415087"/>
    </cacheField>
    <cacheField name="Ideal_Production_Rate" numFmtId="0">
      <sharedItems containsString="0" containsBlank="1" containsNumber="1" minValue="0.9375" maxValue="1.4285714285714286"/>
    </cacheField>
    <cacheField name="Performance_%" numFmtId="0">
      <sharedItems containsString="0" containsBlank="1" containsNumber="1" minValue="0.68889826931194587" maxValue="1.2452018765993751"/>
    </cacheField>
    <cacheField name="Quality_%" numFmtId="0">
      <sharedItems containsString="0" containsBlank="1" containsNumber="1" minValue="0.81942544459644318" maxValue="0.97457627118644063"/>
    </cacheField>
    <cacheField name="OEE_%" numFmtId="0">
      <sharedItems containsString="0" containsBlank="1" containsNumber="1" minValue="0.51923076923076938" maxValue="1.1622516556291391"/>
    </cacheField>
    <cacheField name="Cost_Per_Unit" numFmtId="0">
      <sharedItems containsString="0" containsBlank="1" containsNumber="1" minValue="21.26738996929376" maxValue="42.337741176470587"/>
    </cacheField>
    <cacheField name="Profit_Per_Unit" numFmtId="0">
      <sharedItems containsString="0" containsBlank="1" containsNumber="1" minValue="4.8411121612472498E-2" maxValue="14.436893773627547"/>
    </cacheField>
    <cacheField name="Maintenance_Risk" numFmtId="0">
      <sharedItems containsBlank="1"/>
    </cacheField>
    <cacheField name="Anomaly_Flag" numFmtId="0">
      <sharedItems containsBlank="1"/>
    </cacheField>
  </cacheFields>
  <extLst>
    <ext xmlns:x14="http://schemas.microsoft.com/office/spreadsheetml/2009/9/main" uri="{725AE2AE-9491-48be-B2B4-4EB974FC3084}">
      <x14:pivotCacheDefinition pivotCacheId="1218386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26-06-13T00:00:00"/>
    <x v="0"/>
    <s v="Plant A"/>
    <x v="0"/>
    <x v="0"/>
    <x v="0"/>
    <x v="0"/>
    <s v="B260613-0001"/>
    <s v="OP107"/>
    <n v="764"/>
    <n v="737"/>
    <n v="705"/>
    <n v="32"/>
    <n v="8"/>
    <n v="22"/>
    <s v="Machine Breakdown"/>
    <n v="42"/>
    <n v="44"/>
    <n v="69"/>
    <n v="1.91"/>
    <n v="30.4"/>
    <n v="13077.65"/>
    <n v="8.2899999999999991"/>
    <s v="Completed"/>
    <n v="29"/>
    <n v="22174.65"/>
    <n v="0.95658073270013599"/>
    <n v="17081.75"/>
    <n v="141.95549525101799"/>
    <n v="534.79999999999995"/>
    <n v="0.95886312640239402"/>
    <n v="4950.9445047489899"/>
    <n v="0.96465968586387429"/>
    <n v="4.3419267299864311E-2"/>
    <n v="1.0854816824966078E-2"/>
    <n v="0.95658073270013566"/>
    <n v="0.36666666666666664"/>
    <n v="512.79999999999995"/>
    <n v="1.437207488299532"/>
    <n v="1.4285714285714286"/>
    <n v="1.0060452418096724"/>
    <n v="0.95658073270013566"/>
    <n v="0.92277486910994821"/>
    <n v="23.17740841248304"/>
    <n v="6.7176994637028358"/>
    <s v="Low"/>
    <s v="Normal"/>
  </r>
  <r>
    <n v="2"/>
    <d v="2026-03-28T00:00:00"/>
    <x v="1"/>
    <s v="Plant A"/>
    <x v="0"/>
    <x v="1"/>
    <x v="0"/>
    <x v="1"/>
    <s v="B260328-0002"/>
    <s v="OP117"/>
    <n v="702"/>
    <n v="740"/>
    <n v="698"/>
    <n v="42"/>
    <n v="16"/>
    <n v="0"/>
    <s v="No Downtime"/>
    <n v="45"/>
    <n v="46"/>
    <n v="63.1"/>
    <n v="1.8"/>
    <n v="26.27"/>
    <n v="14343.22"/>
    <n v="8.3800000000000008"/>
    <s v="Completed"/>
    <n v="12"/>
    <n v="23814.06"/>
    <n v="0.94324324324324305"/>
    <n v="18350.650000000001"/>
    <n v="310.123675675676"/>
    <n v="526.5"/>
    <n v="1"/>
    <n v="5153.2863243243301"/>
    <n v="1.0541310541310542"/>
    <n v="5.675675675675676E-2"/>
    <n v="2.1621621621621623E-2"/>
    <n v="0.94324324324324327"/>
    <n v="0"/>
    <n v="526.5"/>
    <n v="1.4055080721747388"/>
    <n v="1.3333333333333333"/>
    <n v="1.0541310541310542"/>
    <n v="0.94324324324324327"/>
    <n v="0.9943019943019944"/>
    <n v="24.798175675675676"/>
    <n v="6.9639004382761218"/>
    <s v="Low"/>
    <s v="Normal"/>
  </r>
  <r>
    <n v="3"/>
    <d v="2026-03-01T00:00:00"/>
    <x v="1"/>
    <s v="Plant A"/>
    <x v="1"/>
    <x v="2"/>
    <x v="1"/>
    <x v="1"/>
    <s v="B260301-0003"/>
    <s v="OP111"/>
    <n v="869"/>
    <n v="910"/>
    <n v="870"/>
    <n v="40"/>
    <n v="10"/>
    <n v="0"/>
    <s v="No Downtime"/>
    <n v="45"/>
    <n v="48"/>
    <n v="75.099999999999994"/>
    <n v="1.72"/>
    <n v="36.43"/>
    <n v="18027.330000000002"/>
    <n v="8.66"/>
    <s v="Scheduled"/>
    <n v="15"/>
    <n v="29638.7"/>
    <n v="0.95604395604395598"/>
    <n v="22252.2"/>
    <n v="198.10252747252801"/>
    <n v="651.75"/>
    <n v="1"/>
    <n v="7188.3974725274702"/>
    <n v="1.047180667433832"/>
    <n v="4.3956043956043959E-2"/>
    <n v="1.098901098901099E-2"/>
    <n v="0.95604395604395609"/>
    <n v="0"/>
    <n v="651.75"/>
    <n v="1.396240889911776"/>
    <n v="1.3333333333333333"/>
    <n v="1.047180667433832"/>
    <n v="0.95604395604395609"/>
    <n v="1.001150747986191"/>
    <n v="24.452967032967035"/>
    <n v="7.8993378818983189"/>
    <s v="Low"/>
    <s v="Normal"/>
  </r>
  <r>
    <n v="4"/>
    <d v="2026-01-09T00:00:00"/>
    <x v="2"/>
    <s v="Plant B"/>
    <x v="1"/>
    <x v="2"/>
    <x v="0"/>
    <x v="2"/>
    <s v="B260109-0004"/>
    <s v="OP121"/>
    <n v="504"/>
    <n v="591"/>
    <n v="559"/>
    <n v="32"/>
    <n v="8"/>
    <n v="0"/>
    <s v="No Downtime"/>
    <n v="64"/>
    <n v="66"/>
    <n v="71.599999999999994"/>
    <n v="2.39"/>
    <n v="21.04"/>
    <n v="18099.830000000002"/>
    <n v="9.2899999999999991"/>
    <s v="Overdue"/>
    <n v="22"/>
    <n v="29084.61"/>
    <n v="0.94585448392555005"/>
    <n v="22469.69"/>
    <n v="245.006159052453"/>
    <n v="537.6"/>
    <n v="1"/>
    <n v="6369.9138409475399"/>
    <n v="1.1726190476190477"/>
    <n v="5.4145516074450083E-2"/>
    <n v="1.3536379018612521E-2"/>
    <n v="0.94585448392554994"/>
    <n v="0"/>
    <n v="537.6"/>
    <n v="1.0993303571428572"/>
    <n v="0.9375"/>
    <n v="1.1726190476190477"/>
    <n v="0.94585448392554994"/>
    <n v="1.1091269841269842"/>
    <n v="38.019780033840945"/>
    <n v="10.778196008371472"/>
    <s v="High"/>
    <s v="Normal"/>
  </r>
  <r>
    <n v="5"/>
    <d v="2026-01-24T00:00:00"/>
    <x v="2"/>
    <s v="Plant A"/>
    <x v="0"/>
    <x v="3"/>
    <x v="1"/>
    <x v="1"/>
    <s v="B260124-0005"/>
    <s v="OP128"/>
    <n v="712"/>
    <n v="728"/>
    <n v="699"/>
    <n v="29"/>
    <n v="11"/>
    <n v="9"/>
    <s v="Material Shortage"/>
    <n v="45"/>
    <n v="47"/>
    <n v="69.3"/>
    <n v="2.74"/>
    <n v="24.02"/>
    <n v="14311.8"/>
    <n v="7.37"/>
    <s v="Scheduled"/>
    <n v="12"/>
    <n v="24787.47"/>
    <n v="0.96016483516483497"/>
    <n v="17844.48"/>
    <n v="216.24972527472499"/>
    <n v="534"/>
    <n v="0.98314606741572996"/>
    <n v="6726.74027472528"/>
    <n v="1.0224719101123596"/>
    <n v="3.9835164835164832E-2"/>
    <n v="1.510989010989011E-2"/>
    <n v="0.9601648351648352"/>
    <n v="0.15"/>
    <n v="525"/>
    <n v="1.3866666666666667"/>
    <n v="1.3333333333333333"/>
    <n v="1.04"/>
    <n v="0.9601648351648352"/>
    <n v="0.98174157303370757"/>
    <n v="24.511648351648351"/>
    <n v="9.2400278498973627"/>
    <s v="Low"/>
    <s v="Normal"/>
  </r>
  <r>
    <n v="6"/>
    <d v="2026-05-09T00:00:00"/>
    <x v="3"/>
    <s v="Plant A"/>
    <x v="2"/>
    <x v="4"/>
    <x v="2"/>
    <x v="3"/>
    <s v="B260509-0006"/>
    <s v="OP133"/>
    <n v="721"/>
    <n v="542"/>
    <n v="508"/>
    <n v="34"/>
    <n v="14"/>
    <n v="31"/>
    <s v="Operator Issue"/>
    <n v="49"/>
    <n v="52"/>
    <n v="76.400000000000006"/>
    <n v="2.09"/>
    <n v="23.48"/>
    <n v="11648.58"/>
    <n v="5.56"/>
    <s v="Overdue"/>
    <n v="40"/>
    <n v="19821.669999999998"/>
    <n v="0.93726937269372701"/>
    <n v="14361.9"/>
    <n v="300.88583025830297"/>
    <n v="588.81666666666695"/>
    <n v="0.947352033739987"/>
    <n v="5158.8841697417001"/>
    <n v="0.75173370319001387"/>
    <n v="6.273062730627306E-2"/>
    <n v="2.5830258302583026E-2"/>
    <n v="0.9372693726937269"/>
    <n v="0.51666666666666672"/>
    <n v="557.81666666666695"/>
    <n v="0.97164540320893911"/>
    <n v="1.2244897959183674"/>
    <n v="0.7935104126206336"/>
    <n v="0.9372693726937269"/>
    <n v="0.7045769764216363"/>
    <n v="26.497970479704797"/>
    <n v="9.5182364755381919"/>
    <s v="High"/>
    <s v="Critical"/>
  </r>
  <r>
    <n v="7"/>
    <d v="2026-01-22T00:00:00"/>
    <x v="2"/>
    <s v="Plant B"/>
    <x v="0"/>
    <x v="0"/>
    <x v="1"/>
    <x v="0"/>
    <s v="B260122-0007"/>
    <s v="OP131"/>
    <n v="804"/>
    <n v="758"/>
    <n v="722"/>
    <n v="36"/>
    <n v="10"/>
    <n v="10"/>
    <s v="Machine Breakdown"/>
    <n v="42"/>
    <n v="43"/>
    <n v="68.7"/>
    <n v="1.5"/>
    <n v="26.72"/>
    <n v="13559.73"/>
    <n v="7.84"/>
    <s v="Scheduled"/>
    <n v="32"/>
    <n v="22729.87"/>
    <n v="0.95250659630606904"/>
    <n v="17328.21"/>
    <n v="178.88825857519799"/>
    <n v="562.79999999999995"/>
    <n v="0.98223169864960902"/>
    <n v="5222.7717414248"/>
    <n v="0.94278606965174128"/>
    <n v="4.7493403693931395E-2"/>
    <n v="1.3192612137203167E-2"/>
    <n v="0.9525065963060686"/>
    <n v="0.16666666666666666"/>
    <n v="552.79999999999995"/>
    <n v="1.3712011577424024"/>
    <n v="1.4285714285714286"/>
    <n v="0.95984081041968161"/>
    <n v="0.9525065963060686"/>
    <n v="0.89800995024875607"/>
    <n v="22.860435356200526"/>
    <n v="6.8902001865762532"/>
    <s v="Medium"/>
    <s v="Normal"/>
  </r>
  <r>
    <n v="8"/>
    <d v="2026-02-26T00:00:00"/>
    <x v="4"/>
    <s v="Plant A"/>
    <x v="0"/>
    <x v="0"/>
    <x v="1"/>
    <x v="0"/>
    <s v="B260226-0008"/>
    <s v="OP103"/>
    <n v="889"/>
    <n v="806"/>
    <n v="750"/>
    <n v="56"/>
    <n v="13"/>
    <n v="43"/>
    <s v="Machine Breakdown"/>
    <n v="42"/>
    <n v="41"/>
    <n v="82.3"/>
    <n v="2.75"/>
    <n v="25.83"/>
    <n v="14774.26"/>
    <n v="7.93"/>
    <s v="Overdue"/>
    <n v="60"/>
    <n v="24249.64"/>
    <n v="0.93052109181141396"/>
    <n v="18575.23"/>
    <n v="238.29451612903199"/>
    <n v="622.29999999999995"/>
    <n v="0.93090149445604997"/>
    <n v="5436.1154838709599"/>
    <n v="0.906636670416198"/>
    <n v="6.9478908188585611E-2"/>
    <n v="1.6129032258064516E-2"/>
    <n v="0.9305210918114144"/>
    <n v="0.71666666666666667"/>
    <n v="579.29999999999995"/>
    <n v="1.3913343690661144"/>
    <n v="1.4285714285714286"/>
    <n v="0.97393405834628011"/>
    <n v="0.9305210918114144"/>
    <n v="0.84364454443194592"/>
    <n v="23.046191066997519"/>
    <n v="6.7445601536860549"/>
    <s v="High"/>
    <s v="Warning"/>
  </r>
  <r>
    <n v="9"/>
    <d v="2026-06-15T00:00:00"/>
    <x v="0"/>
    <s v="Plant A"/>
    <x v="0"/>
    <x v="1"/>
    <x v="1"/>
    <x v="1"/>
    <s v="B260615-0009"/>
    <s v="OP107"/>
    <n v="807"/>
    <n v="749"/>
    <n v="714"/>
    <n v="35"/>
    <n v="12"/>
    <n v="19"/>
    <s v="Machine Breakdown"/>
    <n v="45"/>
    <n v="46"/>
    <n v="70.599999999999994"/>
    <n v="2.39"/>
    <n v="26.91"/>
    <n v="14605.07"/>
    <n v="8.99"/>
    <s v="Completed"/>
    <n v="17"/>
    <n v="24849.68"/>
    <n v="0.95327102803738295"/>
    <n v="18892.759999999998"/>
    <n v="233.993110814419"/>
    <n v="605.25"/>
    <n v="0.96860801321767898"/>
    <n v="5722.92688918558"/>
    <n v="0.92812887236679054"/>
    <n v="4.6728971962616821E-2"/>
    <n v="1.602136181575434E-2"/>
    <n v="0.95327102803738317"/>
    <n v="0.31666666666666665"/>
    <n v="586.25"/>
    <n v="1.2776119402985076"/>
    <n v="1.3333333333333333"/>
    <n v="0.95820895522388072"/>
    <n v="0.95327102803738317"/>
    <n v="0.88475836431226806"/>
    <n v="25.223978638184242"/>
    <n v="7.6407568613959675"/>
    <s v="Low"/>
    <s v="Normal"/>
  </r>
  <r>
    <n v="10"/>
    <d v="2026-05-04T00:00:00"/>
    <x v="3"/>
    <s v="Plant A"/>
    <x v="1"/>
    <x v="5"/>
    <x v="0"/>
    <x v="0"/>
    <s v="B260504-0010"/>
    <s v="OP125"/>
    <n v="855"/>
    <n v="925"/>
    <n v="893"/>
    <n v="32"/>
    <n v="7"/>
    <n v="22"/>
    <s v="Quality Inspection"/>
    <n v="42"/>
    <n v="45"/>
    <n v="73.5"/>
    <n v="1.39"/>
    <n v="29.34"/>
    <n v="17596.59"/>
    <n v="8.01"/>
    <s v="Completed"/>
    <n v="1"/>
    <n v="27804.69"/>
    <n v="0.96540540540540498"/>
    <n v="21465.15"/>
    <n v="133.16338378378401"/>
    <n v="598.5"/>
    <n v="0.96324143692564801"/>
    <n v="6206.3766162162101"/>
    <n v="1.0818713450292399"/>
    <n v="3.4594594594594595E-2"/>
    <n v="7.5675675675675675E-3"/>
    <n v="0.96540540540540543"/>
    <n v="0.36666666666666664"/>
    <n v="576.5"/>
    <n v="1.6045099739809194"/>
    <n v="1.4285714285714286"/>
    <n v="1.1231569817866436"/>
    <n v="0.96540540540540543"/>
    <n v="1.0444444444444452"/>
    <n v="23.20556756756757"/>
    <n v="6.7095963418553621"/>
    <s v="Low"/>
    <s v="Normal"/>
  </r>
  <r>
    <n v="11"/>
    <d v="2026-05-03T00:00:00"/>
    <x v="3"/>
    <s v="Plant A"/>
    <x v="0"/>
    <x v="0"/>
    <x v="0"/>
    <x v="0"/>
    <s v="B260503-0011"/>
    <s v="OP105"/>
    <n v="840"/>
    <n v="871"/>
    <n v="836"/>
    <n v="35"/>
    <n v="12"/>
    <n v="18"/>
    <s v="Tool Change"/>
    <n v="42"/>
    <n v="41"/>
    <n v="75.599999999999994"/>
    <n v="1.69"/>
    <n v="28.77"/>
    <n v="15399.76"/>
    <n v="9.67"/>
    <s v="Scheduled"/>
    <n v="38"/>
    <n v="27440.63"/>
    <n v="0.95981630309988497"/>
    <n v="20010.189999999999"/>
    <n v="212.16661308840401"/>
    <n v="588"/>
    <n v="0.969387755102041"/>
    <n v="7218.2733869116"/>
    <n v="1.036904761904762"/>
    <n v="4.0183696900114814E-2"/>
    <n v="1.3777267508610792E-2"/>
    <n v="0.95981630309988519"/>
    <n v="0.3"/>
    <n v="570"/>
    <n v="1.5280701754385966"/>
    <n v="1.4285714285714286"/>
    <n v="1.0696491228070175"/>
    <n v="0.95981630309988519"/>
    <n v="0.99523809523809537"/>
    <n v="22.973811710677381"/>
    <n v="8.2873402834805976"/>
    <s v="Medium"/>
    <s v="Normal"/>
  </r>
  <r>
    <n v="12"/>
    <d v="2026-01-19T00:00:00"/>
    <x v="2"/>
    <s v="Plant A"/>
    <x v="1"/>
    <x v="6"/>
    <x v="2"/>
    <x v="2"/>
    <s v="B260119-0012"/>
    <s v="OP105"/>
    <n v="587"/>
    <n v="578"/>
    <n v="534"/>
    <n v="44"/>
    <n v="15"/>
    <n v="18"/>
    <s v="Setup Time"/>
    <n v="64"/>
    <n v="71"/>
    <n v="70"/>
    <n v="2.2599999999999998"/>
    <n v="22.12"/>
    <n v="18249.07"/>
    <n v="7.12"/>
    <s v="Scheduled"/>
    <n v="19"/>
    <n v="27433.75"/>
    <n v="0.92387543252595195"/>
    <n v="21652.15"/>
    <n v="473.59178200692003"/>
    <n v="626.13333333333298"/>
    <n v="0.97125212947189099"/>
    <n v="5308.0082179930796"/>
    <n v="0.98466780238500851"/>
    <n v="7.6124567474048443E-2"/>
    <n v="2.5951557093425604E-2"/>
    <n v="0.92387543252595161"/>
    <n v="0.3"/>
    <n v="608.13333333333298"/>
    <n v="0.95044946283709764"/>
    <n v="0.9375"/>
    <n v="1.0138127603595708"/>
    <n v="0.92387543252595161"/>
    <n v="0.90971039182282853"/>
    <n v="37.460467128027688"/>
    <n v="9.1834052214413138"/>
    <s v="Low"/>
    <s v="Normal"/>
  </r>
  <r>
    <n v="13"/>
    <d v="2026-06-19T00:00:00"/>
    <x v="0"/>
    <s v="Plant A"/>
    <x v="3"/>
    <x v="7"/>
    <x v="0"/>
    <x v="0"/>
    <s v="B260619-0013"/>
    <s v="OP110"/>
    <n v="859"/>
    <n v="756"/>
    <n v="720"/>
    <n v="36"/>
    <n v="14"/>
    <n v="35"/>
    <s v="Preventive Maintenance"/>
    <n v="42"/>
    <n v="45"/>
    <n v="71.900000000000006"/>
    <n v="2.1800000000000002"/>
    <n v="23.29"/>
    <n v="13366.4"/>
    <n v="9.18"/>
    <s v="Completed"/>
    <n v="26"/>
    <n v="22959.59"/>
    <n v="0.952380952380952"/>
    <n v="17707.009999999998"/>
    <n v="247.525925925926"/>
    <n v="601.29999999999995"/>
    <n v="0.94179278230500596"/>
    <n v="5005.0540740740698"/>
    <n v="0.88009313154831204"/>
    <n v="4.7619047619047616E-2"/>
    <n v="1.8518518518518517E-2"/>
    <n v="0.95238095238095233"/>
    <n v="0.58333333333333337"/>
    <n v="566.29999999999995"/>
    <n v="1.334981458590853"/>
    <n v="1.4285714285714286"/>
    <n v="0.93448702101359715"/>
    <n v="0.95238095238095233"/>
    <n v="0.83818393480791642"/>
    <n v="23.421970899470896"/>
    <n v="6.6204418969233725"/>
    <s v="Medium"/>
    <s v="Warning"/>
  </r>
  <r>
    <n v="14"/>
    <d v="2026-06-30T00:00:00"/>
    <x v="0"/>
    <s v="Plant B"/>
    <x v="2"/>
    <x v="4"/>
    <x v="0"/>
    <x v="2"/>
    <s v="B260630-0014"/>
    <s v="OP110"/>
    <n v="589"/>
    <n v="574"/>
    <n v="526"/>
    <n v="48"/>
    <n v="9"/>
    <n v="8"/>
    <s v="Power Failure"/>
    <n v="64"/>
    <n v="62"/>
    <n v="64.3"/>
    <n v="2.88"/>
    <n v="19.239999999999998"/>
    <n v="18150.45"/>
    <n v="8.15"/>
    <s v="Scheduled"/>
    <n v="21"/>
    <n v="27966.95"/>
    <n v="0.91637630662020897"/>
    <n v="21991.11"/>
    <n v="284.58893728223001"/>
    <n v="628.26666666666699"/>
    <n v="0.98726655348047498"/>
    <n v="5691.2510627177699"/>
    <n v="0.97453310696095075"/>
    <n v="8.3623693379790948E-2"/>
    <n v="1.5679442508710801E-2"/>
    <n v="0.91637630662020908"/>
    <n v="0.13333333333333333"/>
    <n v="620.26666666666699"/>
    <n v="0.92540842648323252"/>
    <n v="0.9375"/>
    <n v="0.98710232158211464"/>
    <n v="0.91637630662020908"/>
    <n v="0.89303904923599231"/>
    <n v="38.312038327526132"/>
    <n v="9.9150715378358356"/>
    <s v="Medium"/>
    <s v="Warning"/>
  </r>
  <r>
    <n v="15"/>
    <d v="2026-06-08T00:00:00"/>
    <x v="0"/>
    <s v="Plant A"/>
    <x v="3"/>
    <x v="8"/>
    <x v="2"/>
    <x v="1"/>
    <s v="B260608-0015"/>
    <s v="OP127"/>
    <n v="692"/>
    <n v="557"/>
    <n v="518"/>
    <n v="39"/>
    <n v="7"/>
    <n v="18"/>
    <s v="Power Failure"/>
    <n v="45"/>
    <n v="49"/>
    <n v="68.2"/>
    <n v="2.4700000000000002"/>
    <n v="19.78"/>
    <n v="11991.87"/>
    <n v="6.72"/>
    <s v="Overdue"/>
    <n v="42"/>
    <n v="18533.93"/>
    <n v="0.92998204667863604"/>
    <n v="15193.89"/>
    <n v="150.70572710951501"/>
    <n v="519"/>
    <n v="0.96531791907514497"/>
    <n v="3189.33427289048"/>
    <n v="0.80491329479768781"/>
    <n v="7.0017953321364457E-2"/>
    <n v="1.2567324955116697E-2"/>
    <n v="0.9299820466786356"/>
    <n v="0.3"/>
    <n v="501"/>
    <n v="1.1117764471057885"/>
    <n v="1.3333333333333333"/>
    <n v="0.83383233532934142"/>
    <n v="0.9299820466786356"/>
    <n v="0.74855491329479817"/>
    <n v="27.278078994614003"/>
    <n v="5.7259143139864994"/>
    <s v="High"/>
    <s v="Critical"/>
  </r>
  <r>
    <n v="16"/>
    <d v="2026-02-27T00:00:00"/>
    <x v="4"/>
    <s v="Plant A"/>
    <x v="3"/>
    <x v="7"/>
    <x v="0"/>
    <x v="2"/>
    <s v="B260227-0016"/>
    <s v="OP118"/>
    <n v="539"/>
    <n v="597"/>
    <n v="560"/>
    <n v="37"/>
    <n v="8"/>
    <n v="0"/>
    <s v="No Downtime"/>
    <n v="64"/>
    <n v="66"/>
    <n v="74.3"/>
    <n v="1.97"/>
    <n v="24.19"/>
    <n v="17637.32"/>
    <n v="9.56"/>
    <s v="Pending"/>
    <n v="39"/>
    <n v="28794.46"/>
    <n v="0.93802345058626502"/>
    <n v="22157.03"/>
    <n v="236.345996649916"/>
    <n v="574.93333333333305"/>
    <n v="1"/>
    <n v="6401.0840033500799"/>
    <n v="1.1076066790352506"/>
    <n v="6.1976549413735343E-2"/>
    <n v="1.340033500837521E-2"/>
    <n v="0.93802345058626468"/>
    <n v="0"/>
    <n v="574.93333333333305"/>
    <n v="1.0383812615955479"/>
    <n v="0.9375"/>
    <n v="1.107606679035251"/>
    <n v="0.93802345058626468"/>
    <n v="1.0389610389610395"/>
    <n v="37.113953098827466"/>
    <n v="10.722083757705326"/>
    <s v="Medium"/>
    <s v="Normal"/>
  </r>
  <r>
    <n v="17"/>
    <d v="2026-06-05T00:00:00"/>
    <x v="0"/>
    <s v="Plant A"/>
    <x v="1"/>
    <x v="6"/>
    <x v="0"/>
    <x v="0"/>
    <s v="B260605-0017"/>
    <s v="OP128"/>
    <n v="720"/>
    <n v="772"/>
    <n v="724"/>
    <n v="48"/>
    <n v="16"/>
    <n v="0"/>
    <s v="No Downtime"/>
    <n v="42"/>
    <n v="46"/>
    <n v="68.7"/>
    <n v="1.08"/>
    <n v="28.27"/>
    <n v="14967.62"/>
    <n v="9.51"/>
    <s v="Pending"/>
    <n v="30"/>
    <n v="22926.38"/>
    <n v="0.93782383419689097"/>
    <n v="19501.55"/>
    <n v="310.209740932643"/>
    <n v="504"/>
    <n v="1"/>
    <n v="3114.6202590673602"/>
    <n v="1.0722222222222222"/>
    <n v="6.2176165803108807E-2"/>
    <n v="2.072538860103627E-2"/>
    <n v="0.93782383419689119"/>
    <n v="0"/>
    <n v="504"/>
    <n v="1.5317460317460319"/>
    <n v="1.4285714285714286"/>
    <n v="1.0722222222222222"/>
    <n v="0.93782383419689119"/>
    <n v="1.0055555555555555"/>
    <n v="25.261075129533676"/>
    <n v="4.0344822008644563"/>
    <s v="Medium"/>
    <s v="Normal"/>
  </r>
  <r>
    <n v="18"/>
    <d v="2026-06-28T00:00:00"/>
    <x v="0"/>
    <s v="Plant B"/>
    <x v="2"/>
    <x v="4"/>
    <x v="0"/>
    <x v="1"/>
    <s v="B260628-0018"/>
    <s v="OP125"/>
    <n v="769"/>
    <n v="806"/>
    <n v="752"/>
    <n v="54"/>
    <n v="16"/>
    <n v="20"/>
    <s v="Machine Breakdown"/>
    <n v="45"/>
    <n v="45"/>
    <n v="66"/>
    <n v="2.34"/>
    <n v="28.07"/>
    <n v="16469.830000000002"/>
    <n v="10.66"/>
    <s v="Pending"/>
    <n v="36"/>
    <n v="25798.38"/>
    <n v="0.93300248138957798"/>
    <n v="21519.46"/>
    <n v="326.94451612903202"/>
    <n v="576.75"/>
    <n v="0.96532293021239701"/>
    <n v="3951.97548387097"/>
    <n v="1.048114434330299"/>
    <n v="6.699751861042183E-2"/>
    <n v="1.9851116625310174E-2"/>
    <n v="0.9330024813895782"/>
    <n v="0.33333333333333331"/>
    <n v="556.75"/>
    <n v="1.447687471935339"/>
    <n v="1.3333333333333333"/>
    <n v="1.0857656039515042"/>
    <n v="0.9330024813895782"/>
    <n v="0.97789336801040316"/>
    <n v="26.699081885856078"/>
    <n v="4.9031953894180766"/>
    <s v="Medium"/>
    <s v="Normal"/>
  </r>
  <r>
    <n v="19"/>
    <d v="2026-01-22T00:00:00"/>
    <x v="2"/>
    <s v="Plant B"/>
    <x v="2"/>
    <x v="9"/>
    <x v="1"/>
    <x v="3"/>
    <s v="B260122-0019"/>
    <s v="OP116"/>
    <n v="778"/>
    <n v="704"/>
    <n v="677"/>
    <n v="27"/>
    <n v="9"/>
    <n v="24"/>
    <s v="Material Shortage"/>
    <n v="49"/>
    <n v="50"/>
    <n v="70.400000000000006"/>
    <n v="1.51"/>
    <n v="25.31"/>
    <n v="15778.04"/>
    <n v="6.53"/>
    <s v="Pending"/>
    <n v="24"/>
    <n v="26142.83"/>
    <n v="0.96164772727272696"/>
    <n v="18944.330000000002"/>
    <n v="201.70789772727301"/>
    <n v="635.36666666666702"/>
    <n v="0.962226535858559"/>
    <n v="6996.7921022727296"/>
    <n v="0.90488431876606679"/>
    <n v="3.8352272727272728E-2"/>
    <n v="1.278409090909091E-2"/>
    <n v="0.96164772727272729"/>
    <n v="0.4"/>
    <n v="611.36666666666702"/>
    <n v="1.1515184559184335"/>
    <n v="1.2244897959183674"/>
    <n v="0.940406739000054"/>
    <n v="0.96164772727272729"/>
    <n v="0.87017994858611747"/>
    <n v="26.909559659090913"/>
    <n v="9.9386251452737628"/>
    <s v="Medium"/>
    <s v="Normal"/>
  </r>
  <r>
    <n v="20"/>
    <d v="2026-01-28T00:00:00"/>
    <x v="2"/>
    <s v="Plant B"/>
    <x v="3"/>
    <x v="8"/>
    <x v="2"/>
    <x v="1"/>
    <s v="B260128-0020"/>
    <s v="OP130"/>
    <n v="705"/>
    <n v="585"/>
    <n v="545"/>
    <n v="40"/>
    <n v="14"/>
    <n v="31"/>
    <s v="Machine Breakdown"/>
    <n v="45"/>
    <n v="47"/>
    <n v="65.7"/>
    <n v="1.98"/>
    <n v="21.84"/>
    <n v="12556.66"/>
    <n v="7.14"/>
    <s v="Overdue"/>
    <n v="32"/>
    <n v="19013.099999999999"/>
    <n v="0.93162393162393198"/>
    <n v="15966.22"/>
    <n v="300.50126495726499"/>
    <n v="528.75"/>
    <n v="0.94137115839243501"/>
    <n v="2746.3787350427301"/>
    <n v="0.82978723404255317"/>
    <n v="6.8376068376068383E-2"/>
    <n v="2.3931623931623933E-2"/>
    <n v="0.93162393162393164"/>
    <n v="0.51666666666666672"/>
    <n v="497.75"/>
    <n v="1.1752887995981918"/>
    <n v="1.3333333333333333"/>
    <n v="0.88146659969864383"/>
    <n v="0.93162393162393164"/>
    <n v="0.77304964539007093"/>
    <n v="27.292683760683758"/>
    <n v="4.6946645043465471"/>
    <s v="High"/>
    <s v="Warning"/>
  </r>
  <r>
    <n v="21"/>
    <d v="2026-02-10T00:00:00"/>
    <x v="4"/>
    <s v="Plant B"/>
    <x v="1"/>
    <x v="2"/>
    <x v="1"/>
    <x v="1"/>
    <s v="B260210-0021"/>
    <s v="OP118"/>
    <n v="946"/>
    <n v="882"/>
    <n v="845"/>
    <n v="37"/>
    <n v="8"/>
    <n v="38"/>
    <s v="Quality Inspection"/>
    <n v="45"/>
    <n v="45"/>
    <n v="81.099999999999994"/>
    <n v="2.2799999999999998"/>
    <n v="29.11"/>
    <n v="17714.060000000001"/>
    <n v="8.15"/>
    <s v="Completed"/>
    <n v="24"/>
    <n v="30165.72"/>
    <n v="0.95804988662131496"/>
    <n v="21643.55"/>
    <n v="160.67174603174601"/>
    <n v="709.5"/>
    <n v="0.94644115574348098"/>
    <n v="8361.4982539682496"/>
    <n v="0.93234672304439747"/>
    <n v="4.195011337868481E-2"/>
    <n v="9.0702947845804991E-3"/>
    <n v="0.95804988662131518"/>
    <n v="0.6333333333333333"/>
    <n v="671.5"/>
    <n v="1.3134772896500373"/>
    <n v="1.3333333333333333"/>
    <n v="0.98510796723752803"/>
    <n v="0.95804988662131518"/>
    <n v="0.89323467230443954"/>
    <n v="24.539172335600906"/>
    <n v="9.4801567505308952"/>
    <s v="Medium"/>
    <s v="Warning"/>
  </r>
  <r>
    <n v="22"/>
    <d v="2026-04-10T00:00:00"/>
    <x v="5"/>
    <s v="Plant A"/>
    <x v="2"/>
    <x v="10"/>
    <x v="1"/>
    <x v="2"/>
    <s v="B260410-0022"/>
    <s v="OP120"/>
    <n v="642"/>
    <n v="532"/>
    <n v="480"/>
    <n v="52"/>
    <n v="15"/>
    <n v="49"/>
    <s v="Quality Inspection"/>
    <n v="64"/>
    <n v="71"/>
    <n v="76.599999999999994"/>
    <n v="1.83"/>
    <n v="20.61"/>
    <n v="17082.04"/>
    <n v="7.95"/>
    <s v="Pending"/>
    <n v="27"/>
    <n v="25588.31"/>
    <n v="0.90225563909774398"/>
    <n v="20845.03"/>
    <n v="481.63646616541399"/>
    <n v="684.8"/>
    <n v="0.92844626168224298"/>
    <n v="4261.64353383459"/>
    <n v="0.82866043613707163"/>
    <n v="9.7744360902255634E-2"/>
    <n v="2.819548872180451E-2"/>
    <n v="0.90225563909774431"/>
    <n v="0.81666666666666665"/>
    <n v="635.79999999999995"/>
    <n v="0.83674111355772263"/>
    <n v="0.9375"/>
    <n v="0.89252385446157079"/>
    <n v="0.90225563909774431"/>
    <n v="0.74766355140186924"/>
    <n v="39.182387218045108"/>
    <n v="8.0106081463056196"/>
    <s v="High"/>
    <s v="Critical"/>
  </r>
  <r>
    <n v="23"/>
    <d v="2026-06-09T00:00:00"/>
    <x v="0"/>
    <s v="Plant A"/>
    <x v="1"/>
    <x v="6"/>
    <x v="1"/>
    <x v="0"/>
    <s v="B260609-0023"/>
    <s v="OP128"/>
    <n v="789"/>
    <n v="787"/>
    <n v="745"/>
    <n v="42"/>
    <n v="16"/>
    <n v="33"/>
    <s v="Material Shortage"/>
    <n v="42"/>
    <n v="43"/>
    <n v="80.8"/>
    <n v="1.88"/>
    <n v="28.99"/>
    <n v="13776.93"/>
    <n v="10.32"/>
    <s v="Completed"/>
    <n v="27"/>
    <n v="23222.95"/>
    <n v="0.94663278271918705"/>
    <n v="18681.84"/>
    <n v="280.09006353240198"/>
    <n v="552.29999999999995"/>
    <n v="0.94024986420423695"/>
    <n v="4261.0199364676"/>
    <n v="0.99746514575411915"/>
    <n v="5.3367217280813214E-2"/>
    <n v="2.0330368487928845E-2"/>
    <n v="0.94663278271918683"/>
    <n v="0.55000000000000004"/>
    <n v="519.29999999999995"/>
    <n v="1.5155016368187946"/>
    <n v="1.4285714285714286"/>
    <n v="1.0608511457731562"/>
    <n v="0.94663278271918683"/>
    <n v="0.94423320659062115"/>
    <n v="23.738043202033037"/>
    <n v="5.4142565901748414"/>
    <s v="Medium"/>
    <s v="Warning"/>
  </r>
  <r>
    <n v="24"/>
    <d v="2026-06-16T00:00:00"/>
    <x v="0"/>
    <s v="Plant A"/>
    <x v="0"/>
    <x v="3"/>
    <x v="0"/>
    <x v="0"/>
    <s v="B260616-0024"/>
    <s v="OP110"/>
    <n v="842"/>
    <n v="755"/>
    <n v="721"/>
    <n v="34"/>
    <n v="13"/>
    <n v="26"/>
    <s v="Machine Breakdown"/>
    <n v="42"/>
    <n v="44"/>
    <n v="77.400000000000006"/>
    <n v="2.66"/>
    <n v="31.63"/>
    <n v="13172.49"/>
    <n v="7.38"/>
    <s v="Overdue"/>
    <n v="53"/>
    <n v="23706.26"/>
    <n v="0.95496688741721902"/>
    <n v="16778.16"/>
    <n v="226.81108609271499"/>
    <n v="589.4"/>
    <n v="0.95588734306073997"/>
    <n v="6701.2889139072904"/>
    <n v="0.89667458432304037"/>
    <n v="4.5033112582781455E-2"/>
    <n v="1.7218543046357615E-2"/>
    <n v="0.95496688741721858"/>
    <n v="0.43333333333333335"/>
    <n v="563.4"/>
    <n v="1.3400780972665958"/>
    <n v="1.4285714285714286"/>
    <n v="0.93805466808661697"/>
    <n v="0.95496688741721858"/>
    <n v="0.85629453681710233"/>
    <n v="22.222728476821192"/>
    <n v="8.8758793561685962"/>
    <s v="High"/>
    <s v="Normal"/>
  </r>
  <r>
    <n v="25"/>
    <d v="2026-04-12T00:00:00"/>
    <x v="5"/>
    <s v="Plant A"/>
    <x v="0"/>
    <x v="0"/>
    <x v="1"/>
    <x v="4"/>
    <s v="B260412-0025"/>
    <s v="OP107"/>
    <n v="698"/>
    <n v="728"/>
    <n v="696"/>
    <n v="32"/>
    <n v="8"/>
    <n v="5"/>
    <s v="Machine Breakdown"/>
    <n v="57"/>
    <n v="63"/>
    <n v="67.5"/>
    <n v="1.66"/>
    <n v="28.76"/>
    <n v="19072.349999999999"/>
    <n v="10.82"/>
    <s v="Pending"/>
    <n v="33"/>
    <n v="32647.43"/>
    <n v="0.95604395604395598"/>
    <n v="24200.19"/>
    <n v="209.58626373626399"/>
    <n v="663.1"/>
    <n v="0.99245965917659495"/>
    <n v="8237.6537362637391"/>
    <n v="1.0429799426934097"/>
    <n v="4.3956043956043959E-2"/>
    <n v="1.098901098901099E-2"/>
    <n v="0.95604395604395609"/>
    <n v="8.3333333333333329E-2"/>
    <n v="658.1"/>
    <n v="1.1062148609633793"/>
    <n v="1.0526315789473684"/>
    <n v="1.0509041179152103"/>
    <n v="0.95604395604395609"/>
    <n v="0.99713467048710624"/>
    <n v="33.24201923076923"/>
    <n v="11.315458428933708"/>
    <s v="Medium"/>
    <s v="Normal"/>
  </r>
  <r>
    <n v="26"/>
    <d v="2026-02-09T00:00:00"/>
    <x v="4"/>
    <s v="Plant B"/>
    <x v="3"/>
    <x v="11"/>
    <x v="1"/>
    <x v="1"/>
    <s v="B260209-0026"/>
    <s v="OP135"/>
    <n v="927"/>
    <n v="801"/>
    <n v="738"/>
    <n v="63"/>
    <n v="20"/>
    <n v="33"/>
    <s v="Material Shortage"/>
    <n v="45"/>
    <n v="49"/>
    <n v="71"/>
    <n v="2.59"/>
    <n v="30.98"/>
    <n v="16409.28"/>
    <n v="7.15"/>
    <s v="Scheduled"/>
    <n v="29"/>
    <n v="25605.01"/>
    <n v="0.92134831460674205"/>
    <n v="19905.599999999999"/>
    <n v="409.71985018726599"/>
    <n v="695.25"/>
    <n v="0.95253505933117599"/>
    <n v="5289.6901498127299"/>
    <n v="0.86407766990291257"/>
    <n v="7.8651685393258425E-2"/>
    <n v="2.4968789013732832E-2"/>
    <n v="0.9213483146067416"/>
    <n v="0.55000000000000004"/>
    <n v="662.25"/>
    <n v="1.2095130237825595"/>
    <n v="1.3333333333333333"/>
    <n v="0.90713476783691971"/>
    <n v="0.9213483146067416"/>
    <n v="0.79611650485436924"/>
    <n v="24.850936329588013"/>
    <n v="6.6038578649347439"/>
    <s v="High"/>
    <s v="Warning"/>
  </r>
  <r>
    <n v="27"/>
    <d v="2026-03-08T00:00:00"/>
    <x v="1"/>
    <s v="Plant B"/>
    <x v="4"/>
    <x v="12"/>
    <x v="1"/>
    <x v="3"/>
    <s v="B260308-0027"/>
    <s v="OP101"/>
    <n v="884"/>
    <n v="784"/>
    <n v="664"/>
    <n v="120"/>
    <n v="32"/>
    <n v="61"/>
    <s v="Material Shortage"/>
    <n v="49"/>
    <n v="52"/>
    <n v="77"/>
    <n v="3.88"/>
    <n v="35.590000000000003"/>
    <n v="16941.28"/>
    <n v="7.71"/>
    <s v="Pending"/>
    <n v="60"/>
    <n v="24824.06"/>
    <n v="0.84693877551020402"/>
    <n v="20731.09"/>
    <n v="691.480816326531"/>
    <n v="721.93333333333305"/>
    <n v="0.91550466340382297"/>
    <n v="3401.4891836734701"/>
    <n v="0.8868778280542986"/>
    <n v="0.15306122448979592"/>
    <n v="4.0816326530612242E-2"/>
    <n v="0.84693877551020413"/>
    <n v="1.0166666666666666"/>
    <n v="660.93333333333305"/>
    <n v="1.1862013314504747"/>
    <n v="1.2244897959183674"/>
    <n v="0.96873108735122093"/>
    <n v="0.84693877551020413"/>
    <n v="0.75113122171945734"/>
    <n v="26.442716836734693"/>
    <n v="4.3386341628488134"/>
    <s v="High"/>
    <s v="Critical"/>
  </r>
  <r>
    <n v="28"/>
    <d v="2026-02-19T00:00:00"/>
    <x v="4"/>
    <s v="Plant B"/>
    <x v="0"/>
    <x v="0"/>
    <x v="1"/>
    <x v="1"/>
    <s v="B260219-0028"/>
    <s v="OP112"/>
    <n v="778"/>
    <n v="747"/>
    <n v="719"/>
    <n v="28"/>
    <n v="6"/>
    <n v="0"/>
    <s v="No Downtime"/>
    <n v="45"/>
    <n v="49"/>
    <n v="68"/>
    <n v="2"/>
    <n v="23.13"/>
    <n v="14420.69"/>
    <n v="8.61"/>
    <s v="Completed"/>
    <n v="25"/>
    <n v="25881.14"/>
    <n v="0.96251673360107104"/>
    <n v="18503.36"/>
    <n v="115.82883534136499"/>
    <n v="583.5"/>
    <n v="1"/>
    <n v="7261.9511646586398"/>
    <n v="0.96015424164524421"/>
    <n v="3.7483266398929051E-2"/>
    <n v="8.0321285140562242E-3"/>
    <n v="0.96251673360107093"/>
    <n v="0"/>
    <n v="583.5"/>
    <n v="1.2802056555269923"/>
    <n v="1.3333333333333333"/>
    <n v="0.96015424164524421"/>
    <n v="0.96251673360107093"/>
    <n v="0.9241645244215938"/>
    <n v="24.770227576974566"/>
    <n v="9.7214875028897456"/>
    <s v="Low"/>
    <s v="Normal"/>
  </r>
  <r>
    <n v="29"/>
    <d v="2026-05-22T00:00:00"/>
    <x v="3"/>
    <s v="Plant B"/>
    <x v="3"/>
    <x v="11"/>
    <x v="2"/>
    <x v="4"/>
    <s v="B260522-0029"/>
    <s v="OP101"/>
    <n v="666"/>
    <n v="548"/>
    <n v="501"/>
    <n v="47"/>
    <n v="10"/>
    <n v="25"/>
    <s v="Material Shortage"/>
    <n v="57"/>
    <n v="63"/>
    <n v="73.2"/>
    <n v="1.52"/>
    <n v="22.95"/>
    <n v="14319.84"/>
    <n v="6.6"/>
    <s v="Scheduled"/>
    <n v="13"/>
    <n v="22930.09"/>
    <n v="0.91423357664233595"/>
    <n v="17496.39"/>
    <n v="261.310948905109"/>
    <n v="632.70000000000005"/>
    <n v="0.96048680259206598"/>
    <n v="5172.3890510948904"/>
    <n v="0.82282282282282282"/>
    <n v="8.576642335766424E-2"/>
    <n v="1.824817518248175E-2"/>
    <n v="0.91423357664233573"/>
    <n v="0.41666666666666669"/>
    <n v="607.70000000000005"/>
    <n v="0.90176073720585803"/>
    <n v="1.0526315789473684"/>
    <n v="0.8566727003455652"/>
    <n v="0.91423357664233573"/>
    <n v="0.75225225225225234"/>
    <n v="31.927718978102188"/>
    <n v="9.4386661516330115"/>
    <s v="High"/>
    <s v="Warning"/>
  </r>
  <r>
    <n v="30"/>
    <d v="2026-06-02T00:00:00"/>
    <x v="0"/>
    <s v="Plant A"/>
    <x v="2"/>
    <x v="10"/>
    <x v="1"/>
    <x v="3"/>
    <s v="B260602-0030"/>
    <s v="OP128"/>
    <n v="776"/>
    <n v="714"/>
    <n v="650"/>
    <n v="64"/>
    <n v="20"/>
    <n v="63"/>
    <s v="Quality Inspection"/>
    <n v="49"/>
    <n v="53"/>
    <n v="71.8"/>
    <n v="2.33"/>
    <n v="24.68"/>
    <n v="16064.96"/>
    <n v="8.0500000000000007"/>
    <s v="Completed"/>
    <n v="24"/>
    <n v="24385.97"/>
    <n v="0.91036414565826296"/>
    <n v="19909.580000000002"/>
    <n v="449.99887955182101"/>
    <n v="633.73333333333301"/>
    <n v="0.90058910162003003"/>
    <n v="4026.3911204481801"/>
    <n v="0.92010309278350511"/>
    <n v="8.9635854341736695E-2"/>
    <n v="2.8011204481792718E-2"/>
    <n v="0.91036414565826329"/>
    <n v="1.05"/>
    <n v="570.73333333333301"/>
    <n v="1.2510220768601805"/>
    <n v="1.2244897959183674"/>
    <n v="1.021668029435814"/>
    <n v="0.91036414565826329"/>
    <n v="0.83762886597938224"/>
    <n v="27.884565826330533"/>
    <n v="5.6392032499274229"/>
    <s v="Medium"/>
    <s v="Warning"/>
  </r>
  <r>
    <n v="31"/>
    <d v="2026-03-14T00:00:00"/>
    <x v="1"/>
    <s v="Plant B"/>
    <x v="0"/>
    <x v="0"/>
    <x v="0"/>
    <x v="3"/>
    <s v="B260314-0031"/>
    <s v="OP113"/>
    <n v="837"/>
    <n v="823"/>
    <n v="780"/>
    <n v="43"/>
    <n v="12"/>
    <n v="29"/>
    <s v="Material Shortage"/>
    <n v="49"/>
    <n v="48"/>
    <n v="75.2"/>
    <n v="1.36"/>
    <n v="29.43"/>
    <n v="17894.18"/>
    <n v="7.96"/>
    <s v="Scheduled"/>
    <n v="25"/>
    <n v="29529.31"/>
    <n v="0.94775212636695005"/>
    <n v="21741.05"/>
    <n v="260.91149453219901"/>
    <n v="683.55"/>
    <n v="0.95757442762051104"/>
    <n v="7527.3485054678004"/>
    <n v="0.98327359617682197"/>
    <n v="5.2247873633049821E-2"/>
    <n v="1.4580801944106925E-2"/>
    <n v="0.94775212636695016"/>
    <n v="0.48333333333333334"/>
    <n v="654.54999999999995"/>
    <n v="1.2573523794973647"/>
    <n v="1.2244897959183674"/>
    <n v="1.0268377765895145"/>
    <n v="0.94775212636695016"/>
    <n v="0.9318996415770614"/>
    <n v="26.416828675577158"/>
    <n v="9.1462314768746058"/>
    <s v="Low"/>
    <s v="Normal"/>
  </r>
  <r>
    <n v="32"/>
    <d v="2026-06-03T00:00:00"/>
    <x v="0"/>
    <s v="Plant A"/>
    <x v="1"/>
    <x v="6"/>
    <x v="0"/>
    <x v="3"/>
    <s v="B260603-0032"/>
    <s v="OP106"/>
    <n v="737"/>
    <n v="777"/>
    <n v="741"/>
    <n v="36"/>
    <n v="13"/>
    <n v="32"/>
    <s v="Setup Time"/>
    <n v="49"/>
    <n v="54"/>
    <n v="70.099999999999994"/>
    <n v="1.76"/>
    <n v="28.46"/>
    <n v="17947.48"/>
    <n v="8.2200000000000006"/>
    <s v="Scheduled"/>
    <n v="11"/>
    <n v="28385.72"/>
    <n v="0.95366795366795398"/>
    <n v="21902.62"/>
    <n v="300.279588159588"/>
    <n v="601.88333333333298"/>
    <n v="0.94683355024506399"/>
    <n v="6182.8204118404101"/>
    <n v="1.0542740841248304"/>
    <n v="4.633204633204633E-2"/>
    <n v="1.6731016731016731E-2"/>
    <n v="0.95366795366795365"/>
    <n v="0.53333333333333333"/>
    <n v="569.88333333333298"/>
    <n v="1.3634369607814474"/>
    <n v="1.2244897959183674"/>
    <n v="1.1134735179715154"/>
    <n v="0.95366795366795365"/>
    <n v="1.0054274084124837"/>
    <n v="28.188700128700127"/>
    <n v="7.9572978273364354"/>
    <s v="Low"/>
    <s v="Normal"/>
  </r>
  <r>
    <n v="33"/>
    <d v="2026-05-06T00:00:00"/>
    <x v="3"/>
    <s v="Plant A"/>
    <x v="1"/>
    <x v="2"/>
    <x v="0"/>
    <x v="3"/>
    <s v="B260506-0033"/>
    <s v="OP107"/>
    <n v="702"/>
    <n v="693"/>
    <n v="656"/>
    <n v="37"/>
    <n v="10"/>
    <n v="8"/>
    <s v="Setup Time"/>
    <n v="49"/>
    <n v="53"/>
    <n v="70.3"/>
    <n v="1.9"/>
    <n v="24.64"/>
    <n v="15534.44"/>
    <n v="8.8800000000000008"/>
    <s v="Completed"/>
    <n v="20"/>
    <n v="24460.720000000001"/>
    <n v="0.94660894660894701"/>
    <n v="19752.2"/>
    <n v="224.16219336219299"/>
    <n v="573.29999999999995"/>
    <n v="0.98604570033141503"/>
    <n v="4484.3578066378104"/>
    <n v="0.98717948717948723"/>
    <n v="5.3391053391053392E-2"/>
    <n v="1.443001443001443E-2"/>
    <n v="0.94660894660894657"/>
    <n v="0.13333333333333333"/>
    <n v="565.29999999999995"/>
    <n v="1.2258977534052717"/>
    <n v="1.2244897959183674"/>
    <n v="1.0011498319476386"/>
    <n v="0.94660894660894657"/>
    <n v="0.934472934472935"/>
    <n v="28.502453102453103"/>
    <n v="6.4709347859131467"/>
    <s v="Low"/>
    <s v="Normal"/>
  </r>
  <r>
    <n v="34"/>
    <d v="2026-04-03T00:00:00"/>
    <x v="5"/>
    <s v="Plant B"/>
    <x v="1"/>
    <x v="5"/>
    <x v="0"/>
    <x v="4"/>
    <s v="B260403-0034"/>
    <s v="OP119"/>
    <n v="632"/>
    <n v="700"/>
    <n v="682"/>
    <n v="18"/>
    <n v="5"/>
    <n v="18"/>
    <s v="Preventive Maintenance"/>
    <n v="57"/>
    <n v="61"/>
    <n v="70.900000000000006"/>
    <n v="1.66"/>
    <n v="22.88"/>
    <n v="18357.099999999999"/>
    <n v="11.44"/>
    <s v="Pending"/>
    <n v="33"/>
    <n v="30720.66"/>
    <n v="0.97428571428571398"/>
    <n v="23711.02"/>
    <n v="131.12214285714299"/>
    <n v="600.4"/>
    <n v="0.97001998667555001"/>
    <n v="6878.5178571428596"/>
    <n v="1.1075949367088607"/>
    <n v="2.5714285714285714E-2"/>
    <n v="7.1428571428571426E-3"/>
    <n v="0.97428571428571431"/>
    <n v="0.3"/>
    <n v="582.4"/>
    <n v="1.2019230769230769"/>
    <n v="1.0526315789473684"/>
    <n v="1.1418269230769231"/>
    <n v="0.97428571428571431"/>
    <n v="1.0791139240506336"/>
    <n v="33.872885714285715"/>
    <n v="9.8264540816326562"/>
    <s v="Medium"/>
    <s v="Normal"/>
  </r>
  <r>
    <n v="35"/>
    <d v="2026-03-16T00:00:00"/>
    <x v="1"/>
    <s v="Plant B"/>
    <x v="1"/>
    <x v="2"/>
    <x v="2"/>
    <x v="0"/>
    <s v="B260316-0035"/>
    <s v="OP110"/>
    <n v="916"/>
    <n v="825"/>
    <n v="785"/>
    <n v="40"/>
    <n v="7"/>
    <n v="5"/>
    <s v="Machine Breakdown"/>
    <n v="42"/>
    <n v="42"/>
    <n v="62.3"/>
    <n v="1.63"/>
    <n v="31.23"/>
    <n v="15408.88"/>
    <n v="8.4499999999999993"/>
    <s v="Pending"/>
    <n v="7"/>
    <n v="25039.439999999999"/>
    <n v="0.95151515151515198"/>
    <n v="19492.45"/>
    <n v="130.74201212121201"/>
    <n v="641.20000000000005"/>
    <n v="0.99220212102308203"/>
    <n v="5416.2479878787899"/>
    <n v="0.9006550218340611"/>
    <n v="4.8484848484848485E-2"/>
    <n v="8.4848484848484857E-3"/>
    <n v="0.95151515151515154"/>
    <n v="8.3333333333333329E-2"/>
    <n v="636.20000000000005"/>
    <n v="1.2967620245205909"/>
    <n v="1.4285714285714286"/>
    <n v="0.90773341716441358"/>
    <n v="0.95151515151515154"/>
    <n v="0.85698689956331897"/>
    <n v="23.627212121212121"/>
    <n v="6.5651490762167146"/>
    <s v="Medium"/>
    <s v="Normal"/>
  </r>
  <r>
    <n v="36"/>
    <d v="2026-05-04T00:00:00"/>
    <x v="3"/>
    <s v="Plant B"/>
    <x v="4"/>
    <x v="12"/>
    <x v="1"/>
    <x v="3"/>
    <s v="B260504-0036"/>
    <s v="OP121"/>
    <n v="716"/>
    <n v="669"/>
    <n v="571"/>
    <n v="98"/>
    <n v="19"/>
    <n v="33"/>
    <s v="Machine Breakdown"/>
    <n v="49"/>
    <n v="54"/>
    <n v="80.5"/>
    <n v="3.6"/>
    <n v="25.03"/>
    <n v="15370.95"/>
    <n v="9.42"/>
    <s v="Pending"/>
    <n v="53"/>
    <n v="21731.79"/>
    <n v="0.85351270553064296"/>
    <n v="19835.22"/>
    <n v="436.544170403588"/>
    <n v="584.73333333333301"/>
    <n v="0.94356401778588495"/>
    <n v="1460.0258295964099"/>
    <n v="0.93435754189944131"/>
    <n v="0.14648729446935724"/>
    <n v="2.8400597907324365E-2"/>
    <n v="0.85351270553064273"/>
    <n v="0.55000000000000004"/>
    <n v="551.73333333333301"/>
    <n v="1.212542290961818"/>
    <n v="1.2244897959183674"/>
    <n v="0.99024287095215136"/>
    <n v="0.85351270553064273"/>
    <n v="0.79748603351955327"/>
    <n v="29.649058295964128"/>
    <n v="2.182400343193438"/>
    <s v="High"/>
    <s v="Warning"/>
  </r>
  <r>
    <n v="37"/>
    <d v="2026-04-27T00:00:00"/>
    <x v="5"/>
    <s v="Plant A"/>
    <x v="3"/>
    <x v="7"/>
    <x v="2"/>
    <x v="2"/>
    <s v="B260427-0037"/>
    <s v="OP105"/>
    <n v="570"/>
    <n v="465"/>
    <n v="436"/>
    <n v="29"/>
    <n v="11"/>
    <n v="43"/>
    <s v="Material Shortage"/>
    <n v="64"/>
    <n v="64"/>
    <n v="78.599999999999994"/>
    <n v="0.96"/>
    <n v="18.41"/>
    <n v="14618.18"/>
    <n v="6.51"/>
    <s v="Pending"/>
    <n v="22"/>
    <n v="22382.77"/>
    <n v="0.93763440860215097"/>
    <n v="17713.37"/>
    <n v="345.80640860215101"/>
    <n v="608"/>
    <n v="0.92927631578947401"/>
    <n v="4323.5935913978501"/>
    <n v="0.81578947368421051"/>
    <n v="6.236559139784946E-2"/>
    <n v="2.3655913978494623E-2"/>
    <n v="0.93763440860215053"/>
    <n v="0.71666666666666667"/>
    <n v="565"/>
    <n v="0.82300884955752207"/>
    <n v="0.9375"/>
    <n v="0.87787610619469025"/>
    <n v="0.93763440860215053"/>
    <n v="0.76491228070175465"/>
    <n v="38.093268817204297"/>
    <n v="9.2980507341889247"/>
    <s v="High"/>
    <s v="Warning"/>
  </r>
  <r>
    <n v="38"/>
    <d v="2026-02-28T00:00:00"/>
    <x v="4"/>
    <s v="Plant A"/>
    <x v="1"/>
    <x v="5"/>
    <x v="1"/>
    <x v="1"/>
    <s v="B260228-0038"/>
    <s v="OP107"/>
    <n v="907"/>
    <n v="864"/>
    <n v="838"/>
    <n v="26"/>
    <n v="7"/>
    <n v="18"/>
    <s v="Material Shortage"/>
    <n v="45"/>
    <n v="44"/>
    <n v="68.7"/>
    <n v="2.41"/>
    <n v="32.61"/>
    <n v="17021.38"/>
    <n v="8.77"/>
    <s v="Completed"/>
    <n v="17"/>
    <n v="29652.28"/>
    <n v="0.969907407407407"/>
    <n v="21261.37"/>
    <n v="137.90469907407399"/>
    <n v="680.25"/>
    <n v="0.973539140022051"/>
    <n v="8253.0053009259209"/>
    <n v="0.9525909592061742"/>
    <n v="3.0092592592592591E-2"/>
    <n v="8.1018518518518514E-3"/>
    <n v="0.96990740740740744"/>
    <n v="0.3"/>
    <n v="662.25"/>
    <n v="1.304643261608154"/>
    <n v="1.3333333333333333"/>
    <n v="0.97848244620611557"/>
    <n v="0.96990740740740744"/>
    <n v="0.92392502756339612"/>
    <n v="24.608067129629628"/>
    <n v="9.5520894686642599"/>
    <s v="Low"/>
    <s v="Normal"/>
  </r>
  <r>
    <n v="39"/>
    <d v="2026-05-08T00:00:00"/>
    <x v="3"/>
    <s v="Plant A"/>
    <x v="3"/>
    <x v="7"/>
    <x v="1"/>
    <x v="3"/>
    <s v="B260508-0039"/>
    <s v="OP101"/>
    <n v="858"/>
    <n v="825"/>
    <n v="783"/>
    <n v="42"/>
    <n v="10"/>
    <n v="12"/>
    <s v="Power Failure"/>
    <n v="49"/>
    <n v="49"/>
    <n v="68.3"/>
    <n v="1.75"/>
    <n v="27.88"/>
    <n v="17577.63"/>
    <n v="8.74"/>
    <s v="Scheduled"/>
    <n v="20"/>
    <n v="30633.57"/>
    <n v="0.94909090909090899"/>
    <n v="21761.55"/>
    <n v="213.06218181818201"/>
    <n v="700.7"/>
    <n v="0.98287426858855398"/>
    <n v="8658.9578181818197"/>
    <n v="0.96153846153846156"/>
    <n v="5.0909090909090911E-2"/>
    <n v="1.2121212121212121E-2"/>
    <n v="0.9490909090909091"/>
    <n v="0.2"/>
    <n v="688.7"/>
    <n v="1.1979091041091912"/>
    <n v="1.2244897959183674"/>
    <n v="0.97829243502250607"/>
    <n v="0.9490909090909091"/>
    <n v="0.91258741258741216"/>
    <n v="26.377636363636363"/>
    <n v="10.495706446280993"/>
    <s v="Low"/>
    <s v="Normal"/>
  </r>
  <r>
    <n v="40"/>
    <d v="2026-03-17T00:00:00"/>
    <x v="1"/>
    <s v="Plant A"/>
    <x v="1"/>
    <x v="2"/>
    <x v="0"/>
    <x v="2"/>
    <s v="B260317-0040"/>
    <s v="OP104"/>
    <n v="683"/>
    <n v="745"/>
    <n v="708"/>
    <n v="37"/>
    <n v="12"/>
    <n v="0"/>
    <s v="No Downtime"/>
    <n v="64"/>
    <n v="64"/>
    <n v="74.099999999999994"/>
    <n v="1.47"/>
    <n v="26.87"/>
    <n v="23707.279999999999"/>
    <n v="10.23"/>
    <s v="Pending"/>
    <n v="28"/>
    <n v="37099.29"/>
    <n v="0.950335570469799"/>
    <n v="28552.61"/>
    <n v="381.86222818791902"/>
    <n v="728.53333333333296"/>
    <n v="1"/>
    <n v="8164.8177718120796"/>
    <n v="1.0907759882869692"/>
    <n v="4.9664429530201344E-2"/>
    <n v="1.6107382550335572E-2"/>
    <n v="0.95033557046979866"/>
    <n v="0"/>
    <n v="728.53333333333296"/>
    <n v="1.0226024890190342"/>
    <n v="0.9375"/>
    <n v="1.0907759882869699"/>
    <n v="0.95033557046979866"/>
    <n v="1.0366032210834559"/>
    <n v="38.325651006711411"/>
    <n v="10.959486942029637"/>
    <s v="Medium"/>
    <s v="Normal"/>
  </r>
  <r>
    <n v="41"/>
    <d v="2026-06-10T00:00:00"/>
    <x v="0"/>
    <s v="Plant A"/>
    <x v="4"/>
    <x v="13"/>
    <x v="0"/>
    <x v="3"/>
    <s v="B260610-0041"/>
    <s v="OP109"/>
    <n v="666"/>
    <n v="665"/>
    <n v="633"/>
    <n v="32"/>
    <n v="13"/>
    <n v="36"/>
    <s v="Machine Breakdown"/>
    <n v="49"/>
    <n v="52"/>
    <n v="68.7"/>
    <n v="1.71"/>
    <n v="29.44"/>
    <n v="14270.35"/>
    <n v="10.06"/>
    <s v="Scheduled"/>
    <n v="18"/>
    <n v="24008.29"/>
    <n v="0.95187969924811999"/>
    <n v="19062.310000000001"/>
    <n v="278.96924812030102"/>
    <n v="543.9"/>
    <n v="0.93381136238279105"/>
    <n v="4667.0107518797004"/>
    <n v="0.99849849849849848"/>
    <n v="4.8120300751879702E-2"/>
    <n v="1.9548872180451128E-2"/>
    <n v="0.95187969924812033"/>
    <n v="0.6"/>
    <n v="507.9"/>
    <n v="1.309312856861587"/>
    <n v="1.2244897959183674"/>
    <n v="1.0692721664369627"/>
    <n v="0.95187969924812033"/>
    <n v="0.95045045045045051"/>
    <n v="28.665127819548875"/>
    <n v="7.0180612810221055"/>
    <s v="Low"/>
    <s v="Normal"/>
  </r>
  <r>
    <n v="42"/>
    <d v="2026-01-20T00:00:00"/>
    <x v="2"/>
    <s v="Plant A"/>
    <x v="3"/>
    <x v="11"/>
    <x v="1"/>
    <x v="2"/>
    <s v="B260120-0042"/>
    <s v="OP124"/>
    <n v="473"/>
    <n v="444"/>
    <n v="404"/>
    <n v="40"/>
    <n v="8"/>
    <n v="43"/>
    <s v="Preventive Maintenance"/>
    <n v="64"/>
    <n v="67"/>
    <n v="64"/>
    <n v="1.68"/>
    <n v="15.33"/>
    <n v="14398.63"/>
    <n v="8.5"/>
    <s v="Overdue"/>
    <n v="23"/>
    <n v="20656.79"/>
    <n v="0.90990990990991005"/>
    <n v="18361.599999999999"/>
    <n v="259.43477477477501"/>
    <n v="504.53333333333302"/>
    <n v="0.91477272727272696"/>
    <n v="2035.7552252252301"/>
    <n v="0.93868921775898517"/>
    <n v="9.0090090090090086E-2"/>
    <n v="1.8018018018018018E-2"/>
    <n v="0.90990990990990994"/>
    <n v="0.71666666666666667"/>
    <n v="461.53333333333302"/>
    <n v="0.96201068900765629"/>
    <n v="0.9375"/>
    <n v="1.0261447349415"/>
    <n v="0.90990990990990994"/>
    <n v="0.85412262156448238"/>
    <n v="41.354954954954948"/>
    <n v="4.5850342910478155"/>
    <s v="High"/>
    <s v="Warning"/>
  </r>
  <r>
    <n v="43"/>
    <d v="2026-01-17T00:00:00"/>
    <x v="2"/>
    <s v="Plant B"/>
    <x v="4"/>
    <x v="12"/>
    <x v="0"/>
    <x v="0"/>
    <s v="B260117-0043"/>
    <s v="OP103"/>
    <n v="875"/>
    <n v="838"/>
    <n v="724"/>
    <n v="114"/>
    <n v="47"/>
    <n v="50"/>
    <s v="Power Failure"/>
    <n v="42"/>
    <n v="46"/>
    <n v="66.2"/>
    <n v="3.1"/>
    <n v="26.31"/>
    <n v="15397.67"/>
    <n v="9.9"/>
    <s v="Overdue"/>
    <n v="52"/>
    <n v="22611.07"/>
    <n v="0.86396181384248205"/>
    <n v="20089.46"/>
    <n v="863.59247016706399"/>
    <n v="612.5"/>
    <n v="0.91836734693877597"/>
    <n v="1658.01752983294"/>
    <n v="0.95771428571428574"/>
    <n v="0.13603818615751789"/>
    <n v="5.6085918854415273E-2"/>
    <n v="0.86396181384248205"/>
    <n v="0.83333333333333337"/>
    <n v="562.5"/>
    <n v="1.4897777777777779"/>
    <n v="1.4285714285714286"/>
    <n v="1.0428444444444445"/>
    <n v="0.86396181384248205"/>
    <n v="0.82742857142857174"/>
    <n v="23.973102625298328"/>
    <n v="1.978541205051241"/>
    <s v="High"/>
    <s v="Warning"/>
  </r>
  <r>
    <n v="44"/>
    <d v="2026-06-25T00:00:00"/>
    <x v="0"/>
    <s v="Plant B"/>
    <x v="2"/>
    <x v="9"/>
    <x v="0"/>
    <x v="3"/>
    <s v="B260625-0044"/>
    <s v="OP113"/>
    <n v="682"/>
    <n v="705"/>
    <n v="676"/>
    <n v="29"/>
    <n v="12"/>
    <n v="26"/>
    <s v="Machine Breakdown"/>
    <n v="49"/>
    <n v="51"/>
    <n v="73.599999999999994"/>
    <n v="2.0299999999999998"/>
    <n v="28.08"/>
    <n v="16123.86"/>
    <n v="9.33"/>
    <s v="Scheduled"/>
    <n v="33"/>
    <n v="26170.5"/>
    <n v="0.95886524822694996"/>
    <n v="20575.080000000002"/>
    <n v="274.44868085106401"/>
    <n v="556.96666666666704"/>
    <n v="0.95331857083009197"/>
    <n v="5320.97131914893"/>
    <n v="1.033724340175953"/>
    <n v="4.1134751773049642E-2"/>
    <n v="1.7021276595744681E-2"/>
    <n v="0.95886524822695041"/>
    <n v="0.43333333333333335"/>
    <n v="530.96666666666704"/>
    <n v="1.3277669659112301"/>
    <n v="1.2244897959183674"/>
    <n v="1.0843430221608379"/>
    <n v="0.95886524822695041"/>
    <n v="0.9912023460410555"/>
    <n v="29.184510638297876"/>
    <n v="7.5474770484381981"/>
    <s v="Medium"/>
    <s v="Normal"/>
  </r>
  <r>
    <n v="45"/>
    <d v="2026-03-01T00:00:00"/>
    <x v="1"/>
    <s v="Plant B"/>
    <x v="3"/>
    <x v="11"/>
    <x v="0"/>
    <x v="2"/>
    <s v="B260301-0045"/>
    <s v="OP110"/>
    <n v="483"/>
    <n v="481"/>
    <n v="445"/>
    <n v="36"/>
    <n v="10"/>
    <n v="16"/>
    <s v="Machine Breakdown"/>
    <n v="64"/>
    <n v="65"/>
    <n v="65.5"/>
    <n v="2.46"/>
    <n v="15"/>
    <n v="14818.45"/>
    <n v="8.36"/>
    <s v="Scheduled"/>
    <n v="25"/>
    <n v="23073.360000000001"/>
    <n v="0.92515592515592504"/>
    <n v="18715.45"/>
    <n v="308.07588357588401"/>
    <n v="515.20000000000005"/>
    <n v="0.96894409937888204"/>
    <n v="4049.8341164241201"/>
    <n v="0.99585921325051763"/>
    <n v="7.4844074844074848E-2"/>
    <n v="2.0790020790020791E-2"/>
    <n v="0.92515592515592515"/>
    <n v="0.26666666666666666"/>
    <n v="499.20000000000005"/>
    <n v="0.96354166666666663"/>
    <n v="0.9375"/>
    <n v="1.0277777777777777"/>
    <n v="0.92515592515592515"/>
    <n v="0.92132505175983426"/>
    <n v="38.909459459459462"/>
    <n v="8.4196135476592939"/>
    <s v="Low"/>
    <s v="Normal"/>
  </r>
  <r>
    <n v="46"/>
    <d v="2026-02-26T00:00:00"/>
    <x v="4"/>
    <s v="Plant A"/>
    <x v="2"/>
    <x v="10"/>
    <x v="1"/>
    <x v="2"/>
    <s v="B260226-0046"/>
    <s v="OP104"/>
    <n v="572"/>
    <n v="581"/>
    <n v="526"/>
    <n v="55"/>
    <n v="18"/>
    <n v="18"/>
    <s v="Power Failure"/>
    <n v="64"/>
    <n v="72"/>
    <n v="70.8"/>
    <n v="2.37"/>
    <n v="21.83"/>
    <n v="17753.599999999999"/>
    <n v="9.32"/>
    <s v="Completed"/>
    <n v="24"/>
    <n v="27361.11"/>
    <n v="0.90533562822719504"/>
    <n v="22144.07"/>
    <n v="550.02547332185895"/>
    <n v="610.13333333333298"/>
    <n v="0.97049825174825199"/>
    <n v="4667.0145266781401"/>
    <n v="1.0157342657342658"/>
    <n v="9.4664371772805511E-2"/>
    <n v="3.098106712564544E-2"/>
    <n v="0.90533562822719449"/>
    <n v="0.3"/>
    <n v="592.13333333333298"/>
    <n v="0.98119792839450637"/>
    <n v="0.9375"/>
    <n v="1.0466111236208069"/>
    <n v="0.90533562822719449"/>
    <n v="0.91958041958042047"/>
    <n v="38.113717728055079"/>
    <n v="8.03272724040988"/>
    <s v="Medium"/>
    <s v="Warning"/>
  </r>
  <r>
    <n v="47"/>
    <d v="2026-04-21T00:00:00"/>
    <x v="5"/>
    <s v="Plant A"/>
    <x v="0"/>
    <x v="0"/>
    <x v="1"/>
    <x v="1"/>
    <s v="B260421-0047"/>
    <s v="OP114"/>
    <n v="900"/>
    <n v="865"/>
    <n v="832"/>
    <n v="33"/>
    <n v="13"/>
    <n v="35"/>
    <s v="Power Failure"/>
    <n v="45"/>
    <n v="46"/>
    <n v="75"/>
    <n v="1.83"/>
    <n v="27.36"/>
    <n v="16866.93"/>
    <n v="7.23"/>
    <s v="Pending"/>
    <n v="25"/>
    <n v="29664.720000000001"/>
    <n v="0.96184971098265903"/>
    <n v="20366.669999999998"/>
    <n v="253.491433526012"/>
    <n v="675"/>
    <n v="0.94814814814814796"/>
    <n v="9044.5585664739901"/>
    <n v="0.96111111111111114"/>
    <n v="3.8150289017341042E-2"/>
    <n v="1.5028901734104046E-2"/>
    <n v="0.96184971098265892"/>
    <n v="0.58333333333333337"/>
    <n v="640"/>
    <n v="1.3515625"/>
    <n v="1.3333333333333333"/>
    <n v="1.013671875"/>
    <n v="0.96184971098265892"/>
    <n v="0.92444444444444418"/>
    <n v="23.545283236994219"/>
    <n v="10.456137071068197"/>
    <s v="Medium"/>
    <s v="Normal"/>
  </r>
  <r>
    <n v="48"/>
    <d v="2026-05-23T00:00:00"/>
    <x v="3"/>
    <s v="Plant A"/>
    <x v="2"/>
    <x v="9"/>
    <x v="1"/>
    <x v="1"/>
    <s v="B260523-0048"/>
    <s v="OP127"/>
    <n v="861"/>
    <n v="832"/>
    <n v="801"/>
    <n v="31"/>
    <n v="9"/>
    <n v="36"/>
    <s v="Setup Time"/>
    <n v="45"/>
    <n v="44"/>
    <n v="71"/>
    <n v="2.4300000000000002"/>
    <n v="26.92"/>
    <n v="17766.77"/>
    <n v="8.07"/>
    <s v="Scheduled"/>
    <n v="13"/>
    <n v="27387.200000000001"/>
    <n v="0.96274038461538503"/>
    <n v="21640.55"/>
    <n v="192.18861778846201"/>
    <n v="645.75"/>
    <n v="0.94425087108013905"/>
    <n v="5554.4613822115398"/>
    <n v="0.96631823461091759"/>
    <n v="3.7259615384615384E-2"/>
    <n v="1.0817307692307692E-2"/>
    <n v="0.96274038461538458"/>
    <n v="0.6"/>
    <n v="609.75"/>
    <n v="1.3644936449364493"/>
    <n v="1.3333333333333333"/>
    <n v="1.0233702337023372"/>
    <n v="0.96274038461538458"/>
    <n v="0.93031358885017401"/>
    <n v="26.010276442307692"/>
    <n v="6.6760353151581011"/>
    <s v="Low"/>
    <s v="Normal"/>
  </r>
  <r>
    <n v="49"/>
    <d v="2026-03-13T00:00:00"/>
    <x v="1"/>
    <s v="Plant A"/>
    <x v="1"/>
    <x v="6"/>
    <x v="2"/>
    <x v="1"/>
    <s v="B260313-0049"/>
    <s v="OP102"/>
    <n v="816"/>
    <n v="656"/>
    <n v="612"/>
    <n v="44"/>
    <n v="18"/>
    <n v="48"/>
    <s v="Setup Time"/>
    <n v="45"/>
    <n v="47"/>
    <n v="74.5"/>
    <n v="1.98"/>
    <n v="21.85"/>
    <n v="13248.21"/>
    <n v="6.99"/>
    <s v="Completed"/>
    <n v="21"/>
    <n v="21177.919999999998"/>
    <n v="0.93292682926829296"/>
    <n v="16590.36"/>
    <n v="363.51795731707301"/>
    <n v="612"/>
    <n v="0.92156862745098"/>
    <n v="4224.0420426829196"/>
    <n v="0.80392156862745101"/>
    <n v="6.7073170731707321E-2"/>
    <n v="2.7439024390243903E-2"/>
    <n v="0.93292682926829273"/>
    <n v="0.8"/>
    <n v="564"/>
    <n v="1.1631205673758864"/>
    <n v="1.3333333333333333"/>
    <n v="0.87234042553191482"/>
    <n v="0.93292682926829273"/>
    <n v="0.74999999999999967"/>
    <n v="25.290182926829271"/>
    <n v="6.4390884796995724"/>
    <s v="High"/>
    <s v="Warning"/>
  </r>
  <r>
    <n v="50"/>
    <d v="2026-03-25T00:00:00"/>
    <x v="1"/>
    <s v="Plant A"/>
    <x v="0"/>
    <x v="3"/>
    <x v="0"/>
    <x v="4"/>
    <s v="B260325-0050"/>
    <s v="OP106"/>
    <n v="589"/>
    <n v="625"/>
    <n v="605"/>
    <n v="20"/>
    <n v="4"/>
    <n v="0"/>
    <s v="No Downtime"/>
    <n v="57"/>
    <n v="58"/>
    <n v="73.3"/>
    <n v="2.56"/>
    <n v="23.01"/>
    <n v="17243.05"/>
    <n v="8.7200000000000006"/>
    <s v="Completed"/>
    <n v="20"/>
    <n v="28638.93"/>
    <n v="0.96799999999999997"/>
    <n v="21374.14"/>
    <n v="110.35552"/>
    <n v="559.54999999999995"/>
    <n v="1"/>
    <n v="7154.4344799999999"/>
    <n v="1.0611205432937181"/>
    <n v="3.2000000000000001E-2"/>
    <n v="6.4000000000000003E-3"/>
    <n v="0.96799999999999997"/>
    <n v="0"/>
    <n v="559.54999999999995"/>
    <n v="1.116968992940756"/>
    <n v="1.0526315789473684"/>
    <n v="1.0611205432937183"/>
    <n v="0.96799999999999997"/>
    <n v="1.0271646859083192"/>
    <n v="34.198624000000002"/>
    <n v="11.447095168000001"/>
    <s v="Low"/>
    <s v="Normal"/>
  </r>
  <r>
    <n v="51"/>
    <d v="2026-01-15T00:00:00"/>
    <x v="2"/>
    <s v="Plant A"/>
    <x v="3"/>
    <x v="7"/>
    <x v="2"/>
    <x v="1"/>
    <s v="B260115-0051"/>
    <s v="OP117"/>
    <n v="828"/>
    <n v="659"/>
    <n v="630"/>
    <n v="29"/>
    <n v="11"/>
    <n v="31"/>
    <s v="Machine Breakdown"/>
    <n v="45"/>
    <n v="47"/>
    <n v="66.400000000000006"/>
    <n v="2.46"/>
    <n v="19.920000000000002"/>
    <n v="14192.26"/>
    <n v="7.99"/>
    <s v="Overdue"/>
    <n v="43"/>
    <n v="22147.11"/>
    <n v="0.95599393019726897"/>
    <n v="17967.04"/>
    <n v="236.89660091047"/>
    <n v="621"/>
    <n v="0.95008051529790705"/>
    <n v="3943.17339908953"/>
    <n v="0.79589371980676327"/>
    <n v="4.4006069802731411E-2"/>
    <n v="1.6691957511380879E-2"/>
    <n v="0.95599393019726864"/>
    <n v="0.51666666666666672"/>
    <n v="590"/>
    <n v="1.1169491525423729"/>
    <n v="1.3333333333333333"/>
    <n v="0.83771186440677969"/>
    <n v="0.95599393019726864"/>
    <n v="0.7608695652173918"/>
    <n v="27.264097116843704"/>
    <n v="5.9835711670554321"/>
    <s v="High"/>
    <s v="Warning"/>
  </r>
  <r>
    <n v="52"/>
    <d v="2026-06-13T00:00:00"/>
    <x v="0"/>
    <s v="Plant B"/>
    <x v="4"/>
    <x v="14"/>
    <x v="0"/>
    <x v="2"/>
    <s v="B260613-0052"/>
    <s v="OP111"/>
    <n v="655"/>
    <n v="690"/>
    <n v="627"/>
    <n v="63"/>
    <n v="17"/>
    <n v="0"/>
    <s v="No Downtime"/>
    <n v="64"/>
    <n v="65"/>
    <n v="69.8"/>
    <n v="2.21"/>
    <n v="20.03"/>
    <n v="22020.93"/>
    <n v="8.35"/>
    <s v="Scheduled"/>
    <n v="5"/>
    <n v="31775.3"/>
    <n v="0.90869565217391302"/>
    <n v="25958.7"/>
    <n v="542.54465217391305"/>
    <n v="698.66666666666697"/>
    <n v="1"/>
    <n v="5274.0553478260899"/>
    <n v="1.0534351145038168"/>
    <n v="9.1304347826086957E-2"/>
    <n v="2.4637681159420291E-2"/>
    <n v="0.90869565217391302"/>
    <n v="0"/>
    <n v="698.66666666666697"/>
    <n v="0.98759541984732779"/>
    <n v="0.9375"/>
    <n v="1.0534351145038163"/>
    <n v="0.90869565217391302"/>
    <n v="0.95725190839694607"/>
    <n v="37.62130434782609"/>
    <n v="7.6435584751102752"/>
    <s v="Medium"/>
    <s v="Warning"/>
  </r>
  <r>
    <n v="53"/>
    <d v="2026-06-12T00:00:00"/>
    <x v="0"/>
    <s v="Plant A"/>
    <x v="2"/>
    <x v="9"/>
    <x v="0"/>
    <x v="1"/>
    <s v="B260612-0053"/>
    <s v="OP123"/>
    <n v="755"/>
    <n v="691"/>
    <n v="657"/>
    <n v="34"/>
    <n v="12"/>
    <n v="29"/>
    <s v="Preventive Maintenance"/>
    <n v="45"/>
    <n v="48"/>
    <n v="69.400000000000006"/>
    <n v="2.13"/>
    <n v="25.47"/>
    <n v="14275.13"/>
    <n v="8.51"/>
    <s v="Pending"/>
    <n v="28"/>
    <n v="23497.55"/>
    <n v="0.95079594790159205"/>
    <n v="18333.86"/>
    <n v="247.903849493488"/>
    <n v="566.25"/>
    <n v="0.94878587196468001"/>
    <n v="4915.7861505065202"/>
    <n v="0.91523178807947014"/>
    <n v="4.9204052098408106E-2"/>
    <n v="1.7366136034732273E-2"/>
    <n v="0.95079594790159194"/>
    <n v="0.48333333333333334"/>
    <n v="537.25"/>
    <n v="1.2861796184271754"/>
    <n v="1.3333333333333333"/>
    <n v="0.96463471382038157"/>
    <n v="0.95079594790159194"/>
    <n v="0.87019867549668883"/>
    <n v="26.532358900144718"/>
    <n v="7.1140175839457598"/>
    <s v="Medium"/>
    <s v="Normal"/>
  </r>
  <r>
    <n v="54"/>
    <d v="2026-06-10T00:00:00"/>
    <x v="0"/>
    <s v="Plant B"/>
    <x v="3"/>
    <x v="7"/>
    <x v="0"/>
    <x v="3"/>
    <s v="B260610-0054"/>
    <s v="OP120"/>
    <n v="760"/>
    <n v="757"/>
    <n v="721"/>
    <n v="36"/>
    <n v="15"/>
    <n v="17"/>
    <s v="Power Failure"/>
    <n v="49"/>
    <n v="47"/>
    <n v="69.2"/>
    <n v="2.33"/>
    <n v="23.08"/>
    <n v="16423.14"/>
    <n v="9.08"/>
    <s v="Overdue"/>
    <n v="10"/>
    <n v="27790.76"/>
    <n v="0.952443857331572"/>
    <n v="20716.86"/>
    <n v="325.42549537648603"/>
    <n v="620.66666666666697"/>
    <n v="0.972610096670247"/>
    <n v="6748.4745046235103"/>
    <n v="0.99605263157894741"/>
    <n v="4.7556142668428003E-2"/>
    <n v="1.9815059445178335E-2"/>
    <n v="0.952443857331572"/>
    <n v="0.28333333333333333"/>
    <n v="603.66666666666697"/>
    <n v="1.2540033130866919"/>
    <n v="1.2244897959183674"/>
    <n v="1.024102705687465"/>
    <n v="0.952443857331572"/>
    <n v="0.94868421052631535"/>
    <n v="27.367054161162486"/>
    <n v="8.9147615648923519"/>
    <s v="High"/>
    <s v="Normal"/>
  </r>
  <r>
    <n v="55"/>
    <d v="2026-01-11T00:00:00"/>
    <x v="2"/>
    <s v="Plant B"/>
    <x v="2"/>
    <x v="9"/>
    <x v="0"/>
    <x v="4"/>
    <s v="B260111-0055"/>
    <s v="OP133"/>
    <n v="558"/>
    <n v="618"/>
    <n v="585"/>
    <n v="33"/>
    <n v="10"/>
    <n v="29"/>
    <s v="Operator Issue"/>
    <n v="57"/>
    <n v="63"/>
    <n v="75.599999999999994"/>
    <n v="2.74"/>
    <n v="23.64"/>
    <n v="17847.34"/>
    <n v="9.39"/>
    <s v="Scheduled"/>
    <n v="3"/>
    <n v="27198.85"/>
    <n v="0.94660194174757295"/>
    <n v="22285.599999999999"/>
    <n v="288.791909385113"/>
    <n v="530.1"/>
    <n v="0.94529334087908001"/>
    <n v="4624.4580906148904"/>
    <n v="1.10752688172043"/>
    <n v="5.3398058252427182E-2"/>
    <n v="1.6181229773462782E-2"/>
    <n v="0.94660194174757284"/>
    <n v="0.48333333333333334"/>
    <n v="501.1"/>
    <n v="1.2332867691079625"/>
    <n v="1.0526315789473684"/>
    <n v="1.1716224306525644"/>
    <n v="0.94660194174757284"/>
    <n v="1.0483870967741944"/>
    <n v="36.060841423948219"/>
    <n v="7.4829418941988521"/>
    <s v="Low"/>
    <s v="Normal"/>
  </r>
  <r>
    <n v="56"/>
    <d v="2026-01-14T00:00:00"/>
    <x v="2"/>
    <s v="Plant B"/>
    <x v="0"/>
    <x v="1"/>
    <x v="0"/>
    <x v="1"/>
    <s v="B260114-0056"/>
    <s v="OP119"/>
    <n v="809"/>
    <n v="821"/>
    <n v="782"/>
    <n v="39"/>
    <n v="10"/>
    <n v="0"/>
    <s v="No Downtime"/>
    <n v="45"/>
    <n v="49"/>
    <n v="68.7"/>
    <n v="2.59"/>
    <n v="33.32"/>
    <n v="16612.29"/>
    <n v="9.3000000000000007"/>
    <s v="Overdue"/>
    <n v="28"/>
    <n v="27057.3"/>
    <n v="0.95249695493300901"/>
    <n v="21097.17"/>
    <n v="202.34214372716201"/>
    <n v="606.75"/>
    <n v="1"/>
    <n v="5757.7878562728401"/>
    <n v="1.0148331273176761"/>
    <n v="4.7503045066991476E-2"/>
    <n v="1.2180267965895249E-2"/>
    <n v="0.95249695493300857"/>
    <n v="0"/>
    <n v="606.75"/>
    <n v="1.3531108364235682"/>
    <n v="1.3333333333333333"/>
    <n v="1.0148331273176763"/>
    <n v="0.95249695493300857"/>
    <n v="0.96662546353522882"/>
    <n v="25.696918392204626"/>
    <n v="7.0131398980180757"/>
    <s v="High"/>
    <s v="Normal"/>
  </r>
  <r>
    <n v="57"/>
    <d v="2026-04-07T00:00:00"/>
    <x v="5"/>
    <s v="Plant B"/>
    <x v="3"/>
    <x v="11"/>
    <x v="1"/>
    <x v="2"/>
    <s v="B260407-0057"/>
    <s v="OP134"/>
    <n v="473"/>
    <n v="472"/>
    <n v="437"/>
    <n v="35"/>
    <n v="13"/>
    <n v="30"/>
    <s v="Machine Breakdown"/>
    <n v="64"/>
    <n v="63"/>
    <n v="70.099999999999994"/>
    <n v="2.14"/>
    <n v="15.81"/>
    <n v="15220.42"/>
    <n v="10.09"/>
    <s v="Completed"/>
    <n v="13"/>
    <n v="22501.439999999999"/>
    <n v="0.92584745762711895"/>
    <n v="19903.21"/>
    <n v="419.206483050847"/>
    <n v="504.53333333333302"/>
    <n v="0.94053911205074003"/>
    <n v="2179.0235169491498"/>
    <n v="0.9978858350951374"/>
    <n v="7.4152542372881353E-2"/>
    <n v="2.7542372881355932E-2"/>
    <n v="0.92584745762711862"/>
    <n v="0.5"/>
    <n v="474.53333333333302"/>
    <n v="0.99466142174768257"/>
    <n v="0.9375"/>
    <n v="1.0609721831975281"/>
    <n v="0.92584745762711862"/>
    <n v="0.92389006342494784"/>
    <n v="42.167817796610166"/>
    <n v="4.6165752477736222"/>
    <s v="Low"/>
    <s v="Normal"/>
  </r>
  <r>
    <n v="58"/>
    <d v="2026-06-08T00:00:00"/>
    <x v="0"/>
    <s v="Plant A"/>
    <x v="2"/>
    <x v="10"/>
    <x v="0"/>
    <x v="0"/>
    <s v="B260608-0058"/>
    <s v="OP111"/>
    <n v="944"/>
    <n v="913"/>
    <n v="831"/>
    <n v="82"/>
    <n v="34"/>
    <n v="8"/>
    <s v="Preventive Maintenance"/>
    <n v="42"/>
    <n v="46"/>
    <n v="72.8"/>
    <n v="1.82"/>
    <n v="35.44"/>
    <n v="16270.31"/>
    <n v="9.1300000000000008"/>
    <s v="Scheduled"/>
    <n v="30"/>
    <n v="26497.22"/>
    <n v="0.91018619934282596"/>
    <n v="20697.77"/>
    <n v="605.904205914567"/>
    <n v="660.8"/>
    <n v="0.98789346246973397"/>
    <n v="5193.5457940854403"/>
    <n v="0.96716101694915257"/>
    <n v="8.9813800657174148E-2"/>
    <n v="3.7239868565169768E-2"/>
    <n v="0.91018619934282585"/>
    <n v="0.13333333333333333"/>
    <n v="652.79999999999995"/>
    <n v="1.3985906862745099"/>
    <n v="1.4285714285714286"/>
    <n v="0.97901348039215685"/>
    <n v="0.91018619934282585"/>
    <n v="0.88029661016949179"/>
    <n v="22.670065717415117"/>
    <n v="5.6884400811450604"/>
    <s v="Medium"/>
    <s v="Warning"/>
  </r>
  <r>
    <n v="59"/>
    <d v="2026-03-14T00:00:00"/>
    <x v="1"/>
    <s v="Plant B"/>
    <x v="2"/>
    <x v="9"/>
    <x v="0"/>
    <x v="0"/>
    <s v="B260314-0059"/>
    <s v="OP113"/>
    <n v="790"/>
    <n v="804"/>
    <n v="773"/>
    <n v="31"/>
    <n v="9"/>
    <n v="31"/>
    <s v="Material Shortage"/>
    <n v="42"/>
    <n v="46"/>
    <n v="66.2"/>
    <n v="2.19"/>
    <n v="29.99"/>
    <n v="14145.26"/>
    <n v="10.39"/>
    <s v="Pending"/>
    <n v="37"/>
    <n v="25306.85"/>
    <n v="0.96144278606965194"/>
    <n v="19090.669999999998"/>
    <n v="158.34246268656699"/>
    <n v="553"/>
    <n v="0.94394213381555203"/>
    <n v="6057.8375373134304"/>
    <n v="1.0177215189873419"/>
    <n v="3.8557213930348257E-2"/>
    <n v="1.1194029850746268E-2"/>
    <n v="0.96144278606965172"/>
    <n v="0.51666666666666672"/>
    <n v="522"/>
    <n v="1.5402298850574712"/>
    <n v="1.4285714285714286"/>
    <n v="1.0781609195402297"/>
    <n v="0.96144278606965172"/>
    <n v="0.97848101265822818"/>
    <n v="23.744614427860693"/>
    <n v="7.5346238026286452"/>
    <s v="Medium"/>
    <s v="Normal"/>
  </r>
  <r>
    <n v="60"/>
    <d v="2026-01-07T00:00:00"/>
    <x v="2"/>
    <s v="Plant B"/>
    <x v="0"/>
    <x v="1"/>
    <x v="1"/>
    <x v="0"/>
    <s v="B260107-0060"/>
    <s v="OP106"/>
    <n v="911"/>
    <n v="855"/>
    <n v="802"/>
    <n v="53"/>
    <n v="16"/>
    <n v="18"/>
    <s v="Quality Inspection"/>
    <n v="42"/>
    <n v="42"/>
    <n v="72.8"/>
    <n v="2.17"/>
    <n v="34.35"/>
    <n v="15758.87"/>
    <n v="8.66"/>
    <s v="Overdue"/>
    <n v="27"/>
    <n v="24923.34"/>
    <n v="0.93801169590643296"/>
    <n v="19965.02"/>
    <n v="294.90283040935702"/>
    <n v="637.70000000000005"/>
    <n v="0.97177356123569103"/>
    <n v="4663.4171695906398"/>
    <n v="0.93852908891328213"/>
    <n v="6.1988304093567252E-2"/>
    <n v="1.8713450292397661E-2"/>
    <n v="0.93801169590643274"/>
    <n v="0.3"/>
    <n v="619.70000000000005"/>
    <n v="1.3796998547684363"/>
    <n v="1.4285714285714286"/>
    <n v="0.96578989833790541"/>
    <n v="0.93801169590643274"/>
    <n v="0.88035126234906713"/>
    <n v="23.350900584795323"/>
    <n v="5.4542890872405145"/>
    <s v="High"/>
    <s v="Normal"/>
  </r>
  <r>
    <n v="61"/>
    <d v="2026-02-25T00:00:00"/>
    <x v="4"/>
    <s v="Plant A"/>
    <x v="2"/>
    <x v="9"/>
    <x v="1"/>
    <x v="3"/>
    <s v="B260225-0061"/>
    <s v="OP119"/>
    <n v="741"/>
    <n v="714"/>
    <n v="682"/>
    <n v="32"/>
    <n v="8"/>
    <n v="29"/>
    <s v="Operator Issue"/>
    <n v="49"/>
    <n v="50"/>
    <n v="79"/>
    <n v="1.99"/>
    <n v="22.84"/>
    <n v="15924.41"/>
    <n v="7.7"/>
    <s v="Scheduled"/>
    <n v="35"/>
    <n v="26171.59"/>
    <n v="0.95518207282913203"/>
    <n v="19594.97"/>
    <n v="178.42476190476199"/>
    <n v="605.15"/>
    <n v="0.95207799719077901"/>
    <n v="6398.1952380952398"/>
    <n v="0.96356275303643724"/>
    <n v="4.4817927170868348E-2"/>
    <n v="1.1204481792717087E-2"/>
    <n v="0.9551820728291317"/>
    <n v="0.48333333333333334"/>
    <n v="576.15"/>
    <n v="1.2392606092163501"/>
    <n v="1.2244897959183674"/>
    <n v="1.0120628308600192"/>
    <n v="0.9551820728291317"/>
    <n v="0.92037786774628882"/>
    <n v="27.443935574229695"/>
    <n v="8.9610577564359097"/>
    <s v="Medium"/>
    <s v="Normal"/>
  </r>
  <r>
    <n v="62"/>
    <d v="2026-01-22T00:00:00"/>
    <x v="2"/>
    <s v="Plant B"/>
    <x v="0"/>
    <x v="0"/>
    <x v="1"/>
    <x v="1"/>
    <s v="B260122-0062"/>
    <s v="OP133"/>
    <n v="690"/>
    <n v="685"/>
    <n v="651"/>
    <n v="34"/>
    <n v="9"/>
    <n v="0"/>
    <s v="No Downtime"/>
    <n v="45"/>
    <n v="49"/>
    <n v="72"/>
    <n v="2.14"/>
    <n v="25.71"/>
    <n v="14500.01"/>
    <n v="9.56"/>
    <s v="Completed"/>
    <n v="22"/>
    <n v="22162.06"/>
    <n v="0.95036496350364996"/>
    <n v="19033.400000000001"/>
    <n v="190.51108029197101"/>
    <n v="517.5"/>
    <n v="1"/>
    <n v="2938.14891970803"/>
    <n v="0.99275362318840576"/>
    <n v="4.9635036496350364E-2"/>
    <n v="1.3138686131386862E-2"/>
    <n v="0.95036496350364963"/>
    <n v="0"/>
    <n v="517.5"/>
    <n v="1.3236714975845412"/>
    <n v="1.3333333333333333"/>
    <n v="0.99275362318840588"/>
    <n v="0.95036496350364963"/>
    <n v="0.94347826086956532"/>
    <n v="27.785985401459858"/>
    <n v="4.2892684959241318"/>
    <s v="Low"/>
    <s v="Normal"/>
  </r>
  <r>
    <n v="63"/>
    <d v="2026-05-20T00:00:00"/>
    <x v="3"/>
    <s v="Plant B"/>
    <x v="3"/>
    <x v="11"/>
    <x v="1"/>
    <x v="1"/>
    <s v="B260520-0063"/>
    <s v="OP112"/>
    <n v="749"/>
    <n v="724"/>
    <n v="669"/>
    <n v="55"/>
    <n v="13"/>
    <n v="6"/>
    <s v="Machine Breakdown"/>
    <n v="45"/>
    <n v="44"/>
    <n v="75"/>
    <n v="0.76"/>
    <n v="27.62"/>
    <n v="14587.27"/>
    <n v="9.4499999999999993"/>
    <s v="Overdue"/>
    <n v="26"/>
    <n v="23178.87"/>
    <n v="0.924033149171271"/>
    <n v="19088.349999999999"/>
    <n v="261.92611878452999"/>
    <n v="561.75"/>
    <n v="0.98931909212282998"/>
    <n v="3828.59388121547"/>
    <n v="0.96662216288384517"/>
    <n v="7.5966850828729282E-2"/>
    <n v="1.7955801104972375E-2"/>
    <n v="0.92403314917127077"/>
    <n v="0.1"/>
    <n v="555.75"/>
    <n v="1.3027440395861449"/>
    <n v="1.3333333333333333"/>
    <n v="0.97705802968960875"/>
    <n v="0.92403314917127077"/>
    <n v="0.89319092122830424"/>
    <n v="26.365124309392264"/>
    <n v="5.2881130956014779"/>
    <s v="High"/>
    <s v="Normal"/>
  </r>
  <r>
    <n v="64"/>
    <d v="2026-02-01T00:00:00"/>
    <x v="4"/>
    <s v="Plant B"/>
    <x v="1"/>
    <x v="2"/>
    <x v="1"/>
    <x v="2"/>
    <s v="B260201-0064"/>
    <s v="OP125"/>
    <n v="536"/>
    <n v="595"/>
    <n v="561"/>
    <n v="34"/>
    <n v="7"/>
    <n v="0"/>
    <s v="No Downtime"/>
    <n v="64"/>
    <n v="70"/>
    <n v="63.1"/>
    <n v="1.96"/>
    <n v="21.32"/>
    <n v="18545.650000000001"/>
    <n v="9.17"/>
    <s v="Completed"/>
    <n v="20"/>
    <n v="29453.66"/>
    <n v="0.94285714285714295"/>
    <n v="22864.03"/>
    <n v="218.184117647059"/>
    <n v="571.73333333333301"/>
    <n v="1"/>
    <n v="6371.4458823529403"/>
    <n v="1.1100746268656716"/>
    <n v="5.7142857142857141E-2"/>
    <n v="1.1764705882352941E-2"/>
    <n v="0.94285714285714284"/>
    <n v="0"/>
    <n v="571.73333333333301"/>
    <n v="1.0406949626865678"/>
    <n v="0.9375"/>
    <n v="1.1100746268656723"/>
    <n v="0.94285714285714284"/>
    <n v="1.0466417910447767"/>
    <n v="38.426941176470585"/>
    <n v="10.708312407315866"/>
    <s v="Low"/>
    <s v="Normal"/>
  </r>
  <r>
    <n v="65"/>
    <d v="2026-03-20T00:00:00"/>
    <x v="1"/>
    <s v="Plant B"/>
    <x v="2"/>
    <x v="9"/>
    <x v="1"/>
    <x v="1"/>
    <s v="B260320-0065"/>
    <s v="OP123"/>
    <n v="908"/>
    <n v="877"/>
    <n v="840"/>
    <n v="37"/>
    <n v="14"/>
    <n v="10"/>
    <s v="Setup Time"/>
    <n v="45"/>
    <n v="45"/>
    <n v="70.5"/>
    <n v="2.63"/>
    <n v="33.03"/>
    <n v="17207.830000000002"/>
    <n v="8.89"/>
    <s v="Pending"/>
    <n v="31"/>
    <n v="28579.39"/>
    <n v="0.95781071835803899"/>
    <n v="21505.599999999999"/>
    <n v="274.69740022805001"/>
    <n v="681"/>
    <n v="0.98531571218795899"/>
    <n v="6799.0925997719496"/>
    <n v="0.96585903083700442"/>
    <n v="4.2189281641961229E-2"/>
    <n v="1.596351197263398E-2"/>
    <n v="0.95781071835803877"/>
    <n v="0.16666666666666666"/>
    <n v="671"/>
    <n v="1.3070044709388973"/>
    <n v="1.3333333333333333"/>
    <n v="0.98025335320417295"/>
    <n v="0.95781071835803877"/>
    <n v="0.92511013215859039"/>
    <n v="24.521778791334093"/>
    <n v="7.7526711513933293"/>
    <s v="Medium"/>
    <s v="Normal"/>
  </r>
  <r>
    <n v="66"/>
    <d v="2026-01-18T00:00:00"/>
    <x v="2"/>
    <s v="Plant A"/>
    <x v="4"/>
    <x v="13"/>
    <x v="0"/>
    <x v="4"/>
    <s v="B260118-0066"/>
    <s v="OP110"/>
    <n v="693"/>
    <n v="675"/>
    <n v="641"/>
    <n v="34"/>
    <n v="14"/>
    <n v="10"/>
    <s v="Machine Breakdown"/>
    <n v="57"/>
    <n v="56"/>
    <n v="69.099999999999994"/>
    <n v="2.36"/>
    <n v="19.55"/>
    <n v="18602.03"/>
    <n v="9.9499999999999993"/>
    <s v="Completed"/>
    <n v="31"/>
    <n v="29972.46"/>
    <n v="0.94962962962963005"/>
    <n v="23255.48"/>
    <n v="385.81988148148201"/>
    <n v="658.35"/>
    <n v="0.98481051112630102"/>
    <n v="6331.16011851852"/>
    <n v="0.97402597402597402"/>
    <n v="5.0370370370370371E-2"/>
    <n v="2.074074074074074E-2"/>
    <n v="0.9496296296296296"/>
    <n v="0.16666666666666666"/>
    <n v="648.35"/>
    <n v="1.0411043417906993"/>
    <n v="1.0526315789473684"/>
    <n v="0.98904912470116446"/>
    <n v="0.9496296296296296"/>
    <n v="0.92496392496392532"/>
    <n v="34.452562962962965"/>
    <n v="9.379496471879289"/>
    <s v="Medium"/>
    <s v="Normal"/>
  </r>
  <r>
    <n v="67"/>
    <d v="2026-06-30T00:00:00"/>
    <x v="0"/>
    <s v="Plant B"/>
    <x v="3"/>
    <x v="11"/>
    <x v="0"/>
    <x v="2"/>
    <s v="B260630-0067"/>
    <s v="OP132"/>
    <n v="501"/>
    <n v="439"/>
    <n v="406"/>
    <n v="33"/>
    <n v="10"/>
    <n v="10"/>
    <s v="Power Failure"/>
    <n v="64"/>
    <n v="62"/>
    <n v="63.2"/>
    <n v="1.93"/>
    <n v="18.07"/>
    <n v="13954.9"/>
    <n v="8.99"/>
    <s v="Pending"/>
    <n v="31"/>
    <n v="21484.03"/>
    <n v="0.92482915717539904"/>
    <n v="18163.03"/>
    <n v="317.879271070615"/>
    <n v="534.4"/>
    <n v="0.98128742514970102"/>
    <n v="3003.1207289293802"/>
    <n v="0.87624750499001991"/>
    <n v="7.5170842824601361E-2"/>
    <n v="2.2779043280182234E-2"/>
    <n v="0.9248291571753986"/>
    <n v="0.16666666666666666"/>
    <n v="524.4"/>
    <n v="0.83714721586575136"/>
    <n v="0.9375"/>
    <n v="0.8929570302568014"/>
    <n v="0.9248291571753986"/>
    <n v="0.81037924151696639"/>
    <n v="41.373644646924824"/>
    <n v="6.8408217059894767"/>
    <s v="Medium"/>
    <s v="Warning"/>
  </r>
  <r>
    <n v="68"/>
    <d v="2026-05-11T00:00:00"/>
    <x v="3"/>
    <s v="Plant A"/>
    <x v="0"/>
    <x v="3"/>
    <x v="2"/>
    <x v="0"/>
    <s v="B260511-0068"/>
    <s v="OP132"/>
    <n v="733"/>
    <n v="638"/>
    <n v="612"/>
    <n v="26"/>
    <n v="9"/>
    <n v="6"/>
    <s v="Setup Time"/>
    <n v="42"/>
    <n v="42"/>
    <n v="73.400000000000006"/>
    <n v="1.93"/>
    <n v="22.14"/>
    <n v="11674.73"/>
    <n v="7.92"/>
    <s v="Completed"/>
    <n v="34"/>
    <n v="19369"/>
    <n v="0.95924764890282099"/>
    <n v="15437.99"/>
    <n v="164.690548589342"/>
    <n v="513.1"/>
    <n v="0.98830637302669999"/>
    <n v="3766.3194514106599"/>
    <n v="0.87039563437926326"/>
    <n v="4.0752351097178681E-2"/>
    <n v="1.4106583072100314E-2"/>
    <n v="0.95924764890282133"/>
    <n v="0.1"/>
    <n v="507.1"/>
    <n v="1.2581344902386116"/>
    <n v="1.4285714285714286"/>
    <n v="0.8806941431670281"/>
    <n v="0.95924764890282133"/>
    <n v="0.83492496589358756"/>
    <n v="24.197476489028212"/>
    <n v="5.9033220241546394"/>
    <s v="Medium"/>
    <s v="Warning"/>
  </r>
  <r>
    <n v="69"/>
    <d v="2026-01-19T00:00:00"/>
    <x v="2"/>
    <s v="Plant B"/>
    <x v="1"/>
    <x v="6"/>
    <x v="1"/>
    <x v="0"/>
    <s v="B260119-0069"/>
    <s v="OP112"/>
    <n v="786"/>
    <n v="790"/>
    <n v="740"/>
    <n v="50"/>
    <n v="20"/>
    <n v="18"/>
    <s v="Machine Breakdown"/>
    <n v="42"/>
    <n v="41"/>
    <n v="75.8"/>
    <n v="1.97"/>
    <n v="31.62"/>
    <n v="14851.86"/>
    <n v="9.06"/>
    <s v="Completed"/>
    <n v="27"/>
    <n v="23399.85"/>
    <n v="0.936708860759494"/>
    <n v="19213.439999999999"/>
    <n v="375.99645569620299"/>
    <n v="550.20000000000005"/>
    <n v="0.96728462377317304"/>
    <n v="3810.4135443037899"/>
    <n v="1.005089058524173"/>
    <n v="6.3291139240506333E-2"/>
    <n v="2.5316455696202531E-2"/>
    <n v="0.93670886075949367"/>
    <n v="0.3"/>
    <n v="532.20000000000005"/>
    <n v="1.4844043592634346"/>
    <n v="1.4285714285714286"/>
    <n v="1.0390830514844043"/>
    <n v="0.93670886075949367"/>
    <n v="0.94147582697200971"/>
    <n v="24.320810126582277"/>
    <n v="4.8233082839288484"/>
    <s v="Low"/>
    <s v="Normal"/>
  </r>
  <r>
    <n v="70"/>
    <d v="2026-05-17T00:00:00"/>
    <x v="3"/>
    <s v="Plant A"/>
    <x v="2"/>
    <x v="9"/>
    <x v="0"/>
    <x v="2"/>
    <s v="B260517-0070"/>
    <s v="OP110"/>
    <n v="493"/>
    <n v="465"/>
    <n v="445"/>
    <n v="20"/>
    <n v="7"/>
    <n v="16"/>
    <s v="Operator Issue"/>
    <n v="64"/>
    <n v="66"/>
    <n v="72.5"/>
    <n v="1.96"/>
    <n v="17.48"/>
    <n v="14876.79"/>
    <n v="8.09"/>
    <s v="Scheduled"/>
    <n v="13"/>
    <n v="23137.279999999999"/>
    <n v="0.956989247311828"/>
    <n v="18674.61"/>
    <n v="223.95167741935501"/>
    <n v="525.86666666666702"/>
    <n v="0.96957403651115603"/>
    <n v="4238.7183225806402"/>
    <n v="0.94320486815415816"/>
    <n v="4.3010752688172046E-2"/>
    <n v="1.5053763440860216E-2"/>
    <n v="0.956989247311828"/>
    <n v="0.26666666666666666"/>
    <n v="509.86666666666702"/>
    <n v="0.91200313807531319"/>
    <n v="0.9375"/>
    <n v="0.97280334728033402"/>
    <n v="0.956989247311828"/>
    <n v="0.90263691683569902"/>
    <n v="40.160451612903231"/>
    <n v="9.1155232743669679"/>
    <s v="Low"/>
    <s v="Normal"/>
  </r>
  <r>
    <n v="71"/>
    <d v="2026-06-10T00:00:00"/>
    <x v="0"/>
    <s v="Plant B"/>
    <x v="4"/>
    <x v="13"/>
    <x v="0"/>
    <x v="1"/>
    <s v="B260610-0071"/>
    <s v="OP126"/>
    <n v="832"/>
    <n v="772"/>
    <n v="723"/>
    <n v="49"/>
    <n v="13"/>
    <n v="13"/>
    <s v="Power Failure"/>
    <n v="45"/>
    <n v="46"/>
    <n v="74.3"/>
    <n v="2.33"/>
    <n v="26.47"/>
    <n v="15854.45"/>
    <n v="7.01"/>
    <s v="Completed"/>
    <n v="21"/>
    <n v="24731.88"/>
    <n v="0.93652849740932598"/>
    <n v="19247.18"/>
    <n v="266.97908031088099"/>
    <n v="624"/>
    <n v="0.97916666666666696"/>
    <n v="5217.7209196891199"/>
    <n v="0.92788461538461542"/>
    <n v="6.3471502590673579E-2"/>
    <n v="1.683937823834197E-2"/>
    <n v="0.93652849740932642"/>
    <n v="0.21666666666666667"/>
    <n v="611"/>
    <n v="1.2635024549918168"/>
    <n v="1.3333333333333333"/>
    <n v="0.94762684124386265"/>
    <n v="0.93652849740932642"/>
    <n v="0.86899038461538491"/>
    <n v="24.931580310880829"/>
    <n v="6.7587058545195857"/>
    <s v="Low"/>
    <s v="Normal"/>
  </r>
  <r>
    <n v="72"/>
    <d v="2026-04-26T00:00:00"/>
    <x v="5"/>
    <s v="Plant A"/>
    <x v="3"/>
    <x v="8"/>
    <x v="0"/>
    <x v="2"/>
    <s v="B260426-0072"/>
    <s v="OP127"/>
    <n v="513"/>
    <n v="481"/>
    <n v="442"/>
    <n v="39"/>
    <n v="11"/>
    <n v="46"/>
    <s v="Setup Time"/>
    <n v="64"/>
    <n v="68"/>
    <n v="73.099999999999994"/>
    <n v="2.34"/>
    <n v="21.49"/>
    <n v="14177.47"/>
    <n v="7.97"/>
    <s v="Completed"/>
    <n v="15"/>
    <n v="22626.45"/>
    <n v="0.91891891891891897"/>
    <n v="17957.38"/>
    <n v="324.22488565488601"/>
    <n v="547.20000000000005"/>
    <n v="0.91593567251462005"/>
    <n v="4344.8451143451102"/>
    <n v="0.93762183235867447"/>
    <n v="8.1081081081081086E-2"/>
    <n v="2.286902286902287E-2"/>
    <n v="0.91891891891891897"/>
    <n v="0.76666666666666672"/>
    <n v="501.20000000000005"/>
    <n v="0.9596967278531523"/>
    <n v="0.9375"/>
    <n v="1.0236765097100291"/>
    <n v="0.91891891891891897"/>
    <n v="0.86159844054580903"/>
    <n v="37.333430353430359"/>
    <n v="9.0329420256655091"/>
    <s v="Medium"/>
    <s v="Warning"/>
  </r>
  <r>
    <n v="73"/>
    <d v="2026-05-30T00:00:00"/>
    <x v="3"/>
    <s v="Plant B"/>
    <x v="0"/>
    <x v="3"/>
    <x v="0"/>
    <x v="4"/>
    <s v="B260530-0073"/>
    <s v="OP131"/>
    <n v="593"/>
    <n v="617"/>
    <n v="599"/>
    <n v="18"/>
    <n v="6"/>
    <n v="6"/>
    <s v="Setup Time"/>
    <n v="57"/>
    <n v="61"/>
    <n v="67.2"/>
    <n v="1.56"/>
    <n v="18.2"/>
    <n v="17505.849999999999"/>
    <n v="8.4499999999999993"/>
    <s v="Overdue"/>
    <n v="31"/>
    <n v="27852.240000000002"/>
    <n v="0.97082658022690405"/>
    <n v="21472.15"/>
    <n v="170.235170178282"/>
    <n v="563.35"/>
    <n v="0.98934942753173005"/>
    <n v="6209.8548298217202"/>
    <n v="1.0404721753794266"/>
    <n v="2.9173419773095625E-2"/>
    <n v="9.7244732576985422E-3"/>
    <n v="0.97082658022690438"/>
    <n v="0.1"/>
    <n v="557.35"/>
    <n v="1.1070243114739391"/>
    <n v="1.0526315789473684"/>
    <n v="1.0516730959002423"/>
    <n v="0.97082658022690438"/>
    <n v="1.0101180438448569"/>
    <n v="34.800891410048628"/>
    <n v="10.064594537798573"/>
    <s v="High"/>
    <s v="Normal"/>
  </r>
  <r>
    <n v="74"/>
    <d v="2026-01-31T00:00:00"/>
    <x v="2"/>
    <s v="Plant A"/>
    <x v="0"/>
    <x v="1"/>
    <x v="0"/>
    <x v="2"/>
    <s v="B260131-0074"/>
    <s v="OP124"/>
    <n v="643"/>
    <n v="603"/>
    <n v="565"/>
    <n v="38"/>
    <n v="8"/>
    <n v="10"/>
    <s v="Machine Breakdown"/>
    <n v="64"/>
    <n v="62"/>
    <n v="70"/>
    <n v="1.28"/>
    <n v="24.29"/>
    <n v="19660.63"/>
    <n v="7.74"/>
    <s v="Scheduled"/>
    <n v="33"/>
    <n v="29585.37"/>
    <n v="0.93698175787728"/>
    <n v="23362.240000000002"/>
    <n v="260.83754560530701"/>
    <n v="685.86666666666702"/>
    <n v="0.98541990668740298"/>
    <n v="5962.2924543946901"/>
    <n v="0.93779160186625199"/>
    <n v="6.3018242122719739E-2"/>
    <n v="1.3266998341625208E-2"/>
    <n v="0.93698175787728022"/>
    <n v="0.16666666666666666"/>
    <n v="675.86666666666702"/>
    <n v="0.89218780824620192"/>
    <n v="0.9375"/>
    <n v="0.95166699546261535"/>
    <n v="0.93698175787728022"/>
    <n v="0.8786936236391909"/>
    <n v="38.743349917081261"/>
    <n v="9.8877155130923544"/>
    <s v="Medium"/>
    <s v="Normal"/>
  </r>
  <r>
    <n v="75"/>
    <d v="2026-03-18T00:00:00"/>
    <x v="1"/>
    <s v="Plant B"/>
    <x v="2"/>
    <x v="9"/>
    <x v="1"/>
    <x v="1"/>
    <s v="B260318-0075"/>
    <s v="OP120"/>
    <n v="923"/>
    <n v="905"/>
    <n v="865"/>
    <n v="40"/>
    <n v="16"/>
    <n v="38"/>
    <s v="Setup Time"/>
    <n v="45"/>
    <n v="47"/>
    <n v="64.3"/>
    <n v="2.0099999999999998"/>
    <n v="37.06"/>
    <n v="18725.34"/>
    <n v="9.39"/>
    <s v="Scheduled"/>
    <n v="11"/>
    <n v="29676.49"/>
    <n v="0.95580110497237603"/>
    <n v="23284.38"/>
    <n v="331.05573480663003"/>
    <n v="692.25"/>
    <n v="0.945106536655832"/>
    <n v="6061.0542651933702"/>
    <n v="0.98049837486457203"/>
    <n v="4.4198895027624308E-2"/>
    <n v="1.7679558011049725E-2"/>
    <n v="0.95580110497237569"/>
    <n v="0.6333333333333333"/>
    <n v="654.25"/>
    <n v="1.3832632785632404"/>
    <n v="1.3333333333333333"/>
    <n v="1.0374474589224303"/>
    <n v="0.95580110497237569"/>
    <n v="0.93716143011917619"/>
    <n v="25.728596685082874"/>
    <n v="6.6972975306004088"/>
    <s v="Low"/>
    <s v="Normal"/>
  </r>
  <r>
    <n v="76"/>
    <d v="2026-06-11T00:00:00"/>
    <x v="0"/>
    <s v="Plant B"/>
    <x v="3"/>
    <x v="11"/>
    <x v="0"/>
    <x v="4"/>
    <s v="B260611-0076"/>
    <s v="OP108"/>
    <n v="568"/>
    <n v="519"/>
    <n v="478"/>
    <n v="41"/>
    <n v="8"/>
    <n v="20"/>
    <s v="Power Failure"/>
    <n v="57"/>
    <n v="61"/>
    <n v="80.900000000000006"/>
    <n v="1.67"/>
    <n v="16.329999999999998"/>
    <n v="13972.86"/>
    <n v="8.58"/>
    <s v="Scheduled"/>
    <n v="21"/>
    <n v="21742.29"/>
    <n v="0.92100192678227399"/>
    <n v="17980.830000000002"/>
    <n v="215.381271676301"/>
    <n v="539.6"/>
    <n v="0.96293550778354298"/>
    <n v="3546.0787283237"/>
    <n v="0.91373239436619713"/>
    <n v="7.8998073217726394E-2"/>
    <n v="1.5414258188824663E-2"/>
    <n v="0.92100192678227355"/>
    <n v="0.33333333333333331"/>
    <n v="519.6"/>
    <n v="0.99884526558891451"/>
    <n v="1.0526315789473684"/>
    <n v="0.94890300230946889"/>
    <n v="0.92100192678227355"/>
    <n v="0.84154929577464754"/>
    <n v="34.645144508670526"/>
    <n v="6.8325216345350679"/>
    <s v="Medium"/>
    <s v="Warning"/>
  </r>
  <r>
    <n v="77"/>
    <d v="2026-02-14T00:00:00"/>
    <x v="4"/>
    <s v="Plant B"/>
    <x v="2"/>
    <x v="10"/>
    <x v="1"/>
    <x v="1"/>
    <s v="B260214-0077"/>
    <s v="OP117"/>
    <n v="927"/>
    <n v="788"/>
    <n v="716"/>
    <n v="72"/>
    <n v="29"/>
    <n v="46"/>
    <s v="Setup Time"/>
    <n v="45"/>
    <n v="47"/>
    <n v="75.3"/>
    <n v="2.0299999999999998"/>
    <n v="32.33"/>
    <n v="15421.01"/>
    <n v="8.02"/>
    <s v="Scheduled"/>
    <n v="24"/>
    <n v="25781.97"/>
    <n v="0.90862944162436499"/>
    <n v="19320.98"/>
    <n v="567.52447969543198"/>
    <n v="695.25"/>
    <n v="0.93383674937073002"/>
    <n v="5893.4655203045704"/>
    <n v="0.85005393743257818"/>
    <n v="9.1370558375634514E-2"/>
    <n v="3.6802030456852791E-2"/>
    <n v="0.90862944162436543"/>
    <n v="0.76666666666666672"/>
    <n v="649.25"/>
    <n v="1.2137081247593378"/>
    <n v="1.3333333333333333"/>
    <n v="0.91028109356950337"/>
    <n v="0.90862944162436543"/>
    <n v="0.77238403451995696"/>
    <n v="24.519010152284263"/>
    <n v="7.4790171577469167"/>
    <s v="High"/>
    <s v="Warning"/>
  </r>
  <r>
    <n v="78"/>
    <d v="2026-03-30T00:00:00"/>
    <x v="1"/>
    <s v="Plant A"/>
    <x v="4"/>
    <x v="14"/>
    <x v="0"/>
    <x v="1"/>
    <s v="B260330-0078"/>
    <s v="OP123"/>
    <n v="906"/>
    <n v="842"/>
    <n v="777"/>
    <n v="65"/>
    <n v="23"/>
    <n v="24"/>
    <s v="Operator Issue"/>
    <n v="45"/>
    <n v="45"/>
    <n v="68.3"/>
    <n v="1.99"/>
    <n v="27.08"/>
    <n v="18100.27"/>
    <n v="7.38"/>
    <s v="Completed"/>
    <n v="13"/>
    <n v="26542.639999999999"/>
    <n v="0.92280285035629495"/>
    <n v="21664.99"/>
    <n v="494.42542755344402"/>
    <n v="679.5"/>
    <n v="0.96467991169977896"/>
    <n v="4383.2245724465502"/>
    <n v="0.92935982339955847"/>
    <n v="7.7197149643705457E-2"/>
    <n v="2.7315914489311165E-2"/>
    <n v="0.9228028503562945"/>
    <n v="0.4"/>
    <n v="655.5"/>
    <n v="1.284515636918383"/>
    <n v="1.3333333333333333"/>
    <n v="0.9633867276887873"/>
    <n v="0.9228028503562945"/>
    <n v="0.85761589403973493"/>
    <n v="25.730391923990499"/>
    <n v="5.2057298960172806"/>
    <s v="Low"/>
    <s v="Normal"/>
  </r>
  <r>
    <n v="79"/>
    <d v="2026-03-26T00:00:00"/>
    <x v="1"/>
    <s v="Plant B"/>
    <x v="0"/>
    <x v="0"/>
    <x v="1"/>
    <x v="0"/>
    <s v="B260326-0079"/>
    <s v="OP111"/>
    <n v="928"/>
    <n v="930"/>
    <n v="886"/>
    <n v="44"/>
    <n v="10"/>
    <n v="10"/>
    <s v="Preventive Maintenance"/>
    <n v="42"/>
    <n v="45"/>
    <n v="76"/>
    <n v="2.77"/>
    <n v="35.659999999999997"/>
    <n v="16249.71"/>
    <n v="10.26"/>
    <s v="Scheduled"/>
    <n v="33"/>
    <n v="28926.31"/>
    <n v="0.95268817204301104"/>
    <n v="21187.65"/>
    <n v="174.728064516129"/>
    <n v="649.6"/>
    <n v="0.98460591133004904"/>
    <n v="7563.9319354838699"/>
    <n v="1.0021551724137931"/>
    <n v="4.7311827956989246E-2"/>
    <n v="1.0752688172043012E-2"/>
    <n v="0.95268817204301071"/>
    <n v="0.16666666666666666"/>
    <n v="639.6"/>
    <n v="1.4540337711069418"/>
    <n v="1.4285714285714286"/>
    <n v="1.0178236397748592"/>
    <n v="0.95268817204301071"/>
    <n v="0.95474137931034464"/>
    <n v="22.782419354838712"/>
    <n v="8.1332601456815805"/>
    <s v="Medium"/>
    <s v="Normal"/>
  </r>
  <r>
    <n v="80"/>
    <d v="2026-01-10T00:00:00"/>
    <x v="2"/>
    <s v="Plant B"/>
    <x v="1"/>
    <x v="5"/>
    <x v="2"/>
    <x v="2"/>
    <s v="B260110-0080"/>
    <s v="OP119"/>
    <n v="674"/>
    <n v="612"/>
    <n v="581"/>
    <n v="31"/>
    <n v="12"/>
    <n v="14"/>
    <s v="Setup Time"/>
    <n v="64"/>
    <n v="66"/>
    <n v="65.099999999999994"/>
    <n v="2.2200000000000002"/>
    <n v="18.98"/>
    <n v="18454.830000000002"/>
    <n v="8.9600000000000009"/>
    <s v="Completed"/>
    <n v="31"/>
    <n v="30630.95"/>
    <n v="0.94934640522875802"/>
    <n v="22657.65"/>
    <n v="361.85941176470601"/>
    <n v="718.93333333333305"/>
    <n v="0.98052670623145399"/>
    <n v="7611.4405882352903"/>
    <n v="0.90801186943620182"/>
    <n v="5.0653594771241831E-2"/>
    <n v="1.9607843137254902E-2"/>
    <n v="0.94934640522875813"/>
    <n v="0.23333333333333334"/>
    <n v="704.93333333333305"/>
    <n v="0.86816720257234758"/>
    <n v="0.9375"/>
    <n v="0.92604501607717071"/>
    <n v="0.94934640522875813"/>
    <n v="0.86201780415430285"/>
    <n v="37.022303921568628"/>
    <n v="12.436994425221062"/>
    <s v="Medium"/>
    <s v="Normal"/>
  </r>
  <r>
    <n v="81"/>
    <d v="2026-06-15T00:00:00"/>
    <x v="0"/>
    <s v="Plant B"/>
    <x v="3"/>
    <x v="8"/>
    <x v="1"/>
    <x v="1"/>
    <s v="B260615-0081"/>
    <s v="OP113"/>
    <n v="769"/>
    <n v="728"/>
    <n v="675"/>
    <n v="53"/>
    <n v="10"/>
    <n v="10"/>
    <s v="Power Failure"/>
    <n v="45"/>
    <n v="45"/>
    <n v="73.3"/>
    <n v="2.6"/>
    <n v="24.54"/>
    <n v="14506.71"/>
    <n v="7.85"/>
    <s v="Scheduled"/>
    <n v="16"/>
    <n v="23728.3"/>
    <n v="0.92719780219780201"/>
    <n v="18260.07"/>
    <n v="199.26799450549501"/>
    <n v="576.75"/>
    <n v="0.98266146510619901"/>
    <n v="5268.9620054945099"/>
    <n v="0.94668400520156049"/>
    <n v="7.2802197802197807E-2"/>
    <n v="1.3736263736263736E-2"/>
    <n v="0.92719780219780223"/>
    <n v="0.16666666666666666"/>
    <n v="566.75"/>
    <n v="1.2845169827966476"/>
    <n v="1.3333333333333333"/>
    <n v="0.96338773709748571"/>
    <n v="0.92719780219780223"/>
    <n v="0.87776332899870002"/>
    <n v="25.082513736263735"/>
    <n v="7.2375851723825688"/>
    <s v="Low"/>
    <s v="Normal"/>
  </r>
  <r>
    <n v="82"/>
    <d v="2026-03-08T00:00:00"/>
    <x v="1"/>
    <s v="Plant B"/>
    <x v="3"/>
    <x v="8"/>
    <x v="1"/>
    <x v="3"/>
    <s v="B260308-0082"/>
    <s v="OP111"/>
    <n v="827"/>
    <n v="719"/>
    <n v="674"/>
    <n v="45"/>
    <n v="10"/>
    <n v="52"/>
    <s v="Quality Inspection"/>
    <n v="49"/>
    <n v="52"/>
    <n v="64.400000000000006"/>
    <n v="1.27"/>
    <n v="31.9"/>
    <n v="15732.54"/>
    <n v="9.1"/>
    <s v="Scheduled"/>
    <n v="22"/>
    <n v="25922.33"/>
    <n v="0.93741307371349103"/>
    <n v="20114.64"/>
    <n v="218.81140472879"/>
    <n v="675.38333333333298"/>
    <n v="0.92300668756015103"/>
    <n v="5588.8785952712096"/>
    <n v="0.86940749697702535"/>
    <n v="6.258692628650904E-2"/>
    <n v="1.3908205841446454E-2"/>
    <n v="0.93741307371349092"/>
    <n v="0.8666666666666667"/>
    <n v="623.38333333333298"/>
    <n v="1.1533834184423717"/>
    <n v="1.2244897959183674"/>
    <n v="0.94192979172793689"/>
    <n v="0.93741307371349092"/>
    <n v="0.81499395405078656"/>
    <n v="27.975855354659249"/>
    <n v="7.7731273925886084"/>
    <s v="Medium"/>
    <s v="Warning"/>
  </r>
  <r>
    <n v="83"/>
    <d v="2026-05-01T00:00:00"/>
    <x v="3"/>
    <s v="Plant A"/>
    <x v="3"/>
    <x v="11"/>
    <x v="1"/>
    <x v="2"/>
    <s v="B260501-0083"/>
    <s v="OP106"/>
    <n v="584"/>
    <n v="503"/>
    <n v="461"/>
    <n v="42"/>
    <n v="9"/>
    <n v="17"/>
    <s v="Machine Breakdown"/>
    <n v="64"/>
    <n v="66"/>
    <n v="71.8"/>
    <n v="2.34"/>
    <n v="16.420000000000002"/>
    <n v="14827.59"/>
    <n v="7.65"/>
    <s v="Pending"/>
    <n v="22"/>
    <n v="23905.02"/>
    <n v="0.916500994035785"/>
    <n v="18417.87"/>
    <n v="265.30479125248502"/>
    <n v="622.93333333333305"/>
    <n v="0.97270976027397305"/>
    <n v="5221.8452087475198"/>
    <n v="0.86130136986301364"/>
    <n v="8.3499005964214709E-2"/>
    <n v="1.7892644135188866E-2"/>
    <n v="0.91650099403578533"/>
    <n v="0.28333333333333333"/>
    <n v="605.93333333333305"/>
    <n v="0.83012432610848319"/>
    <n v="0.9375"/>
    <n v="0.88546594784904875"/>
    <n v="0.91650099403578533"/>
    <n v="0.78938356164383638"/>
    <n v="36.61604373757455"/>
    <n v="10.381402005462267"/>
    <s v="High"/>
    <s v="Warning"/>
  </r>
  <r>
    <n v="84"/>
    <d v="2026-05-12T00:00:00"/>
    <x v="3"/>
    <s v="Plant B"/>
    <x v="1"/>
    <x v="6"/>
    <x v="0"/>
    <x v="3"/>
    <s v="B260512-0084"/>
    <s v="OP120"/>
    <n v="631"/>
    <n v="588"/>
    <n v="550"/>
    <n v="38"/>
    <n v="15"/>
    <n v="33"/>
    <s v="Tool Change"/>
    <n v="49"/>
    <n v="47"/>
    <n v="71"/>
    <n v="2.21"/>
    <n v="19.38"/>
    <n v="12209.1"/>
    <n v="7.97"/>
    <s v="Pending"/>
    <n v="32"/>
    <n v="21233.35"/>
    <n v="0.93537414965986398"/>
    <n v="15970.02"/>
    <n v="311.45663265306098"/>
    <n v="515.31666666666695"/>
    <n v="0.93596170639412701"/>
    <n v="4951.8733673469396"/>
    <n v="0.93185419968304284"/>
    <n v="6.4625850340136057E-2"/>
    <n v="2.5510204081632654E-2"/>
    <n v="0.93537414965986398"/>
    <n v="0.55000000000000004"/>
    <n v="482.31666666666695"/>
    <n v="1.2191160717371015"/>
    <n v="1.2244897959183674"/>
    <n v="0.99561145858529954"/>
    <n v="0.93537414965986398"/>
    <n v="0.87163232963549908"/>
    <n v="27.159897959183674"/>
    <n v="8.4215533458281282"/>
    <s v="Medium"/>
    <s v="Normal"/>
  </r>
  <r>
    <n v="85"/>
    <d v="2026-06-15T00:00:00"/>
    <x v="0"/>
    <s v="Plant B"/>
    <x v="4"/>
    <x v="13"/>
    <x v="1"/>
    <x v="2"/>
    <s v="B260615-0085"/>
    <s v="OP125"/>
    <n v="546"/>
    <n v="515"/>
    <n v="455"/>
    <n v="60"/>
    <n v="25"/>
    <n v="26"/>
    <s v="Machine Breakdown"/>
    <n v="64"/>
    <n v="69"/>
    <n v="89.6"/>
    <n v="2.86"/>
    <n v="19.18"/>
    <n v="15819.64"/>
    <n v="7.97"/>
    <s v="Scheduled"/>
    <n v="47"/>
    <n v="23604.1"/>
    <n v="0.88349514563106801"/>
    <n v="19578.759999999998"/>
    <n v="767.94368932038799"/>
    <n v="582.4"/>
    <n v="0.95535714285714302"/>
    <n v="3257.39631067961"/>
    <n v="0.9432234432234432"/>
    <n v="0.11650485436893204"/>
    <n v="4.8543689320388349E-2"/>
    <n v="0.88349514563106801"/>
    <n v="0.43333333333333335"/>
    <n v="556.4"/>
    <n v="0.92559309849029481"/>
    <n v="0.9375"/>
    <n v="0.98729930505631447"/>
    <n v="0.88349514563106801"/>
    <n v="0.83333333333333359"/>
    <n v="38.017009708737859"/>
    <n v="6.3250413799604077"/>
    <s v="High"/>
    <s v="Warning"/>
  </r>
  <r>
    <n v="86"/>
    <d v="2026-02-09T00:00:00"/>
    <x v="4"/>
    <s v="Plant B"/>
    <x v="3"/>
    <x v="11"/>
    <x v="1"/>
    <x v="0"/>
    <s v="B260209-0086"/>
    <s v="OP127"/>
    <n v="728"/>
    <n v="633"/>
    <n v="587"/>
    <n v="46"/>
    <n v="14"/>
    <n v="43"/>
    <s v="Preventive Maintenance"/>
    <n v="42"/>
    <n v="45"/>
    <n v="72"/>
    <n v="2.2400000000000002"/>
    <n v="26.77"/>
    <n v="11204.8"/>
    <n v="9.11"/>
    <s v="Completed"/>
    <n v="27"/>
    <n v="19253.3"/>
    <n v="0.92733017377567095"/>
    <n v="15545.23"/>
    <n v="247.81548183254301"/>
    <n v="509.6"/>
    <n v="0.91562009419152302"/>
    <n v="3460.25451816746"/>
    <n v="0.86950549450549453"/>
    <n v="7.266982622432859E-2"/>
    <n v="2.2116903633491312E-2"/>
    <n v="0.9273301737756714"/>
    <n v="0.71666666666666667"/>
    <n v="466.6"/>
    <n v="1.3566223746249464"/>
    <n v="1.4285714285714286"/>
    <n v="0.94963566223746243"/>
    <n v="0.9273301737756714"/>
    <n v="0.80631868131868145"/>
    <n v="24.558025276461294"/>
    <n v="5.46643683754733"/>
    <s v="Medium"/>
    <s v="Warning"/>
  </r>
  <r>
    <n v="87"/>
    <d v="2026-05-28T00:00:00"/>
    <x v="3"/>
    <s v="Plant B"/>
    <x v="2"/>
    <x v="9"/>
    <x v="1"/>
    <x v="1"/>
    <s v="B260528-0087"/>
    <s v="OP116"/>
    <n v="834"/>
    <n v="798"/>
    <n v="760"/>
    <n v="38"/>
    <n v="12"/>
    <n v="24"/>
    <s v="Power Failure"/>
    <n v="45"/>
    <n v="45"/>
    <n v="69.7"/>
    <n v="2.0299999999999998"/>
    <n v="24"/>
    <n v="16640.34"/>
    <n v="8.09"/>
    <s v="Scheduled"/>
    <n v="38"/>
    <n v="26913.31"/>
    <n v="0.952380952380952"/>
    <n v="20496.84"/>
    <n v="250.230676691729"/>
    <n v="625.5"/>
    <n v="0.96163069544364499"/>
    <n v="6166.2393233082703"/>
    <n v="0.95683453237410077"/>
    <n v="4.7619047619047616E-2"/>
    <n v="1.5037593984962405E-2"/>
    <n v="0.95238095238095233"/>
    <n v="0.4"/>
    <n v="601.5"/>
    <n v="1.3266832917705735"/>
    <n v="1.3333333333333333"/>
    <n v="0.99501246882793015"/>
    <n v="0.95238095238095233"/>
    <n v="0.91127098321342914"/>
    <n v="25.685263157894738"/>
    <n v="7.7271169465015914"/>
    <s v="Medium"/>
    <s v="Normal"/>
  </r>
  <r>
    <n v="88"/>
    <d v="2026-04-15T00:00:00"/>
    <x v="5"/>
    <s v="Plant A"/>
    <x v="4"/>
    <x v="13"/>
    <x v="0"/>
    <x v="4"/>
    <s v="B260415-0088"/>
    <s v="OP116"/>
    <n v="737"/>
    <n v="636"/>
    <n v="601"/>
    <n v="35"/>
    <n v="10"/>
    <n v="27"/>
    <s v="Power Failure"/>
    <n v="57"/>
    <n v="55"/>
    <n v="67.599999999999994"/>
    <n v="2.3199999999999998"/>
    <n v="21.22"/>
    <n v="16606.55"/>
    <n v="7.49"/>
    <s v="Completed"/>
    <n v="16"/>
    <n v="27705.11"/>
    <n v="0.94496855345912001"/>
    <n v="20168.03"/>
    <n v="261.10927672956001"/>
    <n v="700.15"/>
    <n v="0.96143683496393595"/>
    <n v="7275.9707232704404"/>
    <n v="0.86295793758480321"/>
    <n v="5.5031446540880505E-2"/>
    <n v="1.5723270440251572E-2"/>
    <n v="0.94496855345911945"/>
    <n v="0.45"/>
    <n v="673.15"/>
    <n v="0.94481170615761723"/>
    <n v="1.0526315789473684"/>
    <n v="0.89757112084973645"/>
    <n v="0.94496855345911945"/>
    <n v="0.8154681139755765"/>
    <n v="31.710738993710692"/>
    <n v="11.440205539733396"/>
    <s v="Medium"/>
    <s v="Warning"/>
  </r>
  <r>
    <n v="89"/>
    <d v="2026-02-18T00:00:00"/>
    <x v="4"/>
    <s v="Plant A"/>
    <x v="4"/>
    <x v="13"/>
    <x v="1"/>
    <x v="4"/>
    <s v="B260218-0089"/>
    <s v="OP105"/>
    <n v="568"/>
    <n v="565"/>
    <n v="538"/>
    <n v="27"/>
    <n v="10"/>
    <n v="9"/>
    <s v="Machine Breakdown"/>
    <n v="57"/>
    <n v="56"/>
    <n v="69.7"/>
    <n v="2.33"/>
    <n v="21.89"/>
    <n v="16310.23"/>
    <n v="9.4499999999999993"/>
    <s v="Scheduled"/>
    <n v="8"/>
    <n v="24594.51"/>
    <n v="0.95221238938053099"/>
    <n v="20759.740000000002"/>
    <n v="288.67663716814201"/>
    <n v="539.6"/>
    <n v="0.98332097850259503"/>
    <n v="3546.0933628318598"/>
    <n v="0.99471830985915488"/>
    <n v="4.7787610619469026E-2"/>
    <n v="1.7699115044247787E-2"/>
    <n v="0.95221238938053099"/>
    <n v="0.15"/>
    <n v="530.6"/>
    <n v="1.0648322653599698"/>
    <n v="1.0526315789473684"/>
    <n v="1.0115906520919713"/>
    <n v="0.95221238938053099"/>
    <n v="0.94718309859154981"/>
    <n v="36.742902654867258"/>
    <n v="6.2762714386404603"/>
    <s v="Low"/>
    <s v="Normal"/>
  </r>
  <r>
    <n v="90"/>
    <d v="2026-03-03T00:00:00"/>
    <x v="1"/>
    <s v="Plant B"/>
    <x v="4"/>
    <x v="13"/>
    <x v="1"/>
    <x v="4"/>
    <s v="B260303-0090"/>
    <s v="OP120"/>
    <n v="586"/>
    <n v="477"/>
    <n v="454"/>
    <n v="23"/>
    <n v="6"/>
    <n v="35"/>
    <s v="Operator Issue"/>
    <n v="57"/>
    <n v="60"/>
    <n v="72.3"/>
    <n v="1.68"/>
    <n v="16.07"/>
    <n v="13497.26"/>
    <n v="5.9"/>
    <s v="Scheduled"/>
    <n v="19"/>
    <n v="20989.3"/>
    <n v="0.951781970649895"/>
    <n v="16296.89"/>
    <n v="169.776855345912"/>
    <n v="556.70000000000005"/>
    <n v="0.93712951320280202"/>
    <n v="4522.6331446540898"/>
    <n v="0.81399317406143346"/>
    <n v="4.8218029350104823E-2"/>
    <n v="1.2578616352201259E-2"/>
    <n v="0.95178197064989523"/>
    <n v="0.58333333333333337"/>
    <n v="521.70000000000005"/>
    <n v="0.91431857389304194"/>
    <n v="1.0526315789473684"/>
    <n v="0.86860264519838992"/>
    <n v="0.95178197064989523"/>
    <n v="0.77474402730375425"/>
    <n v="34.16538784067086"/>
    <n v="9.4814112047255552"/>
    <s v="High"/>
    <s v="Warning"/>
  </r>
  <r>
    <n v="91"/>
    <d v="2026-04-17T00:00:00"/>
    <x v="5"/>
    <s v="Plant B"/>
    <x v="3"/>
    <x v="8"/>
    <x v="0"/>
    <x v="3"/>
    <s v="B260417-0091"/>
    <s v="OP116"/>
    <n v="875"/>
    <n v="844"/>
    <n v="792"/>
    <n v="52"/>
    <n v="11"/>
    <n v="20"/>
    <s v="Quality Inspection"/>
    <n v="49"/>
    <n v="50"/>
    <n v="63.9"/>
    <n v="1.38"/>
    <n v="30.48"/>
    <n v="19435.57"/>
    <n v="10.1"/>
    <s v="Overdue"/>
    <n v="34"/>
    <n v="30139.24"/>
    <n v="0.93838862559241698"/>
    <n v="24254.89"/>
    <n v="253.307191943128"/>
    <n v="714.58333333333303"/>
    <n v="0.97201166180758003"/>
    <n v="5631.0428080568699"/>
    <n v="0.96457142857142852"/>
    <n v="6.1611374407582936E-2"/>
    <n v="1.3033175355450236E-2"/>
    <n v="0.93838862559241709"/>
    <n v="0.33333333333333331"/>
    <n v="694.58333333333303"/>
    <n v="1.2151169766046797"/>
    <n v="1.2244897959183674"/>
    <n v="0.99234553089382171"/>
    <n v="0.93838862559241709"/>
    <n v="0.90514285714285747"/>
    <n v="28.738021327014216"/>
    <n v="6.6718516683138267"/>
    <s v="High"/>
    <s v="Normal"/>
  </r>
  <r>
    <n v="92"/>
    <d v="2026-01-20T00:00:00"/>
    <x v="2"/>
    <s v="Plant A"/>
    <x v="0"/>
    <x v="1"/>
    <x v="0"/>
    <x v="4"/>
    <s v="B260120-0092"/>
    <s v="OP105"/>
    <n v="701"/>
    <n v="689"/>
    <n v="649"/>
    <n v="40"/>
    <n v="7"/>
    <n v="25"/>
    <s v="Machine Breakdown"/>
    <n v="57"/>
    <n v="60"/>
    <n v="82.1"/>
    <n v="1.67"/>
    <n v="25.35"/>
    <n v="17848.68"/>
    <n v="9.42"/>
    <s v="Scheduled"/>
    <n v="28"/>
    <n v="29471.91"/>
    <n v="0.94194484760522501"/>
    <n v="22315.83"/>
    <n v="181.33637155297501"/>
    <n v="665.95"/>
    <n v="0.96245964411742602"/>
    <n v="6974.7436284470195"/>
    <n v="0.98288159771754635"/>
    <n v="5.8055152394775038E-2"/>
    <n v="1.0159651669085631E-2"/>
    <n v="0.94194484760522501"/>
    <n v="0.41666666666666669"/>
    <n v="640.95000000000005"/>
    <n v="1.0749668460878383"/>
    <n v="1.0526315789473684"/>
    <n v="1.0212185037834465"/>
    <n v="0.94194484760522501"/>
    <n v="0.92582025677603408"/>
    <n v="32.388722786647314"/>
    <n v="10.122995106599447"/>
    <s v="Medium"/>
    <s v="Warning"/>
  </r>
  <r>
    <n v="93"/>
    <d v="2026-05-09T00:00:00"/>
    <x v="3"/>
    <s v="Plant B"/>
    <x v="3"/>
    <x v="8"/>
    <x v="2"/>
    <x v="4"/>
    <s v="B260509-0093"/>
    <s v="OP116"/>
    <n v="569"/>
    <n v="507"/>
    <n v="472"/>
    <n v="35"/>
    <n v="13"/>
    <n v="37"/>
    <s v="Operator Issue"/>
    <n v="57"/>
    <n v="57"/>
    <n v="70.599999999999994"/>
    <n v="2.12"/>
    <n v="17.489999999999998"/>
    <n v="14193.29"/>
    <n v="6.51"/>
    <s v="Scheduled"/>
    <n v="23"/>
    <n v="21551.99"/>
    <n v="0.93096646942800798"/>
    <n v="17280.2"/>
    <n v="363.930512820513"/>
    <n v="540.54999999999995"/>
    <n v="0.93155119785403795"/>
    <n v="3907.8594871794899"/>
    <n v="0.89103690685413006"/>
    <n v="6.9033530571992116E-2"/>
    <n v="2.564102564102564E-2"/>
    <n v="0.93096646942800787"/>
    <n v="0.6166666666666667"/>
    <n v="503.54999999999995"/>
    <n v="1.0068513553768246"/>
    <n v="1.0526315789473684"/>
    <n v="0.95650878760798341"/>
    <n v="0.93096646942800787"/>
    <n v="0.82952548330404263"/>
    <n v="34.083234714003943"/>
    <n v="7.7078096394072775"/>
    <s v="Medium"/>
    <s v="Warning"/>
  </r>
  <r>
    <n v="94"/>
    <d v="2026-05-02T00:00:00"/>
    <x v="3"/>
    <s v="Plant A"/>
    <x v="0"/>
    <x v="0"/>
    <x v="0"/>
    <x v="4"/>
    <s v="B260502-0094"/>
    <s v="OP128"/>
    <n v="685"/>
    <n v="723"/>
    <n v="695"/>
    <n v="28"/>
    <n v="11"/>
    <n v="0"/>
    <s v="No Downtime"/>
    <n v="57"/>
    <n v="55"/>
    <n v="70.5"/>
    <n v="2.0299999999999998"/>
    <n v="28.59"/>
    <n v="18800.64"/>
    <n v="7.86"/>
    <s v="Overdue"/>
    <n v="42"/>
    <n v="32735.96"/>
    <n v="0.96127247579529695"/>
    <n v="22594.95"/>
    <n v="286.040165975104"/>
    <n v="650.75"/>
    <n v="1"/>
    <n v="9854.9698340248906"/>
    <n v="1.0554744525547446"/>
    <n v="3.8727524204702629E-2"/>
    <n v="1.5214384508990318E-2"/>
    <n v="0.9612724757952974"/>
    <n v="0"/>
    <n v="650.75"/>
    <n v="1.1110257395313101"/>
    <n v="1.0526315789473684"/>
    <n v="1.0554744525547446"/>
    <n v="0.9612724757952974"/>
    <n v="1.0145985401459854"/>
    <n v="31.251659751037344"/>
    <n v="13.63066367085047"/>
    <s v="High"/>
    <s v="Normal"/>
  </r>
  <r>
    <n v="95"/>
    <d v="2026-05-25T00:00:00"/>
    <x v="3"/>
    <s v="Plant A"/>
    <x v="3"/>
    <x v="7"/>
    <x v="0"/>
    <x v="0"/>
    <s v="B260525-0095"/>
    <s v="OP110"/>
    <n v="923"/>
    <n v="908"/>
    <n v="863"/>
    <n v="45"/>
    <n v="16"/>
    <n v="40"/>
    <s v="Tool Change"/>
    <n v="42"/>
    <n v="45"/>
    <n v="66.400000000000006"/>
    <n v="1.5"/>
    <n v="28.94"/>
    <n v="16487.29"/>
    <n v="7.4"/>
    <s v="Completed"/>
    <n v="19"/>
    <n v="26913.48"/>
    <n v="0.95044052863436101"/>
    <n v="20077.75"/>
    <n v="290.524933920705"/>
    <n v="646.1"/>
    <n v="0.93809007893514895"/>
    <n v="6545.2050660793002"/>
    <n v="0.98374864572047671"/>
    <n v="4.9559471365638763E-2"/>
    <n v="1.7621145374449341E-2"/>
    <n v="0.95044052863436124"/>
    <n v="0.66666666666666663"/>
    <n v="606.1"/>
    <n v="1.4981026233294836"/>
    <n v="1.4285714285714286"/>
    <n v="1.0486718363306384"/>
    <n v="0.95044052863436124"/>
    <n v="0.93499458288190629"/>
    <n v="22.11205947136564"/>
    <n v="7.2083756234353524"/>
    <s v="Low"/>
    <s v="Normal"/>
  </r>
  <r>
    <n v="96"/>
    <d v="2026-06-04T00:00:00"/>
    <x v="0"/>
    <s v="Plant B"/>
    <x v="4"/>
    <x v="14"/>
    <x v="1"/>
    <x v="1"/>
    <s v="B260604-0096"/>
    <s v="OP129"/>
    <n v="931"/>
    <n v="798"/>
    <n v="734"/>
    <n v="64"/>
    <n v="15"/>
    <n v="14"/>
    <s v="Machine Breakdown"/>
    <n v="45"/>
    <n v="47"/>
    <n v="65.7"/>
    <n v="2.66"/>
    <n v="23.75"/>
    <n v="16123.43"/>
    <n v="8.39"/>
    <s v="Completed"/>
    <n v="37"/>
    <n v="25519.86"/>
    <n v="0.91979949874686695"/>
    <n v="20112.68"/>
    <n v="303.07199248120298"/>
    <n v="698.25"/>
    <n v="0.97994987468671702"/>
    <n v="5104.1080075188002"/>
    <n v="0.8571428571428571"/>
    <n v="8.0200501253132828E-2"/>
    <n v="1.8796992481203006E-2"/>
    <n v="0.91979949874686717"/>
    <n v="0.23333333333333334"/>
    <n v="684.25"/>
    <n v="1.1662404092071612"/>
    <n v="1.3333333333333333"/>
    <n v="0.87468030690537091"/>
    <n v="0.91979949874686717"/>
    <n v="0.78839957035445785"/>
    <n v="25.203859649122808"/>
    <n v="6.396125322705263"/>
    <s v="High"/>
    <s v="Warning"/>
  </r>
  <r>
    <n v="97"/>
    <d v="2026-04-03T00:00:00"/>
    <x v="5"/>
    <s v="Plant A"/>
    <x v="0"/>
    <x v="3"/>
    <x v="2"/>
    <x v="3"/>
    <s v="B260403-0097"/>
    <s v="OP118"/>
    <n v="672"/>
    <n v="567"/>
    <n v="545"/>
    <n v="22"/>
    <n v="6"/>
    <n v="36"/>
    <s v="Tool Change"/>
    <n v="49"/>
    <n v="51"/>
    <n v="72.8"/>
    <n v="2.54"/>
    <n v="19.850000000000001"/>
    <n v="11852.35"/>
    <n v="8.58"/>
    <s v="Overdue"/>
    <n v="29"/>
    <n v="21304.18"/>
    <n v="0.96119929453262798"/>
    <n v="15892"/>
    <n v="125.421693121693"/>
    <n v="548.79999999999995"/>
    <n v="0.93440233236151604"/>
    <n v="5286.7583068783097"/>
    <n v="0.84375"/>
    <n v="3.8800705467372132E-2"/>
    <n v="1.0582010582010581E-2"/>
    <n v="0.96119929453262787"/>
    <n v="0.6"/>
    <n v="512.79999999999995"/>
    <n v="1.1056942277691109"/>
    <n v="1.2244897959183674"/>
    <n v="0.90298361934477389"/>
    <n v="0.96119929453262787"/>
    <n v="0.81101190476190488"/>
    <n v="28.028218694885361"/>
    <n v="9.3240887246531035"/>
    <s v="High"/>
    <s v="Warning"/>
  </r>
  <r>
    <n v="98"/>
    <d v="2026-05-27T00:00:00"/>
    <x v="3"/>
    <s v="Plant A"/>
    <x v="1"/>
    <x v="5"/>
    <x v="0"/>
    <x v="3"/>
    <s v="B260527-0098"/>
    <s v="OP132"/>
    <n v="694"/>
    <n v="697"/>
    <n v="671"/>
    <n v="26"/>
    <n v="8"/>
    <n v="5"/>
    <s v="Tool Change"/>
    <n v="49"/>
    <n v="48"/>
    <n v="72"/>
    <n v="2.37"/>
    <n v="21.48"/>
    <n v="14974.56"/>
    <n v="10.38"/>
    <s v="Completed"/>
    <n v="32"/>
    <n v="25681.88"/>
    <n v="0.96269727403156402"/>
    <n v="19838.88"/>
    <n v="171.87443328550901"/>
    <n v="566.76666666666699"/>
    <n v="0.99117802740692795"/>
    <n v="5671.1255667144897"/>
    <n v="1.0043227665706052"/>
    <n v="3.7302725968436153E-2"/>
    <n v="1.1477761836441894E-2"/>
    <n v="0.9626972740315638"/>
    <n v="8.3333333333333329E-2"/>
    <n v="561.76666666666699"/>
    <n v="1.240728653652168"/>
    <n v="1.2244897959183674"/>
    <n v="1.0132617338159371"/>
    <n v="0.9626972740315638"/>
    <n v="0.96685878962535932"/>
    <n v="28.463242467718796"/>
    <n v="8.136478574913184"/>
    <s v="Medium"/>
    <s v="Normal"/>
  </r>
  <r>
    <n v="99"/>
    <d v="2026-03-26T00:00:00"/>
    <x v="1"/>
    <s v="Plant B"/>
    <x v="4"/>
    <x v="13"/>
    <x v="2"/>
    <x v="2"/>
    <s v="B260326-0099"/>
    <s v="OP109"/>
    <n v="526"/>
    <n v="443"/>
    <n v="411"/>
    <n v="32"/>
    <n v="8"/>
    <n v="19"/>
    <s v="Material Shortage"/>
    <n v="64"/>
    <n v="72"/>
    <n v="71.2"/>
    <n v="1.89"/>
    <n v="15.86"/>
    <n v="13556.56"/>
    <n v="6.38"/>
    <s v="Scheduled"/>
    <n v="31"/>
    <n v="21490.26"/>
    <n v="0.92776523702031599"/>
    <n v="16570.3"/>
    <n v="244.81372460496601"/>
    <n v="561.06666666666695"/>
    <n v="0.96613593155893496"/>
    <n v="4675.14627539503"/>
    <n v="0.84220532319391639"/>
    <n v="7.2234762979683967E-2"/>
    <n v="1.8058690744920992E-2"/>
    <n v="0.92776523702031599"/>
    <n v="0.31666666666666665"/>
    <n v="542.06666666666695"/>
    <n v="0.81724265158037102"/>
    <n v="0.9375"/>
    <n v="0.87172549501906238"/>
    <n v="0.92776523702031599"/>
    <n v="0.78136882129277485"/>
    <n v="37.404740406320542"/>
    <n v="10.55337759682851"/>
    <s v="High"/>
    <s v="Warning"/>
  </r>
  <r>
    <n v="100"/>
    <d v="2026-05-20T00:00:00"/>
    <x v="3"/>
    <s v="Plant A"/>
    <x v="2"/>
    <x v="4"/>
    <x v="2"/>
    <x v="3"/>
    <s v="B260520-0100"/>
    <s v="OP114"/>
    <n v="844"/>
    <n v="753"/>
    <n v="701"/>
    <n v="52"/>
    <n v="13"/>
    <n v="25"/>
    <s v="Operator Issue"/>
    <n v="49"/>
    <n v="54"/>
    <n v="70.7"/>
    <n v="1.87"/>
    <n v="23.89"/>
    <n v="16321.47"/>
    <n v="7.75"/>
    <s v="Scheduled"/>
    <n v="10"/>
    <n v="26769.45"/>
    <n v="0.930942895086321"/>
    <n v="20023.98"/>
    <n v="281.77836653386498"/>
    <n v="689.26666666666699"/>
    <n v="0.96372956765644702"/>
    <n v="6463.69163346614"/>
    <n v="0.89218009478672988"/>
    <n v="6.9057104913678613E-2"/>
    <n v="1.7264276228419653E-2"/>
    <n v="0.93094289508632133"/>
    <n v="0.41666666666666669"/>
    <n v="664.26666666666699"/>
    <n v="1.1335808912083496"/>
    <n v="1.2244897959183674"/>
    <n v="0.9257577278201522"/>
    <n v="0.93094289508632133"/>
    <n v="0.83056872037914697"/>
    <n v="26.592270916334662"/>
    <n v="8.5839198319603458"/>
    <s v="Medium"/>
    <s v="Warning"/>
  </r>
  <r>
    <n v="101"/>
    <d v="2026-05-17T00:00:00"/>
    <x v="3"/>
    <s v="Plant B"/>
    <x v="2"/>
    <x v="4"/>
    <x v="2"/>
    <x v="3"/>
    <s v="B260517-0101"/>
    <s v="OP135"/>
    <n v="663"/>
    <n v="472"/>
    <n v="439"/>
    <n v="33"/>
    <n v="12"/>
    <n v="46"/>
    <s v="Machine Breakdown"/>
    <n v="49"/>
    <n v="53"/>
    <n v="69.2"/>
    <n v="1.38"/>
    <n v="15.66"/>
    <n v="10037.59"/>
    <n v="6.88"/>
    <s v="Scheduled"/>
    <n v="24"/>
    <n v="16869.84"/>
    <n v="0.93008474576271205"/>
    <n v="13274.53"/>
    <n v="255.19296610169499"/>
    <n v="541.45000000000005"/>
    <n v="0.91504294025302402"/>
    <n v="3340.1170338983002"/>
    <n v="0.71191553544494723"/>
    <n v="6.991525423728813E-2"/>
    <n v="2.5423728813559324E-2"/>
    <n v="0.93008474576271183"/>
    <n v="0.76666666666666672"/>
    <n v="495.45000000000005"/>
    <n v="0.95266929054394989"/>
    <n v="1.2244897959183674"/>
    <n v="0.77801325394422571"/>
    <n v="0.93008474576271183"/>
    <n v="0.66214177978883826"/>
    <n v="28.124004237288137"/>
    <n v="7.0765191396150424"/>
    <s v="High"/>
    <s v="Critical"/>
  </r>
  <r>
    <n v="102"/>
    <d v="2026-02-26T00:00:00"/>
    <x v="4"/>
    <s v="Plant B"/>
    <x v="4"/>
    <x v="13"/>
    <x v="1"/>
    <x v="1"/>
    <s v="B260226-0102"/>
    <s v="OP133"/>
    <n v="757"/>
    <n v="652"/>
    <n v="621"/>
    <n v="31"/>
    <n v="8"/>
    <n v="29"/>
    <s v="Power Failure"/>
    <n v="45"/>
    <n v="49"/>
    <n v="80.900000000000006"/>
    <n v="2.78"/>
    <n v="23.37"/>
    <n v="13338.61"/>
    <n v="7.55"/>
    <s v="Completed"/>
    <n v="1"/>
    <n v="21991.599999999999"/>
    <n v="0.95245398773006096"/>
    <n v="16946.439999999999"/>
    <n v="163.663926380368"/>
    <n v="567.75"/>
    <n v="0.94892118009687398"/>
    <n v="4881.4960736196299"/>
    <n v="0.86129458388375169"/>
    <n v="4.7546012269938653E-2"/>
    <n v="1.2269938650306749E-2"/>
    <n v="0.9524539877300614"/>
    <n v="0.48333333333333334"/>
    <n v="538.75"/>
    <n v="1.2102088167053364"/>
    <n v="1.3333333333333333"/>
    <n v="0.90765661252900232"/>
    <n v="0.9524539877300614"/>
    <n v="0.82034346103038347"/>
    <n v="25.991472392638034"/>
    <n v="7.4869571681282663"/>
    <s v="Medium"/>
    <s v="Warning"/>
  </r>
  <r>
    <n v="103"/>
    <d v="2026-03-23T00:00:00"/>
    <x v="1"/>
    <s v="Plant A"/>
    <x v="4"/>
    <x v="14"/>
    <x v="2"/>
    <x v="0"/>
    <s v="B260323-0103"/>
    <s v="OP122"/>
    <n v="775"/>
    <n v="609"/>
    <n v="554"/>
    <n v="55"/>
    <n v="12"/>
    <n v="71"/>
    <s v="Material Shortage"/>
    <n v="42"/>
    <n v="43"/>
    <n v="77.400000000000006"/>
    <n v="2.44"/>
    <n v="25.83"/>
    <n v="10629.98"/>
    <n v="7.25"/>
    <s v="Scheduled"/>
    <n v="41"/>
    <n v="17826.07"/>
    <n v="0.909688013136289"/>
    <n v="14124.95"/>
    <n v="209.457733990148"/>
    <n v="542.5"/>
    <n v="0.86912442396313405"/>
    <n v="3491.6622660098501"/>
    <n v="0.78580645161290319"/>
    <n v="9.0311986863711002E-2"/>
    <n v="1.9704433497536946E-2"/>
    <n v="0.909688013136289"/>
    <n v="1.1833333333333333"/>
    <n v="471.5"/>
    <n v="1.2916224814422057"/>
    <n v="1.4285714285714286"/>
    <n v="0.90413573700954397"/>
    <n v="0.909688013136289"/>
    <n v="0.71483870967741958"/>
    <n v="23.193678160919543"/>
    <n v="5.7334355763708542"/>
    <s v="High"/>
    <s v="Critical"/>
  </r>
  <r>
    <n v="104"/>
    <d v="2026-04-10T00:00:00"/>
    <x v="5"/>
    <s v="Plant A"/>
    <x v="3"/>
    <x v="8"/>
    <x v="0"/>
    <x v="1"/>
    <s v="B260410-0104"/>
    <s v="OP105"/>
    <n v="732"/>
    <n v="751"/>
    <n v="696"/>
    <n v="55"/>
    <n v="14"/>
    <n v="7"/>
    <s v="Machine Breakdown"/>
    <n v="45"/>
    <n v="44"/>
    <n v="69.2"/>
    <n v="1.63"/>
    <n v="25.18"/>
    <n v="14682.81"/>
    <n v="8.58"/>
    <s v="Scheduled"/>
    <n v="21"/>
    <n v="23881.37"/>
    <n v="0.92676431424767003"/>
    <n v="18770.43"/>
    <n v="273.71416777629798"/>
    <n v="549"/>
    <n v="0.98724954462659398"/>
    <n v="4837.2258322237003"/>
    <n v="1.0259562841530054"/>
    <n v="7.3235685752330221E-2"/>
    <n v="1.8641810918774968E-2"/>
    <n v="0.92676431424766981"/>
    <n v="0.11666666666666667"/>
    <n v="542"/>
    <n v="1.3856088560885609"/>
    <n v="1.3333333333333333"/>
    <n v="1.0392066420664208"/>
    <n v="0.92676431424766981"/>
    <n v="0.95081967213114771"/>
    <n v="24.993914780292943"/>
    <n v="6.441046381123436"/>
    <s v="Low"/>
    <s v="Normal"/>
  </r>
  <r>
    <n v="105"/>
    <d v="2026-06-22T00:00:00"/>
    <x v="0"/>
    <s v="Plant B"/>
    <x v="2"/>
    <x v="9"/>
    <x v="0"/>
    <x v="0"/>
    <s v="B260622-0105"/>
    <s v="OP108"/>
    <n v="842"/>
    <n v="788"/>
    <n v="750"/>
    <n v="38"/>
    <n v="13"/>
    <n v="44"/>
    <s v="Tool Change"/>
    <n v="42"/>
    <n v="43"/>
    <n v="75.7"/>
    <n v="2.31"/>
    <n v="34.82"/>
    <n v="14559.88"/>
    <n v="7.17"/>
    <s v="Completed"/>
    <n v="31"/>
    <n v="23929.439999999999"/>
    <n v="0.95177664974619303"/>
    <n v="18099.759999999998"/>
    <n v="240.20106598984799"/>
    <n v="589.4"/>
    <n v="0.92534781133356003"/>
    <n v="5589.4789340101497"/>
    <n v="0.93586698337292162"/>
    <n v="4.8223350253807105E-2"/>
    <n v="1.6497461928934011E-2"/>
    <n v="0.95177664974619292"/>
    <n v="0.73333333333333328"/>
    <n v="545.4"/>
    <n v="1.4448111477814449"/>
    <n v="1.4285714285714286"/>
    <n v="1.0113678034470115"/>
    <n v="0.95177664974619292"/>
    <n v="0.89073634204275587"/>
    <n v="22.969238578680201"/>
    <n v="7.0932473781854695"/>
    <s v="Medium"/>
    <s v="Normal"/>
  </r>
  <r>
    <n v="106"/>
    <d v="2026-01-14T00:00:00"/>
    <x v="2"/>
    <s v="Plant B"/>
    <x v="0"/>
    <x v="1"/>
    <x v="0"/>
    <x v="1"/>
    <s v="B260114-0106"/>
    <s v="OP133"/>
    <n v="933"/>
    <n v="959"/>
    <n v="901"/>
    <n v="58"/>
    <n v="14"/>
    <n v="0"/>
    <s v="No Downtime"/>
    <n v="45"/>
    <n v="46"/>
    <n v="75.2"/>
    <n v="2.58"/>
    <n v="27.26"/>
    <n v="19160.939999999999"/>
    <n v="10.050000000000001"/>
    <s v="Scheduled"/>
    <n v="39"/>
    <n v="32050.69"/>
    <n v="0.93952033368091803"/>
    <n v="23928.78"/>
    <n v="279.721751824818"/>
    <n v="699.75"/>
    <n v="1"/>
    <n v="7842.18824817518"/>
    <n v="1.0278670953912112"/>
    <n v="6.047966631908238E-2"/>
    <n v="1.4598540145985401E-2"/>
    <n v="0.93952033368091759"/>
    <n v="0"/>
    <n v="699.75"/>
    <n v="1.3704894605216149"/>
    <n v="1.3333333333333333"/>
    <n v="1.0278670953912112"/>
    <n v="0.93952033368091759"/>
    <n v="0.96570203644158636"/>
    <n v="24.951803962460897"/>
    <n v="8.1774642838114495"/>
    <s v="Medium"/>
    <s v="Normal"/>
  </r>
  <r>
    <n v="107"/>
    <d v="2026-05-07T00:00:00"/>
    <x v="3"/>
    <s v="Plant A"/>
    <x v="2"/>
    <x v="4"/>
    <x v="0"/>
    <x v="4"/>
    <s v="B260507-0107"/>
    <s v="OP124"/>
    <n v="658"/>
    <n v="707"/>
    <n v="655"/>
    <n v="52"/>
    <n v="15"/>
    <n v="37"/>
    <s v="Tool Change"/>
    <n v="57"/>
    <n v="63"/>
    <n v="77.599999999999994"/>
    <n v="2.09"/>
    <n v="25.5"/>
    <n v="19300.34"/>
    <n v="11.26"/>
    <s v="Overdue"/>
    <n v="42"/>
    <n v="29654.45"/>
    <n v="0.92644978783592702"/>
    <n v="24596.84"/>
    <n v="409.48387553040999"/>
    <n v="625.1"/>
    <n v="0.94080947048472197"/>
    <n v="4648.1261244695897"/>
    <n v="1.074468085106383"/>
    <n v="7.355021216407355E-2"/>
    <n v="2.1216407355021217E-2"/>
    <n v="0.92644978783592646"/>
    <n v="0.6166666666666667"/>
    <n v="588.1"/>
    <n v="1.2021765005951368"/>
    <n v="1.0526315789473684"/>
    <n v="1.14206767556538"/>
    <n v="0.92644978783592646"/>
    <n v="0.99544072948328211"/>
    <n v="34.790438472418671"/>
    <n v="6.5744358196175243"/>
    <s v="High"/>
    <s v="Normal"/>
  </r>
  <r>
    <n v="108"/>
    <d v="2026-05-31T00:00:00"/>
    <x v="3"/>
    <s v="Plant B"/>
    <x v="2"/>
    <x v="9"/>
    <x v="1"/>
    <x v="4"/>
    <s v="B260531-0108"/>
    <s v="OP114"/>
    <n v="728"/>
    <n v="648"/>
    <n v="622"/>
    <n v="26"/>
    <n v="6"/>
    <n v="34"/>
    <s v="Material Shortage"/>
    <n v="57"/>
    <n v="59"/>
    <n v="68.5"/>
    <n v="2.68"/>
    <n v="27.9"/>
    <n v="18203.41"/>
    <n v="6.69"/>
    <s v="Overdue"/>
    <n v="13"/>
    <n v="29102.45"/>
    <n v="0.95987654320987703"/>
    <n v="21465.01"/>
    <n v="168.55009259259299"/>
    <n v="691.6"/>
    <n v="0.950838635049161"/>
    <n v="7468.8899074074097"/>
    <n v="0.89010989010989006"/>
    <n v="4.0123456790123455E-2"/>
    <n v="9.2592592592592587E-3"/>
    <n v="0.95987654320987659"/>
    <n v="0.56666666666666665"/>
    <n v="657.6"/>
    <n v="0.98540145985401462"/>
    <n v="1.0526315789473684"/>
    <n v="0.93613138686131392"/>
    <n v="0.95987654320987659"/>
    <n v="0.85439560439560414"/>
    <n v="33.125015432098763"/>
    <n v="11.526064671925015"/>
    <s v="High"/>
    <s v="Normal"/>
  </r>
  <r>
    <n v="109"/>
    <d v="2026-01-16T00:00:00"/>
    <x v="2"/>
    <s v="Plant B"/>
    <x v="3"/>
    <x v="11"/>
    <x v="2"/>
    <x v="0"/>
    <s v="B260116-0109"/>
    <s v="OP121"/>
    <n v="846"/>
    <n v="731"/>
    <n v="670"/>
    <n v="61"/>
    <n v="15"/>
    <n v="7"/>
    <s v="Material Shortage"/>
    <n v="42"/>
    <n v="44"/>
    <n v="74.099999999999994"/>
    <n v="2.25"/>
    <n v="29.71"/>
    <n v="14254.18"/>
    <n v="7.15"/>
    <s v="Completed"/>
    <n v="17"/>
    <n v="21792.65"/>
    <n v="0.91655266757865905"/>
    <n v="17739.07"/>
    <n v="292.493433652531"/>
    <n v="592.20000000000005"/>
    <n v="0.98817966903073295"/>
    <n v="3761.0865663474701"/>
    <n v="0.86406619385342787"/>
    <n v="8.3447332421340628E-2"/>
    <n v="2.0519835841313269E-2"/>
    <n v="0.91655266757865939"/>
    <n v="0.11666666666666667"/>
    <n v="585.20000000000005"/>
    <n v="1.2491455912508542"/>
    <n v="1.4285714285714286"/>
    <n v="0.87440191387559796"/>
    <n v="0.91655266757865939"/>
    <n v="0.79196217494089838"/>
    <n v="24.266853625170999"/>
    <n v="5.1451252617612449"/>
    <s v="High"/>
    <s v="Warning"/>
  </r>
  <r>
    <n v="110"/>
    <d v="2026-01-24T00:00:00"/>
    <x v="2"/>
    <s v="Plant B"/>
    <x v="4"/>
    <x v="14"/>
    <x v="2"/>
    <x v="3"/>
    <s v="B260124-0110"/>
    <s v="OP128"/>
    <n v="728"/>
    <n v="621"/>
    <n v="559"/>
    <n v="62"/>
    <n v="23"/>
    <n v="18"/>
    <s v="Tool Change"/>
    <n v="49"/>
    <n v="49"/>
    <n v="77.3"/>
    <n v="1.49"/>
    <n v="18.84"/>
    <n v="14214"/>
    <n v="6.19"/>
    <s v="Pending"/>
    <n v="20"/>
    <n v="20806.09"/>
    <n v="0.90016103059581298"/>
    <n v="17169.060000000001"/>
    <n v="526.44444444444503"/>
    <n v="594.53333333333296"/>
    <n v="0.96972415339762297"/>
    <n v="3110.5855555555499"/>
    <n v="0.85302197802197799"/>
    <n v="9.9838969404186795E-2"/>
    <n v="3.7037037037037035E-2"/>
    <n v="0.90016103059581321"/>
    <n v="0.3"/>
    <n v="576.53333333333296"/>
    <n v="1.0771276595744688"/>
    <n v="1.2244897959183674"/>
    <n v="0.87965425531914943"/>
    <n v="0.90016103059581321"/>
    <n v="0.76785714285714346"/>
    <n v="27.647439613526572"/>
    <n v="5.0089944533905797"/>
    <s v="High"/>
    <s v="Warning"/>
  </r>
  <r>
    <n v="111"/>
    <d v="2026-04-27T00:00:00"/>
    <x v="5"/>
    <s v="Plant A"/>
    <x v="1"/>
    <x v="5"/>
    <x v="2"/>
    <x v="2"/>
    <s v="B260427-0111"/>
    <s v="OP120"/>
    <n v="490"/>
    <n v="460"/>
    <n v="435"/>
    <n v="25"/>
    <n v="9"/>
    <n v="14"/>
    <s v="Material Shortage"/>
    <n v="64"/>
    <n v="64"/>
    <n v="65.8"/>
    <n v="2.63"/>
    <n v="15.99"/>
    <n v="13567.28"/>
    <n v="7.42"/>
    <s v="Completed"/>
    <n v="27"/>
    <n v="22747.14"/>
    <n v="0.94565217391304401"/>
    <n v="17050.189999999999"/>
    <n v="265.44678260869603"/>
    <n v="522.66666666666697"/>
    <n v="0.97321428571428603"/>
    <n v="5431.5032173913096"/>
    <n v="0.93877551020408168"/>
    <n v="5.434782608695652E-2"/>
    <n v="1.9565217391304349E-2"/>
    <n v="0.94565217391304346"/>
    <n v="0.23333333333333334"/>
    <n v="508.66666666666697"/>
    <n v="0.90432503276539922"/>
    <n v="0.9375"/>
    <n v="0.96461336828309252"/>
    <n v="0.94565217391304346"/>
    <n v="0.88775510204081609"/>
    <n v="37.065630434782605"/>
    <n v="11.807615689981107"/>
    <s v="Low"/>
    <s v="Normal"/>
  </r>
  <r>
    <n v="112"/>
    <d v="2026-05-13T00:00:00"/>
    <x v="3"/>
    <s v="Plant B"/>
    <x v="0"/>
    <x v="3"/>
    <x v="1"/>
    <x v="1"/>
    <s v="B260513-0112"/>
    <s v="OP128"/>
    <n v="747"/>
    <n v="731"/>
    <n v="707"/>
    <n v="24"/>
    <n v="9"/>
    <n v="20"/>
    <s v="Operator Issue"/>
    <n v="45"/>
    <n v="44"/>
    <n v="69.2"/>
    <n v="2.3199999999999998"/>
    <n v="29.99"/>
    <n v="15304.04"/>
    <n v="7.27"/>
    <s v="Scheduled"/>
    <n v="29"/>
    <n v="24908.79"/>
    <n v="0.96716826265389899"/>
    <n v="18845.45"/>
    <n v="188.421833105335"/>
    <n v="560.25"/>
    <n v="0.96430165104863896"/>
    <n v="5874.9181668946703"/>
    <n v="0.97858099062918336"/>
    <n v="3.2831737346101231E-2"/>
    <n v="1.2311901504787962E-2"/>
    <n v="0.96716826265389877"/>
    <n v="0.33333333333333331"/>
    <n v="540.25"/>
    <n v="1.3530772790374825"/>
    <n v="1.3333333333333333"/>
    <n v="1.0148079592781121"/>
    <n v="0.96716826265389877"/>
    <n v="0.94645247657295861"/>
    <n v="25.780369357045146"/>
    <n v="8.036823757721848"/>
    <s v="Low"/>
    <s v="Normal"/>
  </r>
  <r>
    <n v="113"/>
    <d v="2026-02-12T00:00:00"/>
    <x v="4"/>
    <s v="Plant B"/>
    <x v="4"/>
    <x v="12"/>
    <x v="0"/>
    <x v="1"/>
    <s v="B260212-0113"/>
    <s v="OP127"/>
    <n v="906"/>
    <n v="868"/>
    <n v="761"/>
    <n v="107"/>
    <n v="39"/>
    <n v="35"/>
    <s v="Material Shortage"/>
    <n v="45"/>
    <n v="51"/>
    <n v="80.3"/>
    <n v="3.19"/>
    <n v="34.51"/>
    <n v="18132.240000000002"/>
    <n v="7.85"/>
    <s v="Scheduled"/>
    <n v="36"/>
    <n v="26650.22"/>
    <n v="0.87672811059907796"/>
    <n v="21975.33"/>
    <n v="814.69741935483898"/>
    <n v="679.5"/>
    <n v="0.94849153789551099"/>
    <n v="3860.19258064516"/>
    <n v="0.95805739514348787"/>
    <n v="0.12327188940092165"/>
    <n v="4.4930875576036866E-2"/>
    <n v="0.87672811059907829"/>
    <n v="0.58333333333333337"/>
    <n v="644.5"/>
    <n v="1.3467804499612102"/>
    <n v="1.3333333333333333"/>
    <n v="1.0100853374709078"/>
    <n v="0.87672811059907829"/>
    <n v="0.83995584988962435"/>
    <n v="25.317200460829493"/>
    <n v="4.4472264753976498"/>
    <s v="High"/>
    <s v="Warning"/>
  </r>
  <r>
    <n v="114"/>
    <d v="2026-04-11T00:00:00"/>
    <x v="5"/>
    <s v="Plant B"/>
    <x v="0"/>
    <x v="3"/>
    <x v="1"/>
    <x v="0"/>
    <s v="B260411-0114"/>
    <s v="OP132"/>
    <n v="756"/>
    <n v="665"/>
    <n v="644"/>
    <n v="21"/>
    <n v="7"/>
    <n v="66"/>
    <s v="Setup Time"/>
    <n v="42"/>
    <n v="41"/>
    <n v="76.2"/>
    <n v="1.59"/>
    <n v="30.04"/>
    <n v="12701.64"/>
    <n v="6.38"/>
    <s v="Completed"/>
    <n v="28"/>
    <n v="20313.95"/>
    <n v="0.96842105263157896"/>
    <n v="15843"/>
    <n v="133.70147368421101"/>
    <n v="529.20000000000005"/>
    <n v="0.87528344671201797"/>
    <n v="4337.2485263157896"/>
    <n v="0.87962962962962965"/>
    <n v="3.1578947368421054E-2"/>
    <n v="1.0526315789473684E-2"/>
    <n v="0.96842105263157896"/>
    <n v="1.1000000000000001"/>
    <n v="463.20000000000005"/>
    <n v="1.4356649395509498"/>
    <n v="1.4285714285714286"/>
    <n v="1.0049654576856648"/>
    <n v="0.96842105263157896"/>
    <n v="0.85185185185185153"/>
    <n v="23.824060150375939"/>
    <n v="6.5221782350613378"/>
    <s v="Medium"/>
    <s v="Warning"/>
  </r>
  <r>
    <n v="115"/>
    <d v="2026-01-11T00:00:00"/>
    <x v="2"/>
    <s v="Plant A"/>
    <x v="1"/>
    <x v="6"/>
    <x v="0"/>
    <x v="1"/>
    <s v="B260111-0115"/>
    <s v="OP127"/>
    <n v="896"/>
    <n v="926"/>
    <n v="875"/>
    <n v="51"/>
    <n v="14"/>
    <n v="35"/>
    <s v="Preventive Maintenance"/>
    <n v="45"/>
    <n v="45"/>
    <n v="77.599999999999994"/>
    <n v="2.31"/>
    <n v="35.96"/>
    <n v="19395.439999999999"/>
    <n v="7.67"/>
    <s v="Pending"/>
    <n v="36"/>
    <n v="31047.55"/>
    <n v="0.94492440604751604"/>
    <n v="23170.58"/>
    <n v="293.23559395248401"/>
    <n v="672"/>
    <n v="0.94791666666666696"/>
    <n v="7583.7344060475198"/>
    <n v="1.0334821428571428"/>
    <n v="5.5075593952483799E-2"/>
    <n v="1.511879049676026E-2"/>
    <n v="0.94492440604751615"/>
    <n v="0.58333333333333337"/>
    <n v="637"/>
    <n v="1.4536891679748822"/>
    <n v="1.3333333333333333"/>
    <n v="1.0902668759811618"/>
    <n v="0.94492440604751615"/>
    <n v="0.97656250000000033"/>
    <n v="25.02222462203024"/>
    <n v="8.1897779762932181"/>
    <s v="Medium"/>
    <s v="Normal"/>
  </r>
  <r>
    <n v="116"/>
    <d v="2026-03-03T00:00:00"/>
    <x v="1"/>
    <s v="Plant A"/>
    <x v="3"/>
    <x v="8"/>
    <x v="2"/>
    <x v="0"/>
    <s v="B260303-0116"/>
    <s v="OP104"/>
    <n v="878"/>
    <n v="742"/>
    <n v="690"/>
    <n v="52"/>
    <n v="16"/>
    <n v="27"/>
    <s v="Machine Breakdown"/>
    <n v="42"/>
    <n v="42"/>
    <n v="77.8"/>
    <n v="2.13"/>
    <n v="29.93"/>
    <n v="13515.94"/>
    <n v="8.18"/>
    <s v="Overdue"/>
    <n v="44"/>
    <n v="22388.59"/>
    <n v="0.92991913746630706"/>
    <n v="17466.310000000001"/>
    <n v="291.44884097034998"/>
    <n v="614.6"/>
    <n v="0.95606898795964901"/>
    <n v="4630.8311590296498"/>
    <n v="0.84510250569476086"/>
    <n v="7.0080862533692723E-2"/>
    <n v="2.15633423180593E-2"/>
    <n v="0.92991913746630728"/>
    <n v="0.45"/>
    <n v="587.6"/>
    <n v="1.2627637848876787"/>
    <n v="1.4285714285714286"/>
    <n v="0.88393464942137512"/>
    <n v="0.92991913746630728"/>
    <n v="0.78587699316628745"/>
    <n v="23.539501347708896"/>
    <n v="6.2410123437057274"/>
    <s v="High"/>
    <s v="Warning"/>
  </r>
  <r>
    <n v="117"/>
    <d v="2026-01-31T00:00:00"/>
    <x v="2"/>
    <s v="Plant A"/>
    <x v="4"/>
    <x v="13"/>
    <x v="0"/>
    <x v="0"/>
    <s v="B260131-0117"/>
    <s v="OP105"/>
    <n v="974"/>
    <n v="876"/>
    <n v="833"/>
    <n v="43"/>
    <n v="13"/>
    <n v="36"/>
    <s v="Tool Change"/>
    <n v="42"/>
    <n v="42"/>
    <n v="74.3"/>
    <n v="1.43"/>
    <n v="27.53"/>
    <n v="15709.22"/>
    <n v="7.88"/>
    <s v="Completed"/>
    <n v="14"/>
    <n v="26096.36"/>
    <n v="0.95091324200913196"/>
    <n v="19502.990000000002"/>
    <n v="233.12769406392701"/>
    <n v="681.8"/>
    <n v="0.94719859196245204"/>
    <n v="6360.2423059360699"/>
    <n v="0.89938398357289528"/>
    <n v="4.9086757990867577E-2"/>
    <n v="1.4840182648401826E-2"/>
    <n v="0.95091324200913241"/>
    <n v="0.6"/>
    <n v="645.79999999999995"/>
    <n v="1.3564571074636111"/>
    <n v="1.4285714285714286"/>
    <n v="0.9495199752245278"/>
    <n v="0.95091324200913241"/>
    <n v="0.85523613963038991"/>
    <n v="22.263687214611874"/>
    <n v="7.2605505775525909"/>
    <s v="Low"/>
    <s v="Normal"/>
  </r>
  <r>
    <n v="118"/>
    <d v="2026-01-10T00:00:00"/>
    <x v="2"/>
    <s v="Plant B"/>
    <x v="3"/>
    <x v="7"/>
    <x v="0"/>
    <x v="2"/>
    <s v="B260110-0118"/>
    <s v="OP121"/>
    <n v="519"/>
    <n v="528"/>
    <n v="505"/>
    <n v="23"/>
    <n v="6"/>
    <n v="13"/>
    <s v="Preventive Maintenance"/>
    <n v="64"/>
    <n v="62"/>
    <n v="73"/>
    <n v="2.59"/>
    <n v="21.71"/>
    <n v="16905.25"/>
    <n v="8.3699999999999992"/>
    <s v="Completed"/>
    <n v="15"/>
    <n v="26191.85"/>
    <n v="0.95643939393939403"/>
    <n v="20867.14"/>
    <n v="192.105113636364"/>
    <n v="553.6"/>
    <n v="0.97651734104046195"/>
    <n v="5132.6048863636397"/>
    <n v="1.0173410404624277"/>
    <n v="4.3560606060606064E-2"/>
    <n v="1.1363636363636364E-2"/>
    <n v="0.95643939393939392"/>
    <n v="0.21666666666666667"/>
    <n v="540.6"/>
    <n v="0.97669256381797998"/>
    <n v="0.9375"/>
    <n v="1.0418054014058453"/>
    <n v="0.95643939393939392"/>
    <n v="0.97302504816955637"/>
    <n v="39.521098484848487"/>
    <n v="9.7208425878099245"/>
    <s v="Low"/>
    <s v="Normal"/>
  </r>
  <r>
    <n v="119"/>
    <d v="2026-04-05T00:00:00"/>
    <x v="5"/>
    <s v="Plant A"/>
    <x v="4"/>
    <x v="12"/>
    <x v="2"/>
    <x v="1"/>
    <s v="B260405-0119"/>
    <s v="OP116"/>
    <n v="917"/>
    <n v="731"/>
    <n v="599"/>
    <n v="132"/>
    <n v="36"/>
    <n v="49"/>
    <s v="Tool Change"/>
    <n v="45"/>
    <n v="51"/>
    <n v="89.6"/>
    <n v="4.3899999999999997"/>
    <n v="29.8"/>
    <n v="14455.36"/>
    <n v="8.33"/>
    <s v="Pending"/>
    <n v="76"/>
    <n v="21545.119999999999"/>
    <n v="0.81942544459644295"/>
    <n v="18472.060000000001"/>
    <n v="711.89187414500702"/>
    <n v="687.75"/>
    <n v="0.92875318066157797"/>
    <n v="2361.1681258549902"/>
    <n v="0.79716466739367497"/>
    <n v="0.18057455540355677"/>
    <n v="4.9247606019151846E-2"/>
    <n v="0.81942544459644318"/>
    <n v="0.81666666666666665"/>
    <n v="638.75"/>
    <n v="1.1444227005870842"/>
    <n v="1.3333333333333333"/>
    <n v="0.85831702544031319"/>
    <n v="0.81942544459644318"/>
    <n v="0.6532170119956382"/>
    <n v="25.269575923392615"/>
    <n v="3.2300521557523805"/>
    <s v="High"/>
    <s v="Critical"/>
  </r>
  <r>
    <n v="120"/>
    <d v="2026-02-06T00:00:00"/>
    <x v="4"/>
    <s v="Plant B"/>
    <x v="0"/>
    <x v="3"/>
    <x v="2"/>
    <x v="2"/>
    <s v="B260206-0120"/>
    <s v="OP134"/>
    <n v="555"/>
    <n v="581"/>
    <n v="548"/>
    <n v="33"/>
    <n v="7"/>
    <n v="0"/>
    <s v="No Downtime"/>
    <n v="64"/>
    <n v="64"/>
    <n v="74.2"/>
    <n v="2.17"/>
    <n v="20.56"/>
    <n v="19014.32"/>
    <n v="8.36"/>
    <s v="Completed"/>
    <n v="26"/>
    <n v="28179.71"/>
    <n v="0.943201376936317"/>
    <n v="22961.360000000001"/>
    <n v="229.08819277108401"/>
    <n v="592"/>
    <n v="1"/>
    <n v="4989.2618072289097"/>
    <n v="1.0468468468468468"/>
    <n v="5.6798623063683308E-2"/>
    <n v="1.2048192771084338E-2"/>
    <n v="0.94320137693631667"/>
    <n v="0"/>
    <n v="592"/>
    <n v="0.98141891891891897"/>
    <n v="0.9375"/>
    <n v="1.0468468468468468"/>
    <n v="0.94320137693631667"/>
    <n v="0.98738738738738729"/>
    <n v="39.520413080895011"/>
    <n v="8.5873697198432186"/>
    <s v="Low"/>
    <s v="Normal"/>
  </r>
  <r>
    <n v="121"/>
    <d v="2026-04-11T00:00:00"/>
    <x v="5"/>
    <s v="Plant B"/>
    <x v="4"/>
    <x v="13"/>
    <x v="0"/>
    <x v="0"/>
    <s v="B260411-0121"/>
    <s v="OP113"/>
    <n v="789"/>
    <n v="746"/>
    <n v="708"/>
    <n v="38"/>
    <n v="9"/>
    <n v="17"/>
    <s v="Machine Breakdown"/>
    <n v="42"/>
    <n v="43"/>
    <n v="75.400000000000006"/>
    <n v="2.37"/>
    <n v="22.75"/>
    <n v="14109.13"/>
    <n v="9.39"/>
    <s v="Scheduled"/>
    <n v="17"/>
    <n v="22031.14"/>
    <n v="0.94906166219839105"/>
    <n v="18539.38"/>
    <n v="170.21738605898099"/>
    <n v="552.29999999999995"/>
    <n v="0.96921962701430397"/>
    <n v="3321.5426139410201"/>
    <n v="0.94550063371356152"/>
    <n v="5.0938337801608578E-2"/>
    <n v="1.2064343163538873E-2"/>
    <n v="0.94906166219839139"/>
    <n v="0.28333333333333333"/>
    <n v="535.29999999999995"/>
    <n v="1.3936110592191295"/>
    <n v="1.4285714285714286"/>
    <n v="0.97552774145339061"/>
    <n v="0.94906166219839139"/>
    <n v="0.89733840304182522"/>
    <n v="24.851715817694373"/>
    <n v="4.4524699918780435"/>
    <s v="Low"/>
    <s v="Normal"/>
  </r>
  <r>
    <n v="122"/>
    <d v="2026-03-25T00:00:00"/>
    <x v="1"/>
    <s v="Plant A"/>
    <x v="0"/>
    <x v="0"/>
    <x v="0"/>
    <x v="3"/>
    <s v="B260325-0122"/>
    <s v="OP133"/>
    <n v="645"/>
    <n v="757"/>
    <n v="727"/>
    <n v="30"/>
    <n v="9"/>
    <n v="17"/>
    <s v="Machine Breakdown"/>
    <n v="49"/>
    <n v="50"/>
    <n v="64.099999999999994"/>
    <n v="2.2799999999999998"/>
    <n v="29.8"/>
    <n v="15678.66"/>
    <n v="11.67"/>
    <s v="Overdue"/>
    <n v="22"/>
    <n v="27013.89"/>
    <n v="0.96036988110964305"/>
    <n v="21198.36"/>
    <n v="186.40414795244399"/>
    <n v="526.75"/>
    <n v="0.96772662553393496"/>
    <n v="5629.1258520475603"/>
    <n v="1.1736434108527132"/>
    <n v="3.9630118890356669E-2"/>
    <n v="1.1889035667107001E-2"/>
    <n v="0.96036988110964328"/>
    <n v="0.28333333333333333"/>
    <n v="509.75"/>
    <n v="1.4850416871015204"/>
    <n v="1.2244897959183674"/>
    <n v="1.2127840444662417"/>
    <n v="0.96036988110964328"/>
    <n v="1.127131782945737"/>
    <n v="28.00311756935271"/>
    <n v="7.4360975588475036"/>
    <s v="High"/>
    <s v="Normal"/>
  </r>
  <r>
    <n v="123"/>
    <d v="2026-04-13T00:00:00"/>
    <x v="5"/>
    <s v="Plant B"/>
    <x v="0"/>
    <x v="0"/>
    <x v="1"/>
    <x v="2"/>
    <s v="B260413-0123"/>
    <s v="OP105"/>
    <n v="455"/>
    <n v="489"/>
    <n v="467"/>
    <n v="22"/>
    <n v="9"/>
    <n v="42"/>
    <s v="Operator Issue"/>
    <n v="64"/>
    <n v="62"/>
    <n v="64.599999999999994"/>
    <n v="2.83"/>
    <n v="19.13"/>
    <n v="15151.95"/>
    <n v="9.1"/>
    <s v="Scheduled"/>
    <n v="29"/>
    <n v="24071.19"/>
    <n v="0.955010224948875"/>
    <n v="19419.12"/>
    <n v="278.87024539877302"/>
    <n v="485.33333333333297"/>
    <n v="0.91346153846153799"/>
    <n v="4373.1997546012299"/>
    <n v="1.0747252747252747"/>
    <n v="4.4989775051124746E-2"/>
    <n v="1.8404907975460124E-2"/>
    <n v="0.95501022494887522"/>
    <n v="0.7"/>
    <n v="443.33333333333297"/>
    <n v="1.1030075187969934"/>
    <n v="0.9375"/>
    <n v="1.1765413533834597"/>
    <n v="0.95501022494887522"/>
    <n v="1.0263736263736267"/>
    <n v="39.711901840490796"/>
    <n v="8.9431487824156033"/>
    <s v="Low"/>
    <s v="Normal"/>
  </r>
  <r>
    <n v="124"/>
    <d v="2026-02-17T00:00:00"/>
    <x v="4"/>
    <s v="Plant B"/>
    <x v="4"/>
    <x v="13"/>
    <x v="2"/>
    <x v="0"/>
    <s v="B260217-0124"/>
    <s v="OP116"/>
    <n v="871"/>
    <n v="660"/>
    <n v="615"/>
    <n v="45"/>
    <n v="11"/>
    <n v="44"/>
    <s v="Machine Breakdown"/>
    <n v="42"/>
    <n v="44"/>
    <n v="65.7"/>
    <n v="2.39"/>
    <n v="29.51"/>
    <n v="11506.02"/>
    <n v="6.41"/>
    <s v="Overdue"/>
    <n v="43"/>
    <n v="19656.009999999998"/>
    <n v="0.93181818181818199"/>
    <n v="14656.11"/>
    <n v="191.767"/>
    <n v="609.70000000000005"/>
    <n v="0.92783336066918198"/>
    <n v="4808.1329999999998"/>
    <n v="0.75774971297359361"/>
    <n v="6.8181818181818177E-2"/>
    <n v="1.6666666666666666E-2"/>
    <n v="0.93181818181818177"/>
    <n v="0.73333333333333328"/>
    <n v="565.70000000000005"/>
    <n v="1.1666961286901183"/>
    <n v="1.4285714285714286"/>
    <n v="0.81668729008308283"/>
    <n v="0.93181818181818177"/>
    <n v="0.70608495981630326"/>
    <n v="22.206227272727272"/>
    <n v="7.28505"/>
    <s v="High"/>
    <s v="Critical"/>
  </r>
  <r>
    <n v="125"/>
    <d v="2026-05-05T00:00:00"/>
    <x v="3"/>
    <s v="Plant B"/>
    <x v="2"/>
    <x v="9"/>
    <x v="0"/>
    <x v="3"/>
    <s v="B260505-0125"/>
    <s v="OP102"/>
    <n v="783"/>
    <n v="738"/>
    <n v="710"/>
    <n v="28"/>
    <n v="7"/>
    <n v="36"/>
    <s v="Material Shortage"/>
    <n v="49"/>
    <n v="53"/>
    <n v="72.8"/>
    <n v="1.77"/>
    <n v="25.01"/>
    <n v="16803.419999999998"/>
    <n v="9.08"/>
    <s v="Overdue"/>
    <n v="45"/>
    <n v="27704.9"/>
    <n v="0.96205962059620598"/>
    <n v="21114.51"/>
    <n v="159.382032520325"/>
    <n v="639.45000000000005"/>
    <n v="0.94370161857846602"/>
    <n v="6431.0079674796798"/>
    <n v="0.94252873563218387"/>
    <n v="3.7940379403794036E-2"/>
    <n v="9.485094850948509E-3"/>
    <n v="0.96205962059620598"/>
    <n v="0.6"/>
    <n v="603.45000000000005"/>
    <n v="1.2229679343773303"/>
    <n v="1.2244897959183674"/>
    <n v="0.99875714640815305"/>
    <n v="0.96205962059620598"/>
    <n v="0.90676883780332063"/>
    <n v="28.610447154471544"/>
    <n v="8.7141029369643359"/>
    <s v="High"/>
    <s v="Normal"/>
  </r>
  <r>
    <n v="126"/>
    <d v="2026-05-28T00:00:00"/>
    <x v="3"/>
    <s v="Plant B"/>
    <x v="4"/>
    <x v="14"/>
    <x v="0"/>
    <x v="4"/>
    <s v="B260528-0126"/>
    <s v="OP123"/>
    <n v="753"/>
    <n v="689"/>
    <n v="627"/>
    <n v="62"/>
    <n v="26"/>
    <n v="20"/>
    <s v="Tool Change"/>
    <n v="57"/>
    <n v="56"/>
    <n v="81"/>
    <n v="1.85"/>
    <n v="24.99"/>
    <n v="17896.97"/>
    <n v="6.76"/>
    <s v="Scheduled"/>
    <n v="19"/>
    <n v="28011.23"/>
    <n v="0.91001451378809906"/>
    <n v="21163.88"/>
    <n v="675.35735849056596"/>
    <n v="715.35"/>
    <n v="0.972041657929685"/>
    <n v="6171.9926415094296"/>
    <n v="0.91500664010624166"/>
    <n v="8.9985486211901305E-2"/>
    <n v="3.7735849056603772E-2"/>
    <n v="0.91001451378809872"/>
    <n v="0.33333333333333331"/>
    <n v="695.35"/>
    <n v="0.99086790824764504"/>
    <n v="1.0526315789473684"/>
    <n v="0.94132451283526286"/>
    <n v="0.91001451378809872"/>
    <n v="0.83266932270916361"/>
    <n v="30.716806966618289"/>
    <n v="8.957899334556501"/>
    <s v="Medium"/>
    <s v="Warning"/>
  </r>
  <r>
    <n v="127"/>
    <d v="2026-05-03T00:00:00"/>
    <x v="3"/>
    <s v="Plant A"/>
    <x v="4"/>
    <x v="12"/>
    <x v="0"/>
    <x v="0"/>
    <s v="B260503-0127"/>
    <s v="OP112"/>
    <n v="885"/>
    <n v="738"/>
    <n v="651"/>
    <n v="87"/>
    <n v="19"/>
    <n v="57"/>
    <s v="Operator Issue"/>
    <n v="42"/>
    <n v="47"/>
    <n v="74.3"/>
    <n v="3.37"/>
    <n v="33.57"/>
    <n v="14407.73"/>
    <n v="7.79"/>
    <s v="Scheduled"/>
    <n v="44"/>
    <n v="21417.89"/>
    <n v="0.88211382113821102"/>
    <n v="18215.36"/>
    <n v="370.93071815718201"/>
    <n v="619.5"/>
    <n v="0.90799031476997605"/>
    <n v="2831.5992818428199"/>
    <n v="0.83389830508474572"/>
    <n v="0.11788617886178862"/>
    <n v="2.5745257452574527E-2"/>
    <n v="0.88211382113821135"/>
    <n v="0.95"/>
    <n v="562.5"/>
    <n v="1.3120000000000001"/>
    <n v="1.4285714285714286"/>
    <n v="0.91839999999999999"/>
    <n v="0.88211382113821135"/>
    <n v="0.73559322033898333"/>
    <n v="24.682059620596206"/>
    <n v="3.8368553954509754"/>
    <s v="High"/>
    <s v="Critical"/>
  </r>
  <r>
    <n v="128"/>
    <d v="2026-06-27T00:00:00"/>
    <x v="0"/>
    <s v="Plant B"/>
    <x v="3"/>
    <x v="11"/>
    <x v="1"/>
    <x v="0"/>
    <s v="B260627-0128"/>
    <s v="OP120"/>
    <n v="870"/>
    <n v="692"/>
    <n v="639"/>
    <n v="53"/>
    <n v="21"/>
    <n v="18"/>
    <s v="Material Shortage"/>
    <n v="42"/>
    <n v="46"/>
    <n v="73.3"/>
    <n v="2.08"/>
    <n v="28.87"/>
    <n v="12902.7"/>
    <n v="8.19"/>
    <s v="Completed"/>
    <n v="19"/>
    <n v="20749.009999999998"/>
    <n v="0.92341040462427804"/>
    <n v="16848.03"/>
    <n v="391.55592485549101"/>
    <n v="609"/>
    <n v="0.97044334975369495"/>
    <n v="3509.4240751445"/>
    <n v="0.79540229885057467"/>
    <n v="7.6589595375722547E-2"/>
    <n v="3.0346820809248554E-2"/>
    <n v="0.92341040462427748"/>
    <n v="0.3"/>
    <n v="591"/>
    <n v="1.1708967851099832"/>
    <n v="1.4285714285714286"/>
    <n v="0.81962774957698825"/>
    <n v="0.92341040462427748"/>
    <n v="0.73448275862069001"/>
    <n v="24.346864161849709"/>
    <n v="5.071422073908237"/>
    <s v="High"/>
    <s v="Critical"/>
  </r>
  <r>
    <n v="129"/>
    <d v="2026-03-02T00:00:00"/>
    <x v="1"/>
    <s v="Plant B"/>
    <x v="4"/>
    <x v="14"/>
    <x v="1"/>
    <x v="2"/>
    <s v="B260302-0129"/>
    <s v="OP122"/>
    <n v="564"/>
    <n v="437"/>
    <n v="399"/>
    <n v="38"/>
    <n v="11"/>
    <n v="48"/>
    <s v="Material Shortage"/>
    <n v="64"/>
    <n v="68"/>
    <n v="70.5"/>
    <n v="1.69"/>
    <n v="19.600000000000001"/>
    <n v="13344.36"/>
    <n v="7.7"/>
    <s v="Pending"/>
    <n v="28"/>
    <n v="20845.169999999998"/>
    <n v="0.91304347826086996"/>
    <n v="16985.759999999998"/>
    <n v="335.899221967963"/>
    <n v="601.6"/>
    <n v="0.92021276595744705"/>
    <n v="3523.51077803203"/>
    <n v="0.77482269503546097"/>
    <n v="8.6956521739130432E-2"/>
    <n v="2.5171624713958809E-2"/>
    <n v="0.91304347826086951"/>
    <n v="0.8"/>
    <n v="553.6"/>
    <n v="0.78937861271676302"/>
    <n v="0.9375"/>
    <n v="0.84200385356454721"/>
    <n v="0.91304347826086951"/>
    <n v="0.70744680851063846"/>
    <n v="38.869016018306631"/>
    <n v="8.0629537254737524"/>
    <s v="High"/>
    <s v="Critical"/>
  </r>
  <r>
    <n v="130"/>
    <d v="2026-06-25T00:00:00"/>
    <x v="0"/>
    <s v="Plant A"/>
    <x v="3"/>
    <x v="7"/>
    <x v="0"/>
    <x v="1"/>
    <s v="B260625-0130"/>
    <s v="OP119"/>
    <n v="690"/>
    <n v="636"/>
    <n v="603"/>
    <n v="33"/>
    <n v="7"/>
    <n v="26"/>
    <s v="Machine Breakdown"/>
    <n v="45"/>
    <n v="46"/>
    <n v="71.3"/>
    <n v="1.49"/>
    <n v="24.27"/>
    <n v="13010.99"/>
    <n v="6.73"/>
    <s v="Overdue"/>
    <n v="28"/>
    <n v="20680.79"/>
    <n v="0.94811320754716999"/>
    <n v="16257.92"/>
    <n v="143.20272012578599"/>
    <n v="517.5"/>
    <n v="0.94975845410628001"/>
    <n v="4279.6672798742202"/>
    <n v="0.92173913043478262"/>
    <n v="5.1886792452830191E-2"/>
    <n v="1.10062893081761E-2"/>
    <n v="0.94811320754716977"/>
    <n v="0.43333333333333335"/>
    <n v="491.5"/>
    <n v="1.293997965412004"/>
    <n v="1.3333333333333333"/>
    <n v="0.97049847405900302"/>
    <n v="0.94811320754716977"/>
    <n v="0.8739130434782606"/>
    <n v="25.562767295597485"/>
    <n v="6.7290366035758176"/>
    <s v="High"/>
    <s v="Normal"/>
  </r>
  <r>
    <n v="131"/>
    <d v="2026-04-22T00:00:00"/>
    <x v="5"/>
    <s v="Plant A"/>
    <x v="0"/>
    <x v="3"/>
    <x v="0"/>
    <x v="2"/>
    <s v="B260422-0131"/>
    <s v="OP127"/>
    <n v="628"/>
    <n v="666"/>
    <n v="643"/>
    <n v="23"/>
    <n v="4"/>
    <n v="15"/>
    <s v="Preventive Maintenance"/>
    <n v="64"/>
    <n v="64"/>
    <n v="74.8"/>
    <n v="1.54"/>
    <n v="20.43"/>
    <n v="20955.919999999998"/>
    <n v="9.32"/>
    <s v="Completed"/>
    <n v="37"/>
    <n v="32848.1"/>
    <n v="0.96546546546546497"/>
    <n v="25333.79"/>
    <n v="125.86138138138099"/>
    <n v="669.86666666666702"/>
    <n v="0.97760748407643305"/>
    <n v="7388.4486186186195"/>
    <n v="1.0605095541401275"/>
    <n v="3.4534534534534533E-2"/>
    <n v="6.006006006006006E-3"/>
    <n v="0.96546546546546541"/>
    <n v="0.25"/>
    <n v="654.86666666666702"/>
    <n v="1.017000916217041"/>
    <n v="0.9375"/>
    <n v="1.084800977298177"/>
    <n v="0.96546546546546541"/>
    <n v="1.0238853503184706"/>
    <n v="38.038723723723727"/>
    <n v="11.093766694622552"/>
    <s v="Medium"/>
    <s v="Normal"/>
  </r>
  <r>
    <n v="132"/>
    <d v="2026-06-13T00:00:00"/>
    <x v="0"/>
    <s v="Plant B"/>
    <x v="0"/>
    <x v="1"/>
    <x v="2"/>
    <x v="3"/>
    <s v="B260613-0132"/>
    <s v="OP126"/>
    <n v="861"/>
    <n v="755"/>
    <n v="709"/>
    <n v="46"/>
    <n v="11"/>
    <n v="18"/>
    <s v="Tool Change"/>
    <n v="49"/>
    <n v="50"/>
    <n v="75.599999999999994"/>
    <n v="1.79"/>
    <n v="26.5"/>
    <n v="16148.7"/>
    <n v="6.49"/>
    <s v="Scheduled"/>
    <n v="19"/>
    <n v="27212.720000000001"/>
    <n v="0.93907284768211896"/>
    <n v="19307.7"/>
    <n v="235.27907284768199"/>
    <n v="703.15"/>
    <n v="0.97440091018985997"/>
    <n v="7669.7409271523202"/>
    <n v="0.87688734030197446"/>
    <n v="6.0927152317880796E-2"/>
    <n v="1.456953642384106E-2"/>
    <n v="0.93907284768211918"/>
    <n v="0.3"/>
    <n v="685.15"/>
    <n v="1.1019484784353792"/>
    <n v="1.2244897959183674"/>
    <n v="0.89992459072222641"/>
    <n v="0.93907284768211918"/>
    <n v="0.82346109175377491"/>
    <n v="25.573112582781459"/>
    <n v="10.158597254506384"/>
    <s v="Medium"/>
    <s v="Warning"/>
  </r>
  <r>
    <n v="133"/>
    <d v="2026-01-22T00:00:00"/>
    <x v="2"/>
    <s v="Plant B"/>
    <x v="2"/>
    <x v="10"/>
    <x v="2"/>
    <x v="4"/>
    <s v="B260122-0133"/>
    <s v="OP104"/>
    <n v="735"/>
    <n v="630"/>
    <n v="571"/>
    <n v="59"/>
    <n v="19"/>
    <n v="19"/>
    <s v="Setup Time"/>
    <n v="57"/>
    <n v="63"/>
    <n v="76.2"/>
    <n v="1.45"/>
    <n v="22.97"/>
    <n v="18328.650000000001"/>
    <n v="6.59"/>
    <s v="Pending"/>
    <n v="1"/>
    <n v="26185.69"/>
    <n v="0.90634920634920602"/>
    <n v="21500.880000000001"/>
    <n v="552.76880952380998"/>
    <n v="698.25"/>
    <n v="0.97278911564625903"/>
    <n v="4132.0411904761904"/>
    <n v="0.8571428571428571"/>
    <n v="9.3650793650793651E-2"/>
    <n v="3.0158730158730159E-2"/>
    <n v="0.90634920634920635"/>
    <n v="0.31666666666666665"/>
    <n v="679.25"/>
    <n v="0.92749355907250641"/>
    <n v="1.0526315789473684"/>
    <n v="0.88111888111888115"/>
    <n v="0.90634920634920635"/>
    <n v="0.77687074829932024"/>
    <n v="34.128380952380951"/>
    <n v="6.5587955404383971"/>
    <s v="High"/>
    <s v="Warning"/>
  </r>
  <r>
    <n v="134"/>
    <d v="2026-02-12T00:00:00"/>
    <x v="4"/>
    <s v="Plant A"/>
    <x v="3"/>
    <x v="8"/>
    <x v="0"/>
    <x v="0"/>
    <s v="B260212-0134"/>
    <s v="OP128"/>
    <n v="823"/>
    <n v="839"/>
    <n v="787"/>
    <n v="52"/>
    <n v="14"/>
    <n v="7"/>
    <s v="Material Shortage"/>
    <n v="42"/>
    <n v="46"/>
    <n v="73.599999999999994"/>
    <n v="2"/>
    <n v="27.37"/>
    <n v="15443.56"/>
    <n v="10.28"/>
    <s v="Pending"/>
    <n v="38"/>
    <n v="25369.95"/>
    <n v="0.93802145411203797"/>
    <n v="20315.89"/>
    <n v="257.69945172824799"/>
    <n v="576.1"/>
    <n v="0.98784933171324396"/>
    <n v="4796.3605482717503"/>
    <n v="1.0194410692588092"/>
    <n v="6.197854588796186E-2"/>
    <n v="1.6686531585220502E-2"/>
    <n v="0.93802145411203819"/>
    <n v="0.11666666666666667"/>
    <n v="569.1"/>
    <n v="1.4742575997188543"/>
    <n v="1.4285714285714286"/>
    <n v="1.031980319803198"/>
    <n v="0.93802145411203819"/>
    <n v="0.95625759416767897"/>
    <n v="24.21441001191895"/>
    <n v="5.7167586987744343"/>
    <s v="Medium"/>
    <s v="Normal"/>
  </r>
  <r>
    <n v="135"/>
    <d v="2026-05-14T00:00:00"/>
    <x v="3"/>
    <s v="Plant B"/>
    <x v="0"/>
    <x v="1"/>
    <x v="0"/>
    <x v="4"/>
    <s v="B260514-0135"/>
    <s v="OP107"/>
    <n v="756"/>
    <n v="779"/>
    <n v="735"/>
    <n v="44"/>
    <n v="13"/>
    <n v="0"/>
    <s v="No Downtime"/>
    <n v="57"/>
    <n v="62"/>
    <n v="65"/>
    <n v="2.0099999999999998"/>
    <n v="23.56"/>
    <n v="21726.47"/>
    <n v="9.73"/>
    <s v="Scheduled"/>
    <n v="27"/>
    <n v="33598.61"/>
    <n v="0.94351732991014103"/>
    <n v="26317.01"/>
    <n v="362.572670089859"/>
    <n v="718.2"/>
    <n v="1"/>
    <n v="6919.02732991014"/>
    <n v="1.0304232804232805"/>
    <n v="5.6482670089858793E-2"/>
    <n v="1.668806161745828E-2"/>
    <n v="0.94351732991014126"/>
    <n v="0"/>
    <n v="718.2"/>
    <n v="1.0846560846560847"/>
    <n v="1.0526315789473684"/>
    <n v="1.0304232804232805"/>
    <n v="0.94351732991014126"/>
    <n v="0.97222222222222232"/>
    <n v="33.783068035943515"/>
    <n v="8.8819349549552502"/>
    <s v="Low"/>
    <s v="Normal"/>
  </r>
  <r>
    <n v="136"/>
    <d v="2026-03-26T00:00:00"/>
    <x v="1"/>
    <s v="Plant A"/>
    <x v="0"/>
    <x v="0"/>
    <x v="1"/>
    <x v="3"/>
    <s v="B260326-0136"/>
    <s v="OP124"/>
    <n v="630"/>
    <n v="557"/>
    <n v="535"/>
    <n v="22"/>
    <n v="6"/>
    <n v="32"/>
    <s v="Operator Issue"/>
    <n v="49"/>
    <n v="53"/>
    <n v="66.7"/>
    <n v="0.95"/>
    <n v="23.09"/>
    <n v="11990.59"/>
    <n v="8.49"/>
    <s v="Overdue"/>
    <n v="41"/>
    <n v="19829.009999999998"/>
    <n v="0.96050269299820501"/>
    <n v="16018.9"/>
    <n v="129.16254937163399"/>
    <n v="514.5"/>
    <n v="0.93780369290573395"/>
    <n v="3680.94745062837"/>
    <n v="0.88412698412698409"/>
    <n v="3.949730700179533E-2"/>
    <n v="1.0771992818671455E-2"/>
    <n v="0.96050269299820468"/>
    <n v="0.53333333333333333"/>
    <n v="482.5"/>
    <n v="1.1544041450777203"/>
    <n v="1.2244897959183674"/>
    <n v="0.94276338514680491"/>
    <n v="0.96050269299820468"/>
    <n v="0.84920634920634952"/>
    <n v="28.759245960502692"/>
    <n v="6.6085232506792995"/>
    <s v="High"/>
    <s v="Warning"/>
  </r>
  <r>
    <n v="137"/>
    <d v="2026-04-24T00:00:00"/>
    <x v="5"/>
    <s v="Plant A"/>
    <x v="1"/>
    <x v="6"/>
    <x v="1"/>
    <x v="4"/>
    <s v="B260424-0137"/>
    <s v="OP124"/>
    <n v="730"/>
    <n v="686"/>
    <n v="644"/>
    <n v="42"/>
    <n v="10"/>
    <n v="16"/>
    <s v="Quality Inspection"/>
    <n v="57"/>
    <n v="58"/>
    <n v="66"/>
    <n v="1.82"/>
    <n v="20.3"/>
    <n v="17847.560000000001"/>
    <n v="7.88"/>
    <s v="Completed"/>
    <n v="25"/>
    <n v="29390"/>
    <n v="0.93877551020408201"/>
    <n v="21576.26"/>
    <n v="260.168513119534"/>
    <n v="693.5"/>
    <n v="0.97692862292718097"/>
    <n v="7553.5714868804598"/>
    <n v="0.9397260273972603"/>
    <n v="6.1224489795918366E-2"/>
    <n v="1.4577259475218658E-2"/>
    <n v="0.93877551020408168"/>
    <n v="0.26666666666666666"/>
    <n v="677.5"/>
    <n v="1.0125461254612547"/>
    <n v="1.0526315789473684"/>
    <n v="0.961918819188192"/>
    <n v="0.93877551020408168"/>
    <n v="0.88219178082191796"/>
    <n v="31.452274052478131"/>
    <n v="11.011037152886967"/>
    <s v="Low"/>
    <s v="Normal"/>
  </r>
  <r>
    <n v="138"/>
    <d v="2026-04-29T00:00:00"/>
    <x v="5"/>
    <s v="Plant B"/>
    <x v="0"/>
    <x v="0"/>
    <x v="0"/>
    <x v="3"/>
    <s v="B260429-0138"/>
    <s v="OP129"/>
    <n v="710"/>
    <n v="798"/>
    <n v="757"/>
    <n v="41"/>
    <n v="8"/>
    <n v="0"/>
    <s v="No Downtime"/>
    <n v="49"/>
    <n v="49"/>
    <n v="74"/>
    <n v="1.76"/>
    <n v="22.63"/>
    <n v="18301.400000000001"/>
    <n v="10.98"/>
    <s v="Completed"/>
    <n v="20"/>
    <n v="28285.06"/>
    <n v="0.94862155388471203"/>
    <n v="23446.07"/>
    <n v="183.47268170426099"/>
    <n v="579.83333333333303"/>
    <n v="1"/>
    <n v="4655.5173182957396"/>
    <n v="1.123943661971831"/>
    <n v="5.1378446115288218E-2"/>
    <n v="1.0025062656641603E-2"/>
    <n v="0.94862155388471181"/>
    <n v="0"/>
    <n v="579.83333333333303"/>
    <n v="1.3762575452716306"/>
    <n v="1.2244897959183674"/>
    <n v="1.1239436619718317"/>
    <n v="0.94862155388471181"/>
    <n v="1.0661971830985923"/>
    <n v="29.381040100250626"/>
    <n v="5.8339816018743607"/>
    <s v="Low"/>
    <s v="Normal"/>
  </r>
  <r>
    <n v="139"/>
    <d v="2026-02-27T00:00:00"/>
    <x v="4"/>
    <s v="Plant A"/>
    <x v="4"/>
    <x v="12"/>
    <x v="0"/>
    <x v="0"/>
    <s v="B260227-0139"/>
    <s v="OP101"/>
    <n v="962"/>
    <n v="965"/>
    <n v="857"/>
    <n v="108"/>
    <n v="27"/>
    <n v="10"/>
    <s v="Preventive Maintenance"/>
    <n v="42"/>
    <n v="48"/>
    <n v="71.599999999999994"/>
    <n v="2.94"/>
    <n v="34.15"/>
    <n v="18033.5"/>
    <n v="7.25"/>
    <s v="Overdue"/>
    <n v="19"/>
    <n v="28191.57"/>
    <n v="0.88808290155440395"/>
    <n v="21603.35"/>
    <n v="504.56424870466299"/>
    <n v="673.4"/>
    <n v="0.98514998514998497"/>
    <n v="6083.6557512953405"/>
    <n v="1.003118503118503"/>
    <n v="0.11191709844559586"/>
    <n v="2.7979274611398965E-2"/>
    <n v="0.88808290155440417"/>
    <n v="0.16666666666666666"/>
    <n v="663.4"/>
    <n v="1.4546276756104914"/>
    <n v="1.4285714285714286"/>
    <n v="1.018239372927344"/>
    <n v="0.88808290155440417"/>
    <n v="0.89085239085239076"/>
    <n v="22.386891191709843"/>
    <n v="6.3043064780262599"/>
    <s v="High"/>
    <s v="Warning"/>
  </r>
  <r>
    <n v="140"/>
    <d v="2026-04-06T00:00:00"/>
    <x v="5"/>
    <s v="Plant B"/>
    <x v="4"/>
    <x v="12"/>
    <x v="0"/>
    <x v="0"/>
    <s v="B260406-0140"/>
    <s v="OP118"/>
    <n v="886"/>
    <n v="809"/>
    <n v="684"/>
    <n v="125"/>
    <n v="23"/>
    <n v="27"/>
    <s v="Machine Breakdown"/>
    <n v="42"/>
    <n v="45"/>
    <n v="83.4"/>
    <n v="4.07"/>
    <n v="29.15"/>
    <n v="15697.31"/>
    <n v="7.79"/>
    <s v="Overdue"/>
    <n v="62"/>
    <n v="21997.03"/>
    <n v="0.84548825710754005"/>
    <n v="19465.16"/>
    <n v="446.27704573547601"/>
    <n v="620.20000000000005"/>
    <n v="0.95646565623992297"/>
    <n v="2085.5929542645299"/>
    <n v="0.91309255079006768"/>
    <n v="0.15451174289245984"/>
    <n v="2.843016069221261E-2"/>
    <n v="0.84548825710754016"/>
    <n v="0.45"/>
    <n v="593.20000000000005"/>
    <n v="1.3637896156439648"/>
    <n v="1.4285714285714286"/>
    <n v="0.95465273095077541"/>
    <n v="0.84548825710754016"/>
    <n v="0.77200902934537274"/>
    <n v="24.060766378244747"/>
    <n v="2.5779888186211743"/>
    <s v="High"/>
    <s v="Critical"/>
  </r>
  <r>
    <n v="141"/>
    <d v="2026-05-27T00:00:00"/>
    <x v="3"/>
    <s v="Plant A"/>
    <x v="4"/>
    <x v="12"/>
    <x v="1"/>
    <x v="1"/>
    <s v="B260527-0141"/>
    <s v="OP131"/>
    <n v="863"/>
    <n v="771"/>
    <n v="632"/>
    <n v="139"/>
    <n v="35"/>
    <n v="21"/>
    <s v="Machine Breakdown"/>
    <n v="45"/>
    <n v="46"/>
    <n v="89.9"/>
    <n v="3.59"/>
    <n v="30.5"/>
    <n v="15351.36"/>
    <n v="7.3"/>
    <s v="Overdue"/>
    <n v="58"/>
    <n v="22080.9"/>
    <n v="0.81971465629053197"/>
    <n v="18910.86"/>
    <n v="696.88404669260694"/>
    <n v="647.25"/>
    <n v="0.96755504055619901"/>
    <n v="2473.1559533073901"/>
    <n v="0.89339513325608344"/>
    <n v="0.18028534370946822"/>
    <n v="4.5395590142671853E-2"/>
    <n v="0.81971465629053175"/>
    <n v="0.35"/>
    <n v="626.25"/>
    <n v="1.2311377245508981"/>
    <n v="1.3333333333333333"/>
    <n v="0.92335329341317363"/>
    <n v="0.81971465629053175"/>
    <n v="0.73232908458864399"/>
    <n v="24.527704280155643"/>
    <n v="3.207724971864319"/>
    <s v="High"/>
    <s v="Critical"/>
  </r>
  <r>
    <n v="142"/>
    <d v="2026-06-12T00:00:00"/>
    <x v="0"/>
    <s v="Plant A"/>
    <x v="1"/>
    <x v="5"/>
    <x v="1"/>
    <x v="2"/>
    <s v="B260612-0142"/>
    <s v="OP125"/>
    <n v="585"/>
    <n v="554"/>
    <n v="526"/>
    <n v="28"/>
    <n v="8"/>
    <n v="49"/>
    <s v="Machine Breakdown"/>
    <n v="64"/>
    <n v="63"/>
    <n v="66.5"/>
    <n v="2.35"/>
    <n v="20.91"/>
    <n v="17748.86"/>
    <n v="8.34"/>
    <s v="Scheduled"/>
    <n v="16"/>
    <n v="26821.63"/>
    <n v="0.94945848375451303"/>
    <n v="21690.05"/>
    <n v="256.30122743682301"/>
    <n v="624"/>
    <n v="0.92147435897435903"/>
    <n v="4875.2787725631797"/>
    <n v="0.94700854700854697"/>
    <n v="5.0541516245487361E-2"/>
    <n v="1.444043321299639E-2"/>
    <n v="0.94945848375451258"/>
    <n v="0.81666666666666665"/>
    <n v="575"/>
    <n v="0.96347826086956523"/>
    <n v="0.9375"/>
    <n v="1.0277101449275363"/>
    <n v="0.94945848375451258"/>
    <n v="0.89914529914529928"/>
    <n v="39.151714801444044"/>
    <n v="8.8001421887422016"/>
    <s v="Low"/>
    <s v="Normal"/>
  </r>
  <r>
    <n v="143"/>
    <d v="2026-06-12T00:00:00"/>
    <x v="0"/>
    <s v="Plant A"/>
    <x v="0"/>
    <x v="1"/>
    <x v="0"/>
    <x v="1"/>
    <s v="B260612-0143"/>
    <s v="OP111"/>
    <n v="761"/>
    <n v="713"/>
    <n v="678"/>
    <n v="35"/>
    <n v="9"/>
    <n v="14"/>
    <s v="Preventive Maintenance"/>
    <n v="45"/>
    <n v="47"/>
    <n v="79.400000000000006"/>
    <n v="1.98"/>
    <n v="20.76"/>
    <n v="15200.98"/>
    <n v="7.34"/>
    <s v="Pending"/>
    <n v="24"/>
    <n v="23910.38"/>
    <n v="0.95091164095371705"/>
    <n v="18690.82"/>
    <n v="191.87772791023801"/>
    <n v="570.75"/>
    <n v="0.97547087166009605"/>
    <n v="5027.6822720897599"/>
    <n v="0.93692509855453354"/>
    <n v="4.9088359046283309E-2"/>
    <n v="1.2622720897615708E-2"/>
    <n v="0.95091164095371672"/>
    <n v="0.23333333333333334"/>
    <n v="556.75"/>
    <n v="1.2806466097889537"/>
    <n v="1.3333333333333333"/>
    <n v="0.96048495734171535"/>
    <n v="0.95091164095371672"/>
    <n v="0.8909329829172139"/>
    <n v="26.214333800841516"/>
    <n v="7.0514477869421599"/>
    <s v="Medium"/>
    <s v="Normal"/>
  </r>
  <r>
    <n v="144"/>
    <d v="2026-03-05T00:00:00"/>
    <x v="1"/>
    <s v="Plant A"/>
    <x v="4"/>
    <x v="13"/>
    <x v="0"/>
    <x v="3"/>
    <s v="B260305-0144"/>
    <s v="OP120"/>
    <n v="705"/>
    <n v="584"/>
    <n v="550"/>
    <n v="34"/>
    <n v="7"/>
    <n v="59"/>
    <s v="Power Failure"/>
    <n v="49"/>
    <n v="51"/>
    <n v="66.7"/>
    <n v="2"/>
    <n v="27.14"/>
    <n v="13233.62"/>
    <n v="6.41"/>
    <s v="Overdue"/>
    <n v="26"/>
    <n v="21291.26"/>
    <n v="0.94178082191780799"/>
    <n v="16362.38"/>
    <n v="158.62215753424701"/>
    <n v="575.75"/>
    <n v="0.89752496743378196"/>
    <n v="4770.2578424657504"/>
    <n v="0.82836879432624111"/>
    <n v="5.8219178082191778E-2"/>
    <n v="1.1986301369863013E-2"/>
    <n v="0.94178082191780821"/>
    <n v="0.98333333333333328"/>
    <n v="516.75"/>
    <n v="1.1301402999516208"/>
    <n v="1.2244897959183674"/>
    <n v="0.92294791162715695"/>
    <n v="0.94178082191780821"/>
    <n v="0.78014184397163122"/>
    <n v="28.01777397260274"/>
    <n v="8.1682497302495722"/>
    <s v="High"/>
    <s v="Warning"/>
  </r>
  <r>
    <n v="145"/>
    <d v="2026-01-05T00:00:00"/>
    <x v="2"/>
    <s v="Plant A"/>
    <x v="3"/>
    <x v="11"/>
    <x v="2"/>
    <x v="0"/>
    <s v="B260105-0145"/>
    <s v="OP102"/>
    <n v="978"/>
    <n v="626"/>
    <n v="580"/>
    <n v="46"/>
    <n v="16"/>
    <n v="171"/>
    <s v="Material Shortage"/>
    <n v="42"/>
    <n v="45"/>
    <n v="76.900000000000006"/>
    <n v="1.76"/>
    <n v="29.51"/>
    <n v="11646.71"/>
    <n v="5.61"/>
    <s v="Completed"/>
    <n v="12"/>
    <n v="18777.37"/>
    <n v="0.92651757188498396"/>
    <n v="14436.8"/>
    <n v="297.67948881789101"/>
    <n v="684.6"/>
    <n v="0.750219106047327"/>
    <n v="4042.89051118211"/>
    <n v="0.64008179959100209"/>
    <n v="7.3482428115015971E-2"/>
    <n v="2.5559105431309903E-2"/>
    <n v="0.92651757188498407"/>
    <n v="2.85"/>
    <n v="513.6"/>
    <n v="1.2188473520249221"/>
    <n v="1.4285714285714286"/>
    <n v="0.85319314641744548"/>
    <n v="0.92651757188498407"/>
    <n v="0.59304703476482623"/>
    <n v="23.061980830670926"/>
    <n v="6.458291551409121"/>
    <s v="High"/>
    <s v="Critical"/>
  </r>
  <r>
    <n v="146"/>
    <d v="2026-06-11T00:00:00"/>
    <x v="0"/>
    <s v="Plant A"/>
    <x v="4"/>
    <x v="13"/>
    <x v="1"/>
    <x v="1"/>
    <s v="B260611-0146"/>
    <s v="OP118"/>
    <n v="750"/>
    <n v="622"/>
    <n v="587"/>
    <n v="35"/>
    <n v="13"/>
    <n v="37"/>
    <s v="Preventive Maintenance"/>
    <n v="45"/>
    <n v="45"/>
    <n v="73.3"/>
    <n v="1.56"/>
    <n v="26.87"/>
    <n v="12533.6"/>
    <n v="7.09"/>
    <s v="Completed"/>
    <n v="9"/>
    <n v="20604.34"/>
    <n v="0.94372990353697805"/>
    <n v="15965.93"/>
    <n v="261.95627009646302"/>
    <n v="562.5"/>
    <n v="0.93422222222222195"/>
    <n v="4376.4537299035401"/>
    <n v="0.82933333333333337"/>
    <n v="5.6270096463022508E-2"/>
    <n v="2.0900321543408359E-2"/>
    <n v="0.9437299035369775"/>
    <n v="0.6166666666666667"/>
    <n v="525.5"/>
    <n v="1.1836346336822074"/>
    <n v="1.3333333333333333"/>
    <n v="0.88772597526165564"/>
    <n v="0.9437299035369775"/>
    <n v="0.78266666666666651"/>
    <n v="25.668697749196141"/>
    <n v="7.03609924421791"/>
    <s v="High"/>
    <s v="Warning"/>
  </r>
  <r>
    <n v="147"/>
    <d v="2026-02-23T00:00:00"/>
    <x v="4"/>
    <s v="Plant B"/>
    <x v="4"/>
    <x v="14"/>
    <x v="0"/>
    <x v="1"/>
    <s v="B260223-0147"/>
    <s v="OP108"/>
    <n v="932"/>
    <n v="789"/>
    <n v="723"/>
    <n v="66"/>
    <n v="13"/>
    <n v="39"/>
    <s v="Quality Inspection"/>
    <n v="45"/>
    <n v="44"/>
    <n v="75.599999999999994"/>
    <n v="2.5"/>
    <n v="25.31"/>
    <n v="15768"/>
    <n v="8.33"/>
    <s v="Completed"/>
    <n v="36"/>
    <n v="25667.18"/>
    <n v="0.91634980988593195"/>
    <n v="19744.29"/>
    <n v="259.80228136882101"/>
    <n v="699"/>
    <n v="0.94420600858369097"/>
    <n v="5663.08771863118"/>
    <n v="0.84656652360515017"/>
    <n v="8.3650190114068435E-2"/>
    <n v="1.6476552598225603E-2"/>
    <n v="0.91634980988593151"/>
    <n v="0.65"/>
    <n v="660"/>
    <n v="1.1954545454545455"/>
    <n v="1.3333333333333333"/>
    <n v="0.89659090909090922"/>
    <n v="0.91634980988593151"/>
    <n v="0.77575107296137336"/>
    <n v="25.024448669201522"/>
    <n v="7.1775509741840047"/>
    <s v="High"/>
    <s v="Warning"/>
  </r>
  <r>
    <n v="148"/>
    <d v="2026-01-25T00:00:00"/>
    <x v="2"/>
    <s v="Plant A"/>
    <x v="0"/>
    <x v="3"/>
    <x v="1"/>
    <x v="0"/>
    <s v="B260125-0148"/>
    <s v="OP123"/>
    <n v="944"/>
    <n v="1033"/>
    <n v="998"/>
    <n v="35"/>
    <n v="13"/>
    <n v="16"/>
    <s v="Material Shortage"/>
    <n v="42"/>
    <n v="42"/>
    <n v="75.8"/>
    <n v="2.33"/>
    <n v="39.049999999999997"/>
    <n v="18931.03"/>
    <n v="11.08"/>
    <s v="Completed"/>
    <n v="23"/>
    <n v="31231.83"/>
    <n v="0.96611810261374598"/>
    <n v="24268.48"/>
    <n v="238.24142303969001"/>
    <n v="660.8"/>
    <n v="0.97578692493946695"/>
    <n v="6725.1085769603096"/>
    <n v="1.0942796610169492"/>
    <n v="3.3881897386253627E-2"/>
    <n v="1.2584704743465635E-2"/>
    <n v="0.96611810261374642"/>
    <n v="0.26666666666666666"/>
    <n v="644.79999999999995"/>
    <n v="1.6020471464019852"/>
    <n v="1.4285714285714286"/>
    <n v="1.1214330024813897"/>
    <n v="0.96611810261374642"/>
    <n v="1.0572033898305082"/>
    <n v="23.493204259438528"/>
    <n v="6.510269677599525"/>
    <s v="Low"/>
    <s v="Normal"/>
  </r>
  <r>
    <n v="149"/>
    <d v="2026-01-16T00:00:00"/>
    <x v="2"/>
    <s v="Plant A"/>
    <x v="0"/>
    <x v="1"/>
    <x v="2"/>
    <x v="4"/>
    <s v="B260116-0149"/>
    <s v="OP129"/>
    <n v="566"/>
    <n v="563"/>
    <n v="528"/>
    <n v="35"/>
    <n v="14"/>
    <n v="0"/>
    <s v="No Downtime"/>
    <n v="57"/>
    <n v="63"/>
    <n v="66.5"/>
    <n v="2.4700000000000002"/>
    <n v="18.989999999999998"/>
    <n v="15770.43"/>
    <n v="7.2"/>
    <s v="Overdue"/>
    <n v="27"/>
    <n v="24324.17"/>
    <n v="0.93783303730017797"/>
    <n v="19181.34"/>
    <n v="392.15989342806398"/>
    <n v="537.70000000000005"/>
    <n v="1"/>
    <n v="4750.6701065719299"/>
    <n v="0.9946996466431095"/>
    <n v="6.216696269982238E-2"/>
    <n v="2.4866785079928951E-2"/>
    <n v="0.93783303730017764"/>
    <n v="0"/>
    <n v="537.70000000000005"/>
    <n v="1.0470522596243257"/>
    <n v="1.0526315789473684"/>
    <n v="0.9946996466431095"/>
    <n v="0.93783303730017764"/>
    <n v="0.93286219081272082"/>
    <n v="34.069875666074601"/>
    <n v="8.4381351804119529"/>
    <s v="High"/>
    <s v="Normal"/>
  </r>
  <r>
    <n v="150"/>
    <d v="2026-05-28T00:00:00"/>
    <x v="3"/>
    <s v="Plant A"/>
    <x v="4"/>
    <x v="12"/>
    <x v="1"/>
    <x v="1"/>
    <s v="B260528-0150"/>
    <s v="OP107"/>
    <n v="901"/>
    <n v="864"/>
    <n v="755"/>
    <n v="109"/>
    <n v="33"/>
    <n v="0"/>
    <s v="No Downtime"/>
    <n v="45"/>
    <n v="46"/>
    <n v="82.9"/>
    <n v="1.85"/>
    <n v="29.46"/>
    <n v="17000.84"/>
    <n v="9.2799999999999994"/>
    <s v="Completed"/>
    <n v="27"/>
    <n v="26156.880000000001"/>
    <n v="0.873842592592593"/>
    <n v="21441.98"/>
    <n v="649.33763888888905"/>
    <n v="675.75"/>
    <n v="1"/>
    <n v="4065.56236111111"/>
    <n v="0.95893451720310763"/>
    <n v="0.12615740740740741"/>
    <n v="3.8194444444444448E-2"/>
    <n v="0.87384259259259256"/>
    <n v="0"/>
    <n v="675.75"/>
    <n v="1.2785793562708103"/>
    <n v="1.3333333333333333"/>
    <n v="0.95893451720310774"/>
    <n v="0.87384259259259256"/>
    <n v="0.83795782463928969"/>
    <n v="24.817106481481481"/>
    <n v="4.7055119920267474"/>
    <s v="High"/>
    <s v="Warning"/>
  </r>
  <r>
    <n v="151"/>
    <d v="2026-03-13T00:00:00"/>
    <x v="1"/>
    <s v="Plant A"/>
    <x v="2"/>
    <x v="4"/>
    <x v="1"/>
    <x v="3"/>
    <s v="B260313-0151"/>
    <s v="OP116"/>
    <n v="660"/>
    <n v="660"/>
    <n v="619"/>
    <n v="41"/>
    <n v="13"/>
    <n v="6"/>
    <s v="Operator Issue"/>
    <n v="49"/>
    <n v="50"/>
    <n v="76"/>
    <n v="1.97"/>
    <n v="18.71"/>
    <n v="14701.56"/>
    <n v="9.24"/>
    <s v="Completed"/>
    <n v="28"/>
    <n v="23533.77"/>
    <n v="0.93787878787878798"/>
    <n v="19027.95"/>
    <n v="289.57618181818202"/>
    <n v="539"/>
    <n v="0.98886827458255999"/>
    <n v="4216.2438181818197"/>
    <n v="1"/>
    <n v="6.2121212121212119E-2"/>
    <n v="1.9696969696969695E-2"/>
    <n v="0.93787878787878787"/>
    <n v="0.1"/>
    <n v="533"/>
    <n v="1.2382739212007505"/>
    <n v="1.2244897959183674"/>
    <n v="1.0112570356472796"/>
    <n v="0.93787878787878787"/>
    <n v="0.93787878787878765"/>
    <n v="28.830227272727274"/>
    <n v="6.3882482093663935"/>
    <s v="Low"/>
    <s v="Normal"/>
  </r>
  <r>
    <n v="152"/>
    <d v="2026-02-22T00:00:00"/>
    <x v="4"/>
    <s v="Plant B"/>
    <x v="4"/>
    <x v="13"/>
    <x v="2"/>
    <x v="1"/>
    <s v="B260222-0152"/>
    <s v="OP130"/>
    <n v="849"/>
    <n v="700"/>
    <n v="660"/>
    <n v="40"/>
    <n v="10"/>
    <n v="8"/>
    <s v="Preventive Maintenance"/>
    <n v="45"/>
    <n v="49"/>
    <n v="78.400000000000006"/>
    <n v="2.57"/>
    <n v="27.74"/>
    <n v="13991.8"/>
    <n v="7.36"/>
    <s v="Scheduled"/>
    <n v="19"/>
    <n v="22470.45"/>
    <n v="0.94285714285714295"/>
    <n v="17553.46"/>
    <n v="199.88285714285701"/>
    <n v="636.75"/>
    <n v="0.98743619945033401"/>
    <n v="4717.1071428571504"/>
    <n v="0.82449941107184921"/>
    <n v="5.7142857142857141E-2"/>
    <n v="1.4285714285714285E-2"/>
    <n v="0.94285714285714284"/>
    <n v="0.13333333333333333"/>
    <n v="628.75"/>
    <n v="1.1133200795228628"/>
    <n v="1.3333333333333333"/>
    <n v="0.83499005964214712"/>
    <n v="0.94285714285714284"/>
    <n v="0.7773851590106009"/>
    <n v="25.076371428571427"/>
    <n v="6.7387244897959295"/>
    <s v="High"/>
    <s v="Warning"/>
  </r>
  <r>
    <n v="153"/>
    <d v="2026-02-12T00:00:00"/>
    <x v="4"/>
    <s v="Plant B"/>
    <x v="3"/>
    <x v="11"/>
    <x v="1"/>
    <x v="3"/>
    <s v="B260212-0153"/>
    <s v="OP117"/>
    <n v="720"/>
    <n v="656"/>
    <n v="605"/>
    <n v="51"/>
    <n v="19"/>
    <n v="19"/>
    <s v="Operator Issue"/>
    <n v="49"/>
    <n v="52"/>
    <n v="75.2"/>
    <n v="2.88"/>
    <n v="23.38"/>
    <n v="15222.05"/>
    <n v="6.96"/>
    <s v="Scheduled"/>
    <n v="34"/>
    <n v="23031.88"/>
    <n v="0.92225609756097604"/>
    <n v="18564.47"/>
    <n v="440.88254573170701"/>
    <n v="588"/>
    <n v="0.96768707482993199"/>
    <n v="4026.5274542683001"/>
    <n v="0.91111111111111109"/>
    <n v="7.774390243902439E-2"/>
    <n v="2.8963414634146343E-2"/>
    <n v="0.9222560975609756"/>
    <n v="0.31666666666666665"/>
    <n v="569"/>
    <n v="1.1528998242530755"/>
    <n v="1.2244897959183674"/>
    <n v="0.94153485647334489"/>
    <n v="0.9222560975609756"/>
    <n v="0.84027777777777768"/>
    <n v="28.299496951219513"/>
    <n v="6.1379991680919206"/>
    <s v="Medium"/>
    <s v="Warning"/>
  </r>
  <r>
    <n v="154"/>
    <d v="2026-01-13T00:00:00"/>
    <x v="2"/>
    <s v="Plant B"/>
    <x v="2"/>
    <x v="10"/>
    <x v="2"/>
    <x v="1"/>
    <s v="B260113-0154"/>
    <s v="OP112"/>
    <n v="768"/>
    <n v="692"/>
    <n v="613"/>
    <n v="79"/>
    <n v="29"/>
    <n v="36"/>
    <s v="Setup Time"/>
    <n v="45"/>
    <n v="50"/>
    <n v="61.6"/>
    <n v="2.98"/>
    <n v="24.48"/>
    <n v="14986.93"/>
    <n v="7.83"/>
    <s v="Completed"/>
    <n v="13"/>
    <n v="21342.68"/>
    <n v="0.88583815028901702"/>
    <n v="18730.75"/>
    <n v="628.06498554913298"/>
    <n v="576"/>
    <n v="0.9375"/>
    <n v="1983.8650144508699"/>
    <n v="0.90104166666666663"/>
    <n v="0.11416184971098266"/>
    <n v="4.1907514450867052E-2"/>
    <n v="0.88583815028901736"/>
    <n v="0.6"/>
    <n v="540"/>
    <n v="1.2814814814814814"/>
    <n v="1.3333333333333333"/>
    <n v="0.96111111111111114"/>
    <n v="0.88583815028901736"/>
    <n v="0.79817708333333337"/>
    <n v="27.067557803468208"/>
    <n v="2.8668569572989449"/>
    <s v="High"/>
    <s v="Warning"/>
  </r>
  <r>
    <n v="155"/>
    <d v="2026-06-29T00:00:00"/>
    <x v="0"/>
    <s v="Plant B"/>
    <x v="2"/>
    <x v="10"/>
    <x v="1"/>
    <x v="2"/>
    <s v="B260629-0155"/>
    <s v="OP114"/>
    <n v="501"/>
    <n v="449"/>
    <n v="402"/>
    <n v="47"/>
    <n v="16"/>
    <n v="0"/>
    <s v="No Downtime"/>
    <n v="64"/>
    <n v="65"/>
    <n v="60"/>
    <n v="2.39"/>
    <n v="17.010000000000002"/>
    <n v="14057.31"/>
    <n v="9.24"/>
    <s v="Scheduled"/>
    <n v="19"/>
    <n v="21122.54"/>
    <n v="0.89532293986637002"/>
    <n v="18368.400000000001"/>
    <n v="500.92864142539003"/>
    <n v="534.4"/>
    <n v="1"/>
    <n v="2253.2113585746101"/>
    <n v="0.89620758483033935"/>
    <n v="0.10467706013363029"/>
    <n v="3.5634743875278395E-2"/>
    <n v="0.89532293986636968"/>
    <n v="0"/>
    <n v="534.4"/>
    <n v="0.84019461077844315"/>
    <n v="0.9375"/>
    <n v="0.89620758483033935"/>
    <n v="0.89532293986636968"/>
    <n v="0.80239520958083832"/>
    <n v="40.909576837416488"/>
    <n v="5.0182881037296436"/>
    <s v="Medium"/>
    <s v="Warning"/>
  </r>
  <r>
    <n v="156"/>
    <d v="2026-05-17T00:00:00"/>
    <x v="3"/>
    <s v="Plant B"/>
    <x v="1"/>
    <x v="5"/>
    <x v="1"/>
    <x v="0"/>
    <s v="B260517-0156"/>
    <s v="OP110"/>
    <n v="747"/>
    <n v="794"/>
    <n v="762"/>
    <n v="32"/>
    <n v="8"/>
    <n v="33"/>
    <s v="Machine Breakdown"/>
    <n v="42"/>
    <n v="42"/>
    <n v="72"/>
    <n v="2.9"/>
    <n v="31.21"/>
    <n v="15242.53"/>
    <n v="8.01"/>
    <s v="Overdue"/>
    <n v="37"/>
    <n v="24734.39"/>
    <n v="0.95969773299748096"/>
    <n v="19127.919999999998"/>
    <n v="153.57712846347599"/>
    <n v="522.9"/>
    <n v="0.93689041881812996"/>
    <n v="5452.89287153653"/>
    <n v="1.0629183400267737"/>
    <n v="4.0302267002518891E-2"/>
    <n v="1.0075566750629723E-2"/>
    <n v="0.95969773299748107"/>
    <n v="0.55000000000000004"/>
    <n v="489.9"/>
    <n v="1.6207389263114922"/>
    <n v="1.4285714285714286"/>
    <n v="1.1345172484180446"/>
    <n v="0.95969773299748107"/>
    <n v="1.0200803212851408"/>
    <n v="24.090579345088159"/>
    <n v="6.8676232638999117"/>
    <s v="High"/>
    <s v="Normal"/>
  </r>
  <r>
    <n v="157"/>
    <d v="2026-02-27T00:00:00"/>
    <x v="4"/>
    <s v="Plant B"/>
    <x v="3"/>
    <x v="11"/>
    <x v="2"/>
    <x v="1"/>
    <s v="B260227-0157"/>
    <s v="OP119"/>
    <n v="704"/>
    <n v="628"/>
    <n v="572"/>
    <n v="56"/>
    <n v="21"/>
    <n v="49"/>
    <s v="Material Shortage"/>
    <n v="45"/>
    <n v="48"/>
    <n v="72.3"/>
    <n v="1.54"/>
    <n v="28.12"/>
    <n v="13102.07"/>
    <n v="8.65"/>
    <s v="Completed"/>
    <n v="1"/>
    <n v="20144.189999999999"/>
    <n v="0.91082802547770703"/>
    <n v="17247.650000000001"/>
    <n v="438.12654458598701"/>
    <n v="528"/>
    <n v="0.90719696969696995"/>
    <n v="2458.4134554140101"/>
    <n v="0.89204545454545459"/>
    <n v="8.9171974522292988E-2"/>
    <n v="3.3439490445859872E-2"/>
    <n v="0.91082802547770703"/>
    <n v="0.81666666666666665"/>
    <n v="479"/>
    <n v="1.3110647181628392"/>
    <n v="1.3333333333333333"/>
    <n v="0.98329853862212946"/>
    <n v="0.91082802547770703"/>
    <n v="0.81250000000000022"/>
    <n v="27.464410828025478"/>
    <n v="3.9146711073471496"/>
    <s v="Medium"/>
    <s v="Warning"/>
  </r>
  <r>
    <n v="158"/>
    <d v="2026-02-19T00:00:00"/>
    <x v="4"/>
    <s v="Plant B"/>
    <x v="1"/>
    <x v="5"/>
    <x v="2"/>
    <x v="0"/>
    <s v="B260219-0158"/>
    <s v="OP112"/>
    <n v="781"/>
    <n v="741"/>
    <n v="712"/>
    <n v="29"/>
    <n v="10"/>
    <n v="0"/>
    <s v="No Downtime"/>
    <n v="42"/>
    <n v="42"/>
    <n v="68.7"/>
    <n v="1.86"/>
    <n v="22.24"/>
    <n v="13416.72"/>
    <n v="6.99"/>
    <s v="Pending"/>
    <n v="9"/>
    <n v="22942.04"/>
    <n v="0.96086369770580304"/>
    <n v="16762.38"/>
    <n v="181.062348178138"/>
    <n v="546.70000000000005"/>
    <n v="1"/>
    <n v="5998.5976518218604"/>
    <n v="0.94878361075544171"/>
    <n v="3.9136302294197033E-2"/>
    <n v="1.3495276653171391E-2"/>
    <n v="0.96086369770580293"/>
    <n v="0"/>
    <n v="546.70000000000005"/>
    <n v="1.3554051582220594"/>
    <n v="1.4285714285714286"/>
    <n v="0.9487836107554416"/>
    <n v="0.96086369770580293"/>
    <n v="0.91165172855313681"/>
    <n v="22.621295546558706"/>
    <n v="8.0952734842400282"/>
    <s v="Medium"/>
    <s v="Normal"/>
  </r>
  <r>
    <n v="159"/>
    <d v="2026-06-19T00:00:00"/>
    <x v="0"/>
    <s v="Plant B"/>
    <x v="1"/>
    <x v="6"/>
    <x v="1"/>
    <x v="0"/>
    <s v="B260619-0159"/>
    <s v="OP121"/>
    <n v="832"/>
    <n v="873"/>
    <n v="828"/>
    <n v="45"/>
    <n v="11"/>
    <n v="18"/>
    <s v="Machine Breakdown"/>
    <n v="42"/>
    <n v="44"/>
    <n v="74.599999999999994"/>
    <n v="2.57"/>
    <n v="36.299999999999997"/>
    <n v="16101.77"/>
    <n v="9.5"/>
    <s v="Scheduled"/>
    <n v="3"/>
    <n v="26733.35"/>
    <n v="0.94845360824742297"/>
    <n v="20703.47"/>
    <n v="202.88599083619701"/>
    <n v="582.4"/>
    <n v="0.96909340659340704"/>
    <n v="5826.9940091638"/>
    <n v="1.0492788461538463"/>
    <n v="5.1546391752577317E-2"/>
    <n v="1.2600229095074456E-2"/>
    <n v="0.94845360824742264"/>
    <n v="0.3"/>
    <n v="564.4"/>
    <n v="1.5467753366406805"/>
    <n v="1.4285714285714286"/>
    <n v="1.0827427356484762"/>
    <n v="0.94845360824742264"/>
    <n v="0.99519230769230815"/>
    <n v="23.71531500572738"/>
    <n v="6.6746781319172968"/>
    <s v="Low"/>
    <s v="Normal"/>
  </r>
  <r>
    <n v="160"/>
    <d v="2026-01-30T00:00:00"/>
    <x v="2"/>
    <s v="Plant B"/>
    <x v="1"/>
    <x v="5"/>
    <x v="2"/>
    <x v="4"/>
    <s v="B260130-0160"/>
    <s v="OP116"/>
    <n v="530"/>
    <n v="573"/>
    <n v="551"/>
    <n v="22"/>
    <n v="9"/>
    <n v="0"/>
    <s v="No Downtime"/>
    <n v="57"/>
    <n v="64"/>
    <n v="67.3"/>
    <n v="2.4"/>
    <n v="22.17"/>
    <n v="16330.1"/>
    <n v="9.3699999999999992"/>
    <s v="Completed"/>
    <n v="12"/>
    <n v="25951.69"/>
    <n v="0.961605584642234"/>
    <n v="20746.13"/>
    <n v="256.49371727748701"/>
    <n v="503.5"/>
    <n v="1"/>
    <n v="4949.0662827225096"/>
    <n v="1.0811320754716982"/>
    <n v="3.8394415357766144E-2"/>
    <n v="1.5706806282722512E-2"/>
    <n v="0.96160558464223389"/>
    <n v="0"/>
    <n v="503.5"/>
    <n v="1.1380337636544191"/>
    <n v="1.0526315789473684"/>
    <n v="1.0811320754716982"/>
    <n v="0.96160558464223389"/>
    <n v="1.0396226415094341"/>
    <n v="36.206160558464227"/>
    <n v="8.6371139314528964"/>
    <s v="Low"/>
    <s v="Normal"/>
  </r>
  <r>
    <n v="161"/>
    <d v="2026-02-19T00:00:00"/>
    <x v="4"/>
    <s v="Plant B"/>
    <x v="2"/>
    <x v="4"/>
    <x v="2"/>
    <x v="0"/>
    <s v="B260219-0161"/>
    <s v="OP135"/>
    <n v="723"/>
    <n v="622"/>
    <n v="574"/>
    <n v="48"/>
    <n v="14"/>
    <n v="44"/>
    <s v="Machine Breakdown"/>
    <n v="42"/>
    <n v="46"/>
    <n v="69.099999999999994"/>
    <n v="2.5299999999999998"/>
    <n v="25.69"/>
    <n v="11763.9"/>
    <n v="6.26"/>
    <s v="Pending"/>
    <n v="28"/>
    <n v="17858.71"/>
    <n v="0.92282958199356901"/>
    <n v="14812.11"/>
    <n v="264.78231511254"/>
    <n v="506.1"/>
    <n v="0.91306065994862695"/>
    <n v="2781.81768488746"/>
    <n v="0.86030428769017986"/>
    <n v="7.7170418006430874E-2"/>
    <n v="2.2508038585209004E-2"/>
    <n v="0.92282958199356913"/>
    <n v="0.73333333333333328"/>
    <n v="462.1"/>
    <n v="1.3460289980523696"/>
    <n v="1.4285714285714286"/>
    <n v="0.94222029863665868"/>
    <n v="0.92282958199356913"/>
    <n v="0.79391424619640405"/>
    <n v="23.813681672025723"/>
    <n v="4.4723756991759807"/>
    <s v="High"/>
    <s v="Warning"/>
  </r>
  <r>
    <n v="162"/>
    <d v="2026-01-19T00:00:00"/>
    <x v="2"/>
    <s v="Plant A"/>
    <x v="3"/>
    <x v="7"/>
    <x v="1"/>
    <x v="4"/>
    <s v="B260119-0162"/>
    <s v="OP115"/>
    <n v="753"/>
    <n v="721"/>
    <n v="688"/>
    <n v="33"/>
    <n v="11"/>
    <n v="0"/>
    <s v="No Downtime"/>
    <n v="57"/>
    <n v="58"/>
    <n v="79.400000000000006"/>
    <n v="2.13"/>
    <n v="25.98"/>
    <n v="20031.189999999999"/>
    <n v="9.11"/>
    <s v="Completed"/>
    <n v="2"/>
    <n v="32460.81"/>
    <n v="0.95423023578363397"/>
    <n v="24364.51"/>
    <n v="305.607614424411"/>
    <n v="715.35"/>
    <n v="1"/>
    <n v="7790.6923855755904"/>
    <n v="0.95750332005312089"/>
    <n v="4.5769764216366159E-2"/>
    <n v="1.5256588072122053E-2"/>
    <n v="0.95423023578363386"/>
    <n v="0"/>
    <n v="715.35"/>
    <n v="1.0078982316348639"/>
    <n v="1.0526315789473684"/>
    <n v="0.95750332005312078"/>
    <n v="0.95423023578363386"/>
    <n v="0.91367861885790169"/>
    <n v="33.792662968099862"/>
    <n v="10.805398593031333"/>
    <s v="Low"/>
    <s v="Normal"/>
  </r>
  <r>
    <n v="163"/>
    <d v="2026-01-28T00:00:00"/>
    <x v="2"/>
    <s v="Plant B"/>
    <x v="4"/>
    <x v="12"/>
    <x v="0"/>
    <x v="1"/>
    <s v="B260128-0163"/>
    <s v="OP129"/>
    <n v="875"/>
    <n v="821"/>
    <n v="714"/>
    <n v="107"/>
    <n v="36"/>
    <n v="17"/>
    <s v="Quality Inspection"/>
    <n v="45"/>
    <n v="50"/>
    <n v="76"/>
    <n v="3.3"/>
    <n v="33.81"/>
    <n v="17587.400000000001"/>
    <n v="7.19"/>
    <s v="Completed"/>
    <n v="38"/>
    <n v="25099.03"/>
    <n v="0.86967113276492103"/>
    <n v="21127.19"/>
    <n v="771.18928136419004"/>
    <n v="656.25"/>
    <n v="0.97409523809523801"/>
    <n v="3200.6507186358099"/>
    <n v="0.93828571428571428"/>
    <n v="0.13032886723507917"/>
    <n v="4.38489646772229E-2"/>
    <n v="0.86967113276492081"/>
    <n v="0.28333333333333333"/>
    <n v="639.25"/>
    <n v="1.2843175596402034"/>
    <n v="1.3333333333333333"/>
    <n v="0.96323816973015264"/>
    <n v="0.86967113276492081"/>
    <n v="0.81599999999999995"/>
    <n v="25.733483556638244"/>
    <n v="3.8984783418219364"/>
    <s v="High"/>
    <s v="Warning"/>
  </r>
  <r>
    <n v="164"/>
    <d v="2026-04-11T00:00:00"/>
    <x v="5"/>
    <s v="Plant A"/>
    <x v="4"/>
    <x v="14"/>
    <x v="1"/>
    <x v="2"/>
    <s v="B260411-0164"/>
    <s v="OP123"/>
    <n v="504"/>
    <n v="425"/>
    <n v="388"/>
    <n v="37"/>
    <n v="14"/>
    <n v="12"/>
    <s v="Machine Breakdown"/>
    <n v="64"/>
    <n v="63"/>
    <n v="73.7"/>
    <n v="1.87"/>
    <n v="17.440000000000001"/>
    <n v="13858.58"/>
    <n v="8.84"/>
    <s v="Completed"/>
    <n v="16"/>
    <n v="20236.12"/>
    <n v="0.91294117647058803"/>
    <n v="17993.54"/>
    <n v="456.51792941176501"/>
    <n v="537.6"/>
    <n v="0.97767857142857095"/>
    <n v="1786.06207058823"/>
    <n v="0.84325396825396826"/>
    <n v="8.7058823529411758E-2"/>
    <n v="3.2941176470588238E-2"/>
    <n v="0.91294117647058826"/>
    <n v="0.2"/>
    <n v="525.6"/>
    <n v="0.80859969558599687"/>
    <n v="0.9375"/>
    <n v="0.86250634195839671"/>
    <n v="0.91294117647058826"/>
    <n v="0.76984126984126944"/>
    <n v="42.337741176470587"/>
    <n v="4.2024989896193645"/>
    <s v="High"/>
    <s v="Warning"/>
  </r>
  <r>
    <n v="165"/>
    <d v="2026-03-16T00:00:00"/>
    <x v="1"/>
    <s v="Plant A"/>
    <x v="4"/>
    <x v="14"/>
    <x v="0"/>
    <x v="4"/>
    <s v="B260316-0165"/>
    <s v="OP122"/>
    <n v="611"/>
    <n v="525"/>
    <n v="480"/>
    <n v="45"/>
    <n v="14"/>
    <n v="18"/>
    <s v="Preventive Maintenance"/>
    <n v="57"/>
    <n v="62"/>
    <n v="77"/>
    <n v="1.84"/>
    <n v="18.05"/>
    <n v="14313.29"/>
    <n v="6.2"/>
    <s v="Completed"/>
    <n v="20"/>
    <n v="21711.08"/>
    <n v="0.91428571428571404"/>
    <n v="17265.740000000002"/>
    <n v="381.68773333333297"/>
    <n v="580.45000000000005"/>
    <n v="0.96898957705228705"/>
    <n v="4063.6522666666701"/>
    <n v="0.85924713584288048"/>
    <n v="8.5714285714285715E-2"/>
    <n v="2.6666666666666668E-2"/>
    <n v="0.91428571428571426"/>
    <n v="0.3"/>
    <n v="562.45000000000005"/>
    <n v="0.93341630367143735"/>
    <n v="1.0526315789473684"/>
    <n v="0.8867454884878655"/>
    <n v="0.91428571428571426"/>
    <n v="0.78559738134206214"/>
    <n v="32.887123809523814"/>
    <n v="7.7402900317460386"/>
    <s v="High"/>
    <s v="Warning"/>
  </r>
  <r>
    <n v="166"/>
    <d v="2026-06-14T00:00:00"/>
    <x v="0"/>
    <s v="Plant B"/>
    <x v="4"/>
    <x v="13"/>
    <x v="0"/>
    <x v="1"/>
    <s v="B260614-0166"/>
    <s v="OP131"/>
    <n v="916"/>
    <n v="810"/>
    <n v="761"/>
    <n v="49"/>
    <n v="19"/>
    <n v="24"/>
    <s v="Machine Breakdown"/>
    <n v="45"/>
    <n v="47"/>
    <n v="75.5"/>
    <n v="2.25"/>
    <n v="26.29"/>
    <n v="16857.3"/>
    <n v="8.49"/>
    <s v="Pending"/>
    <n v="17"/>
    <n v="27193.68"/>
    <n v="0.93950617283950599"/>
    <n v="20914.41"/>
    <n v="395.41814814814802"/>
    <n v="687"/>
    <n v="0.96506550218340603"/>
    <n v="5883.8518518518504"/>
    <n v="0.88427947598253276"/>
    <n v="6.0493827160493827E-2"/>
    <n v="2.3456790123456792E-2"/>
    <n v="0.93950617283950622"/>
    <n v="0.4"/>
    <n v="663"/>
    <n v="1.2217194570135748"/>
    <n v="1.3333333333333333"/>
    <n v="0.91628959276018107"/>
    <n v="0.93950617283950622"/>
    <n v="0.83078602620087338"/>
    <n v="25.820259259259259"/>
    <n v="7.2640146319158649"/>
    <s v="Medium"/>
    <s v="Warning"/>
  </r>
  <r>
    <n v="167"/>
    <d v="2026-06-11T00:00:00"/>
    <x v="0"/>
    <s v="Plant A"/>
    <x v="2"/>
    <x v="9"/>
    <x v="0"/>
    <x v="4"/>
    <s v="B260611-0167"/>
    <s v="OP103"/>
    <n v="661"/>
    <n v="589"/>
    <n v="567"/>
    <n v="22"/>
    <n v="7"/>
    <n v="12"/>
    <s v="Preventive Maintenance"/>
    <n v="57"/>
    <n v="56"/>
    <n v="78.599999999999994"/>
    <n v="1.3"/>
    <n v="17.78"/>
    <n v="15246.24"/>
    <n v="7.12"/>
    <s v="Overdue"/>
    <n v="35"/>
    <n v="26836.06"/>
    <n v="0.96264855687606099"/>
    <n v="18610.259999999998"/>
    <n v="181.194702886248"/>
    <n v="627.95000000000005"/>
    <n v="0.98089019826419299"/>
    <n v="8044.6052971137597"/>
    <n v="0.8910741301059002"/>
    <n v="3.7351443123938878E-2"/>
    <n v="1.1884550084889643E-2"/>
    <n v="0.9626485568760611"/>
    <n v="0.2"/>
    <n v="615.95000000000005"/>
    <n v="0.95624644857537133"/>
    <n v="1.0526315789473684"/>
    <n v="0.90843412614660279"/>
    <n v="0.9626485568760611"/>
    <n v="0.85779122541603625"/>
    <n v="31.596366723259759"/>
    <n v="13.658073509531"/>
    <s v="High"/>
    <s v="Normal"/>
  </r>
  <r>
    <n v="168"/>
    <d v="2026-06-25T00:00:00"/>
    <x v="0"/>
    <s v="Plant A"/>
    <x v="2"/>
    <x v="4"/>
    <x v="1"/>
    <x v="0"/>
    <s v="B260625-0168"/>
    <s v="OP110"/>
    <n v="967"/>
    <n v="949"/>
    <n v="887"/>
    <n v="62"/>
    <n v="23"/>
    <n v="48"/>
    <s v="Machine Breakdown"/>
    <n v="42"/>
    <n v="42"/>
    <n v="72.7"/>
    <n v="2.76"/>
    <n v="34.799999999999997"/>
    <n v="18360.349999999999"/>
    <n v="7.2"/>
    <s v="Scheduled"/>
    <n v="11"/>
    <n v="27708.28"/>
    <n v="0.93466807165437304"/>
    <n v="21913.55"/>
    <n v="444.98213909378302"/>
    <n v="676.9"/>
    <n v="0.92908849165312501"/>
    <n v="5349.74786090622"/>
    <n v="0.98138572905894517"/>
    <n v="6.5331928345626969E-2"/>
    <n v="2.4236037934668071E-2"/>
    <n v="0.93466807165437304"/>
    <n v="0.8"/>
    <n v="628.9"/>
    <n v="1.5089839402130705"/>
    <n v="1.4285714285714286"/>
    <n v="1.0562887581491494"/>
    <n v="0.93466807165437304"/>
    <n v="0.91726990692864585"/>
    <n v="23.091201264488934"/>
    <n v="5.6372474825144572"/>
    <s v="Low"/>
    <s v="Normal"/>
  </r>
  <r>
    <n v="169"/>
    <d v="2026-05-14T00:00:00"/>
    <x v="3"/>
    <s v="Plant B"/>
    <x v="4"/>
    <x v="12"/>
    <x v="1"/>
    <x v="0"/>
    <s v="B260514-0169"/>
    <s v="OP125"/>
    <n v="907"/>
    <n v="776"/>
    <n v="680"/>
    <n v="96"/>
    <n v="21"/>
    <n v="30"/>
    <s v="Setup Time"/>
    <n v="42"/>
    <n v="45"/>
    <n v="86"/>
    <n v="2.62"/>
    <n v="24.33"/>
    <n v="13859.02"/>
    <n v="6.69"/>
    <s v="Scheduled"/>
    <n v="40"/>
    <n v="22043.71"/>
    <n v="0.87628865979381398"/>
    <n v="17088.490000000002"/>
    <n v="375.05079896907199"/>
    <n v="634.9"/>
    <n v="0.95274846432509097"/>
    <n v="4580.1692010309298"/>
    <n v="0.85556780595369353"/>
    <n v="0.12371134020618557"/>
    <n v="2.7061855670103094E-2"/>
    <n v="0.87628865979381443"/>
    <n v="0.5"/>
    <n v="604.9"/>
    <n v="1.2828566705240536"/>
    <n v="1.4285714285714286"/>
    <n v="0.89799966936683751"/>
    <n v="0.87628865979381443"/>
    <n v="0.74972436604189663"/>
    <n v="22.021250000000002"/>
    <n v="5.9022798982357338"/>
    <s v="High"/>
    <s v="Critical"/>
  </r>
  <r>
    <n v="170"/>
    <d v="2026-01-31T00:00:00"/>
    <x v="2"/>
    <s v="Plant A"/>
    <x v="1"/>
    <x v="2"/>
    <x v="1"/>
    <x v="4"/>
    <s v="B260131-0170"/>
    <s v="OP131"/>
    <n v="642"/>
    <n v="637"/>
    <n v="607"/>
    <n v="30"/>
    <n v="6"/>
    <n v="36"/>
    <s v="Machine Breakdown"/>
    <n v="57"/>
    <n v="55"/>
    <n v="69.3"/>
    <n v="1.94"/>
    <n v="23.92"/>
    <n v="17009.34"/>
    <n v="7.73"/>
    <s v="Overdue"/>
    <n v="25"/>
    <n v="28088.46"/>
    <n v="0.95290423861852402"/>
    <n v="20703.12"/>
    <n v="160.213563579278"/>
    <n v="609.9"/>
    <n v="0.94097393015248398"/>
    <n v="7225.12643642072"/>
    <n v="0.99221183800623058"/>
    <n v="4.709576138147567E-2"/>
    <n v="9.4191522762951327E-3"/>
    <n v="0.95290423861852436"/>
    <n v="0.6"/>
    <n v="573.9"/>
    <n v="1.1099494685485276"/>
    <n v="1.0526315789473684"/>
    <n v="1.0544519951211013"/>
    <n v="0.95290423861852436"/>
    <n v="0.94548286604361376"/>
    <n v="32.500973312401882"/>
    <n v="11.342427686688728"/>
    <s v="High"/>
    <s v="Normal"/>
  </r>
  <r>
    <n v="171"/>
    <d v="2026-05-25T00:00:00"/>
    <x v="3"/>
    <s v="Plant A"/>
    <x v="4"/>
    <x v="14"/>
    <x v="0"/>
    <x v="4"/>
    <s v="B260525-0171"/>
    <s v="OP131"/>
    <n v="742"/>
    <n v="670"/>
    <n v="611"/>
    <n v="59"/>
    <n v="24"/>
    <n v="40"/>
    <s v="Machine Breakdown"/>
    <n v="57"/>
    <n v="59"/>
    <n v="65.099999999999994"/>
    <n v="1.85"/>
    <n v="25.47"/>
    <n v="18155.73"/>
    <n v="6.9"/>
    <s v="Completed"/>
    <n v="26"/>
    <n v="28144.3"/>
    <n v="0.91194029850746305"/>
    <n v="21489.96"/>
    <n v="650.35450746268702"/>
    <n v="704.9"/>
    <n v="0.94325436232089699"/>
    <n v="6003.9854925373102"/>
    <n v="0.90296495956873313"/>
    <n v="8.8059701492537307E-2"/>
    <n v="3.5820895522388062E-2"/>
    <n v="0.91194029850746272"/>
    <n v="0.66666666666666663"/>
    <n v="664.9"/>
    <n v="1.007670326364867"/>
    <n v="1.0526315789473684"/>
    <n v="0.95728681004662364"/>
    <n v="0.91194029850746272"/>
    <n v="0.82345013477088991"/>
    <n v="32.074567164179101"/>
    <n v="8.9611723769213576"/>
    <s v="Medium"/>
    <s v="Warning"/>
  </r>
  <r>
    <n v="172"/>
    <d v="2026-05-10T00:00:00"/>
    <x v="3"/>
    <s v="Plant B"/>
    <x v="3"/>
    <x v="11"/>
    <x v="0"/>
    <x v="4"/>
    <s v="B260510-0172"/>
    <s v="OP103"/>
    <n v="744"/>
    <n v="758"/>
    <n v="698"/>
    <n v="60"/>
    <n v="20"/>
    <n v="15"/>
    <s v="Machine Breakdown"/>
    <n v="57"/>
    <n v="60"/>
    <n v="77"/>
    <n v="1.26"/>
    <n v="27.12"/>
    <n v="19702.96"/>
    <n v="9.1199999999999992"/>
    <s v="Completed"/>
    <n v="23"/>
    <n v="32690.38"/>
    <n v="0.920844327176781"/>
    <n v="24051.040000000001"/>
    <n v="519.86701846965695"/>
    <n v="706.8"/>
    <n v="0.97877758913412605"/>
    <n v="8119.4729815303399"/>
    <n v="1.0188172043010753"/>
    <n v="7.9155672823219003E-2"/>
    <n v="2.6385224274406333E-2"/>
    <n v="0.920844327176781"/>
    <n v="0.25"/>
    <n v="691.8"/>
    <n v="1.0956923966464296"/>
    <n v="1.0526315789473684"/>
    <n v="1.0409077768141082"/>
    <n v="0.920844327176781"/>
    <n v="0.93817204301075308"/>
    <n v="31.729604221635885"/>
    <n v="10.711705780383035"/>
    <s v="Low"/>
    <s v="Normal"/>
  </r>
  <r>
    <n v="173"/>
    <d v="2026-04-08T00:00:00"/>
    <x v="5"/>
    <s v="Plant B"/>
    <x v="2"/>
    <x v="9"/>
    <x v="2"/>
    <x v="1"/>
    <s v="B260408-0173"/>
    <s v="OP107"/>
    <n v="897"/>
    <n v="749"/>
    <n v="706"/>
    <n v="43"/>
    <n v="14"/>
    <n v="22"/>
    <s v="Operator Issue"/>
    <n v="45"/>
    <n v="46"/>
    <n v="68.400000000000006"/>
    <n v="2.3199999999999998"/>
    <n v="22.9"/>
    <n v="15639.26"/>
    <n v="7.91"/>
    <s v="Completed"/>
    <n v="15"/>
    <n v="24505.8"/>
    <n v="0.94259012016021404"/>
    <n v="19404.86"/>
    <n v="292.32261682243001"/>
    <n v="672.75"/>
    <n v="0.96729840208101103"/>
    <n v="4808.6173831775704"/>
    <n v="0.83500557413600895"/>
    <n v="5.7409879839786383E-2"/>
    <n v="1.8691588785046728E-2"/>
    <n v="0.9425901201602136"/>
    <n v="0.36666666666666664"/>
    <n v="650.75"/>
    <n v="1.1509796388782174"/>
    <n v="1.3333333333333333"/>
    <n v="0.86323472915866306"/>
    <n v="0.9425901201602136"/>
    <n v="0.78706800445930891"/>
    <n v="25.907690253671564"/>
    <n v="6.4200499107844733"/>
    <s v="High"/>
    <s v="Warning"/>
  </r>
  <r>
    <n v="174"/>
    <d v="2026-02-09T00:00:00"/>
    <x v="4"/>
    <s v="Plant B"/>
    <x v="2"/>
    <x v="10"/>
    <x v="0"/>
    <x v="4"/>
    <s v="B260209-0174"/>
    <s v="OP124"/>
    <n v="676"/>
    <n v="598"/>
    <n v="544"/>
    <n v="54"/>
    <n v="14"/>
    <n v="21"/>
    <s v="Operator Issue"/>
    <n v="57"/>
    <n v="61"/>
    <n v="67.599999999999994"/>
    <n v="2.56"/>
    <n v="20.75"/>
    <n v="16910.29"/>
    <n v="8.8699999999999992"/>
    <s v="Overdue"/>
    <n v="41"/>
    <n v="25396.080000000002"/>
    <n v="0.90969899665551801"/>
    <n v="21088.54"/>
    <n v="395.89307692307699"/>
    <n v="642.20000000000005"/>
    <n v="0.96729990657116205"/>
    <n v="3911.6469230769198"/>
    <n v="0.88461538461538458"/>
    <n v="9.0301003344481601E-2"/>
    <n v="2.3411371237458192E-2"/>
    <n v="0.90969899665551834"/>
    <n v="0.35"/>
    <n v="621.20000000000005"/>
    <n v="0.96265292981326456"/>
    <n v="1.0526315789473684"/>
    <n v="0.91452028332260138"/>
    <n v="0.90969899665551834"/>
    <n v="0.80473372781065111"/>
    <n v="35.265117056856191"/>
    <n v="6.5412155904296316"/>
    <s v="High"/>
    <s v="Warning"/>
  </r>
  <r>
    <n v="175"/>
    <d v="2026-04-25T00:00:00"/>
    <x v="5"/>
    <s v="Plant A"/>
    <x v="0"/>
    <x v="3"/>
    <x v="1"/>
    <x v="1"/>
    <s v="B260425-0175"/>
    <s v="OP104"/>
    <n v="762"/>
    <n v="711"/>
    <n v="688"/>
    <n v="23"/>
    <n v="8"/>
    <n v="0"/>
    <s v="No Downtime"/>
    <n v="45"/>
    <n v="48"/>
    <n v="73.2"/>
    <n v="2.34"/>
    <n v="26.6"/>
    <n v="14401.72"/>
    <n v="8.74"/>
    <s v="Completed"/>
    <n v="9"/>
    <n v="24749.71"/>
    <n v="0.96765119549929701"/>
    <n v="18574.12"/>
    <n v="162.044669479606"/>
    <n v="571.5"/>
    <n v="1"/>
    <n v="6013.5453305203901"/>
    <n v="0.93307086614173229"/>
    <n v="3.2348804500703238E-2"/>
    <n v="1.1251758087201125E-2"/>
    <n v="0.96765119549929679"/>
    <n v="0"/>
    <n v="571.5"/>
    <n v="1.2440944881889764"/>
    <n v="1.3333333333333333"/>
    <n v="0.93307086614173229"/>
    <n v="0.96765119549929679"/>
    <n v="0.90288713910761154"/>
    <n v="26.123938115330517"/>
    <n v="8.4578696631791708"/>
    <s v="Low"/>
    <s v="Normal"/>
  </r>
  <r>
    <n v="176"/>
    <d v="2026-01-15T00:00:00"/>
    <x v="2"/>
    <s v="Plant A"/>
    <x v="1"/>
    <x v="2"/>
    <x v="0"/>
    <x v="2"/>
    <s v="B260115-0176"/>
    <s v="OP134"/>
    <n v="523"/>
    <n v="479"/>
    <n v="452"/>
    <n v="27"/>
    <n v="11"/>
    <n v="24"/>
    <s v="Quality Inspection"/>
    <n v="64"/>
    <n v="67"/>
    <n v="69.8"/>
    <n v="1.68"/>
    <n v="15.06"/>
    <n v="14669.8"/>
    <n v="8.6199999999999992"/>
    <s v="Scheduled"/>
    <n v="28"/>
    <n v="23081.37"/>
    <n v="0.94363256784968697"/>
    <n v="18684.34"/>
    <n v="336.88475991649301"/>
    <n v="557.86666666666702"/>
    <n v="0.95697896749522005"/>
    <n v="4060.1452400835101"/>
    <n v="0.91586998087954108"/>
    <n v="5.6367432150313153E-2"/>
    <n v="2.2964509394572025E-2"/>
    <n v="0.94363256784968685"/>
    <n v="0.4"/>
    <n v="533.86666666666702"/>
    <n v="0.89722777222777161"/>
    <n v="0.9375"/>
    <n v="0.95704295704295639"/>
    <n v="0.94363256784968685"/>
    <n v="0.86424474187380451"/>
    <n v="39.006972860125259"/>
    <n v="8.4762948644749692"/>
    <s v="Low"/>
    <s v="Normal"/>
  </r>
  <r>
    <n v="177"/>
    <d v="2026-01-04T00:00:00"/>
    <x v="2"/>
    <s v="Plant A"/>
    <x v="0"/>
    <x v="0"/>
    <x v="0"/>
    <x v="1"/>
    <s v="B260104-0177"/>
    <s v="OP123"/>
    <n v="857"/>
    <n v="878"/>
    <n v="846"/>
    <n v="32"/>
    <n v="8"/>
    <n v="42"/>
    <s v="Machine Breakdown"/>
    <n v="45"/>
    <n v="49"/>
    <n v="70.2"/>
    <n v="1.88"/>
    <n v="38.21"/>
    <n v="18985.439999999999"/>
    <n v="10.34"/>
    <s v="Pending"/>
    <n v="21"/>
    <n v="29743.06"/>
    <n v="0.96355353075170902"/>
    <n v="23982.33"/>
    <n v="172.98806378132099"/>
    <n v="642.75"/>
    <n v="0.93465577596266103"/>
    <n v="5587.7419362186802"/>
    <n v="1.0245040840140023"/>
    <n v="3.644646924829157E-2"/>
    <n v="9.1116173120728925E-3"/>
    <n v="0.96355353075170846"/>
    <n v="0.7"/>
    <n v="600.75"/>
    <n v="1.4615064502704953"/>
    <n v="1.3333333333333333"/>
    <n v="1.0961298377028716"/>
    <n v="0.96355353075170846"/>
    <n v="0.98716452742123773"/>
    <n v="27.31472665148064"/>
    <n v="6.3641707701807295"/>
    <s v="Medium"/>
    <s v="Normal"/>
  </r>
  <r>
    <n v="178"/>
    <d v="2026-06-27T00:00:00"/>
    <x v="0"/>
    <s v="Plant B"/>
    <x v="1"/>
    <x v="6"/>
    <x v="1"/>
    <x v="0"/>
    <s v="B260627-0178"/>
    <s v="OP122"/>
    <n v="954"/>
    <n v="903"/>
    <n v="859"/>
    <n v="44"/>
    <n v="15"/>
    <n v="47"/>
    <s v="Tool Change"/>
    <n v="42"/>
    <n v="42"/>
    <n v="65.5"/>
    <n v="2.61"/>
    <n v="37.1"/>
    <n v="16411.009999999998"/>
    <n v="8.49"/>
    <s v="Pending"/>
    <n v="27"/>
    <n v="27097.7"/>
    <n v="0.95127353266888204"/>
    <n v="20565.41"/>
    <n v="272.608139534884"/>
    <n v="667.8"/>
    <n v="0.929619646600779"/>
    <n v="6259.6818604651198"/>
    <n v="0.94654088050314467"/>
    <n v="4.8726467331118496E-2"/>
    <n v="1.6611295681063124E-2"/>
    <n v="0.95127353266888148"/>
    <n v="0.78333333333333333"/>
    <n v="620.79999999999995"/>
    <n v="1.4545747422680413"/>
    <n v="1.4285714285714286"/>
    <n v="1.0182023195876289"/>
    <n v="0.95127353266888148"/>
    <n v="0.90041928721174036"/>
    <n v="22.774540420819491"/>
    <n v="6.9320950835715616"/>
    <s v="Medium"/>
    <s v="Normal"/>
  </r>
  <r>
    <n v="179"/>
    <d v="2026-03-15T00:00:00"/>
    <x v="1"/>
    <s v="Plant A"/>
    <x v="1"/>
    <x v="6"/>
    <x v="1"/>
    <x v="3"/>
    <s v="B260315-0179"/>
    <s v="OP112"/>
    <n v="863"/>
    <n v="818"/>
    <n v="777"/>
    <n v="41"/>
    <n v="10"/>
    <n v="42"/>
    <s v="Machine Breakdown"/>
    <n v="49"/>
    <n v="52"/>
    <n v="70.599999999999994"/>
    <n v="2.0499999999999998"/>
    <n v="28.21"/>
    <n v="18722.32"/>
    <n v="7.94"/>
    <s v="Pending"/>
    <n v="27"/>
    <n v="28852.59"/>
    <n v="0.94987775061124702"/>
    <n v="22549.21"/>
    <n v="228.879217603912"/>
    <n v="704.78333333333296"/>
    <n v="0.94040721734812105"/>
    <n v="6074.5007823960896"/>
    <n v="0.947856315179606"/>
    <n v="5.0122249388753058E-2"/>
    <n v="1.2224938875305624E-2"/>
    <n v="0.94987775061124691"/>
    <n v="0.7"/>
    <n v="662.78333333333296"/>
    <n v="1.2341891518092898"/>
    <n v="1.2244897959183674"/>
    <n v="1.0079211406442532"/>
    <n v="0.94987775061124691"/>
    <n v="0.90034762456546957"/>
    <n v="27.566271393643031"/>
    <n v="7.4260400762788379"/>
    <s v="Medium"/>
    <s v="Normal"/>
  </r>
  <r>
    <n v="180"/>
    <d v="2026-01-21T00:00:00"/>
    <x v="2"/>
    <s v="Plant B"/>
    <x v="2"/>
    <x v="4"/>
    <x v="1"/>
    <x v="4"/>
    <s v="B260121-0180"/>
    <s v="OP103"/>
    <n v="737"/>
    <n v="687"/>
    <n v="636"/>
    <n v="51"/>
    <n v="20"/>
    <n v="9"/>
    <s v="Setup Time"/>
    <n v="57"/>
    <n v="62"/>
    <n v="75.900000000000006"/>
    <n v="1.71"/>
    <n v="22.13"/>
    <n v="19066.310000000001"/>
    <n v="6.88"/>
    <s v="Scheduled"/>
    <n v="15"/>
    <n v="29217.94"/>
    <n v="0.92576419213973804"/>
    <n v="22361.48"/>
    <n v="555.05997088791901"/>
    <n v="700.15"/>
    <n v="0.98714561165464498"/>
    <n v="6301.4000291120801"/>
    <n v="0.93215739484396198"/>
    <n v="7.4235807860262015E-2"/>
    <n v="2.9112081513828238E-2"/>
    <n v="0.92576419213973804"/>
    <n v="0.15"/>
    <n v="691.15"/>
    <n v="0.99399551472184045"/>
    <n v="1.0526315789473684"/>
    <n v="0.94429573898574848"/>
    <n v="0.92576419213973804"/>
    <n v="0.86295793758480299"/>
    <n v="32.549461426491995"/>
    <n v="9.1723435649375258"/>
    <s v="Low"/>
    <s v="Normal"/>
  </r>
  <r>
    <n v="181"/>
    <d v="2026-05-19T00:00:00"/>
    <x v="3"/>
    <s v="Plant A"/>
    <x v="2"/>
    <x v="10"/>
    <x v="0"/>
    <x v="1"/>
    <s v="B260519-0181"/>
    <s v="OP112"/>
    <n v="914"/>
    <n v="969"/>
    <n v="877"/>
    <n v="92"/>
    <n v="22"/>
    <n v="8"/>
    <s v="Machine Breakdown"/>
    <n v="45"/>
    <n v="46"/>
    <n v="69.8"/>
    <n v="1.88"/>
    <n v="33.549999999999997"/>
    <n v="19544.900000000001"/>
    <n v="9.3800000000000008"/>
    <s v="Completed"/>
    <n v="19"/>
    <n v="31064.65"/>
    <n v="0.90505675954592402"/>
    <n v="24067.85"/>
    <n v="443.74385964912301"/>
    <n v="685.5"/>
    <n v="0.98832968636032104"/>
    <n v="6553.05614035088"/>
    <n v="1.0601750547045952"/>
    <n v="9.4943240454076372E-2"/>
    <n v="2.2703818369453045E-2"/>
    <n v="0.90505675954592368"/>
    <n v="0.13333333333333333"/>
    <n v="677.5"/>
    <n v="1.4302583025830258"/>
    <n v="1.3333333333333333"/>
    <n v="1.0726937269372694"/>
    <n v="0.90505675954592368"/>
    <n v="0.95951859956236352"/>
    <n v="24.837822497420021"/>
    <n v="6.762699835243426"/>
    <s v="Medium"/>
    <s v="Warning"/>
  </r>
  <r>
    <n v="182"/>
    <d v="2026-04-06T00:00:00"/>
    <x v="5"/>
    <s v="Plant B"/>
    <x v="1"/>
    <x v="2"/>
    <x v="1"/>
    <x v="4"/>
    <s v="B260406-0182"/>
    <s v="OP115"/>
    <n v="728"/>
    <n v="699"/>
    <n v="671"/>
    <n v="28"/>
    <n v="10"/>
    <n v="19"/>
    <s v="Power Failure"/>
    <n v="57"/>
    <n v="58"/>
    <n v="79.7"/>
    <n v="2.96"/>
    <n v="22.22"/>
    <n v="20365.61"/>
    <n v="9.6"/>
    <s v="Completed"/>
    <n v="17"/>
    <n v="31274.47"/>
    <n v="0.95994277539341899"/>
    <n v="24885.59"/>
    <n v="291.35350500715299"/>
    <n v="691.6"/>
    <n v="0.97252747252747296"/>
    <n v="6097.5264949928496"/>
    <n v="0.9601648351648352"/>
    <n v="4.005722460658083E-2"/>
    <n v="1.4306151645207439E-2"/>
    <n v="0.95994277539341921"/>
    <n v="0.31666666666666665"/>
    <n v="672.6"/>
    <n v="1.039250669045495"/>
    <n v="1.0526315789473684"/>
    <n v="0.98728813559322026"/>
    <n v="0.95994277539341921"/>
    <n v="0.92170329670329709"/>
    <n v="35.601702432045776"/>
    <n v="8.7232138698037911"/>
    <s v="Low"/>
    <s v="Normal"/>
  </r>
  <r>
    <n v="183"/>
    <d v="2026-05-05T00:00:00"/>
    <x v="3"/>
    <s v="Plant B"/>
    <x v="4"/>
    <x v="12"/>
    <x v="2"/>
    <x v="0"/>
    <s v="B260505-0183"/>
    <s v="OP107"/>
    <n v="803"/>
    <n v="580"/>
    <n v="476"/>
    <n v="104"/>
    <n v="35"/>
    <n v="27"/>
    <s v="Quality Inspection"/>
    <n v="42"/>
    <n v="45"/>
    <n v="87.4"/>
    <n v="3.96"/>
    <n v="22.3"/>
    <n v="10452.66"/>
    <n v="5.98"/>
    <s v="Overdue"/>
    <n v="54"/>
    <n v="15483.09"/>
    <n v="0.82068965517241399"/>
    <n v="13344.36"/>
    <n v="630.76396551724099"/>
    <n v="562.1"/>
    <n v="0.95196584237680104"/>
    <n v="1507.9660344827601"/>
    <n v="0.72229140722291407"/>
    <n v="0.1793103448275862"/>
    <n v="6.0344827586206899E-2"/>
    <n v="0.82068965517241377"/>
    <n v="0.45"/>
    <n v="535.1"/>
    <n v="1.083909549616894"/>
    <n v="1.4285714285714286"/>
    <n v="0.75873668473182576"/>
    <n v="0.82068965517241377"/>
    <n v="0.59277708592777067"/>
    <n v="23.007517241379311"/>
    <n v="2.5999414387633792"/>
    <s v="High"/>
    <s v="Critical"/>
  </r>
  <r>
    <n v="184"/>
    <d v="2026-04-25T00:00:00"/>
    <x v="5"/>
    <s v="Plant A"/>
    <x v="1"/>
    <x v="6"/>
    <x v="0"/>
    <x v="4"/>
    <s v="B260425-0184"/>
    <s v="OP110"/>
    <n v="742"/>
    <n v="697"/>
    <n v="663"/>
    <n v="34"/>
    <n v="8"/>
    <n v="26"/>
    <s v="Preventive Maintenance"/>
    <n v="57"/>
    <n v="59"/>
    <n v="73.099999999999994"/>
    <n v="1.93"/>
    <n v="23.6"/>
    <n v="18632.66"/>
    <n v="8.76"/>
    <s v="Completed"/>
    <n v="13"/>
    <n v="30397.17"/>
    <n v="0.95121951219512202"/>
    <n v="22787.06"/>
    <n v="213.861233859397"/>
    <n v="704.9"/>
    <n v="0.96311533550858297"/>
    <n v="7396.2487661406003"/>
    <n v="0.93935309973045822"/>
    <n v="4.878048780487805E-2"/>
    <n v="1.1477761836441894E-2"/>
    <n v="0.95121951219512191"/>
    <n v="0.43333333333333335"/>
    <n v="678.9"/>
    <n v="1.0266607747827368"/>
    <n v="1.0526315789473684"/>
    <n v="0.97532773604360001"/>
    <n v="0.95121951219512191"/>
    <n v="0.89353099730458241"/>
    <n v="32.693055954088955"/>
    <n v="10.611547727604879"/>
    <s v="Low"/>
    <s v="Normal"/>
  </r>
  <r>
    <n v="185"/>
    <d v="2026-04-03T00:00:00"/>
    <x v="5"/>
    <s v="Plant B"/>
    <x v="1"/>
    <x v="5"/>
    <x v="0"/>
    <x v="0"/>
    <s v="B260403-0185"/>
    <s v="OP116"/>
    <n v="848"/>
    <n v="1007"/>
    <n v="974"/>
    <n v="33"/>
    <n v="12"/>
    <n v="13"/>
    <s v="Machine Breakdown"/>
    <n v="42"/>
    <n v="41"/>
    <n v="76"/>
    <n v="1.94"/>
    <n v="29.88"/>
    <n v="17858.849999999999"/>
    <n v="11.12"/>
    <s v="Overdue"/>
    <n v="22"/>
    <n v="30811.51"/>
    <n v="0.96722939424031795"/>
    <n v="23131.77"/>
    <n v="212.81648460774599"/>
    <n v="593.6"/>
    <n v="0.97809973045822096"/>
    <n v="7466.92351539226"/>
    <n v="1.1875"/>
    <n v="3.2770605759682221E-2"/>
    <n v="1.1916583912611719E-2"/>
    <n v="0.96722939424031773"/>
    <n v="0.21666666666666667"/>
    <n v="580.6"/>
    <n v="1.7344126765415087"/>
    <n v="1.4285714285714286"/>
    <n v="1.214088873579056"/>
    <n v="0.96722939424031773"/>
    <n v="1.1485849056603772"/>
    <n v="22.970973187686198"/>
    <n v="7.4150183866854622"/>
    <s v="High"/>
    <s v="Normal"/>
  </r>
  <r>
    <n v="186"/>
    <d v="2026-03-05T00:00:00"/>
    <x v="1"/>
    <s v="Plant B"/>
    <x v="1"/>
    <x v="6"/>
    <x v="0"/>
    <x v="4"/>
    <s v="B260305-0186"/>
    <s v="OP111"/>
    <n v="527"/>
    <n v="571"/>
    <n v="535"/>
    <n v="36"/>
    <n v="11"/>
    <n v="0"/>
    <s v="No Downtime"/>
    <n v="57"/>
    <n v="62"/>
    <n v="62.1"/>
    <n v="2.2599999999999998"/>
    <n v="16.989999999999998"/>
    <n v="15776.53"/>
    <n v="9.91"/>
    <s v="Scheduled"/>
    <n v="23"/>
    <n v="24977.54"/>
    <n v="0.93695271453590201"/>
    <n v="20388.939999999999"/>
    <n v="303.92614711033298"/>
    <n v="500.65"/>
    <n v="1"/>
    <n v="4284.6738528896703"/>
    <n v="1.0834914611005693"/>
    <n v="6.3047285464098074E-2"/>
    <n v="1.9264448336252189E-2"/>
    <n v="0.9369527145359019"/>
    <n v="0"/>
    <n v="500.65"/>
    <n v="1.1405173274742835"/>
    <n v="1.0526315789473684"/>
    <n v="1.0834914611005693"/>
    <n v="0.9369527145359019"/>
    <n v="1.0151802656546489"/>
    <n v="35.707425569176877"/>
    <n v="7.5038070978803333"/>
    <s v="Low"/>
    <s v="Normal"/>
  </r>
  <r>
    <n v="187"/>
    <d v="2026-05-25T00:00:00"/>
    <x v="3"/>
    <s v="Plant B"/>
    <x v="2"/>
    <x v="9"/>
    <x v="1"/>
    <x v="3"/>
    <s v="B260525-0187"/>
    <s v="OP123"/>
    <n v="866"/>
    <n v="853"/>
    <n v="808"/>
    <n v="45"/>
    <n v="12"/>
    <n v="0"/>
    <s v="No Downtime"/>
    <n v="49"/>
    <n v="50"/>
    <n v="76.2"/>
    <n v="2.88"/>
    <n v="29.09"/>
    <n v="19716.509999999998"/>
    <n v="10.17"/>
    <s v="Scheduled"/>
    <n v="28"/>
    <n v="29799.7"/>
    <n v="0.94724501758499402"/>
    <n v="24554.82"/>
    <n v="277.37177022274301"/>
    <n v="707.23333333333301"/>
    <n v="1"/>
    <n v="4967.5082297772597"/>
    <n v="0.98498845265588919"/>
    <n v="5.2754982415005862E-2"/>
    <n v="1.4067995310668231E-2"/>
    <n v="0.94724501758499413"/>
    <n v="0"/>
    <n v="707.23333333333301"/>
    <n v="1.2061083093745586"/>
    <n v="1.2244897959183674"/>
    <n v="0.98498845265588952"/>
    <n v="0.94724501758499413"/>
    <n v="0.93302540415704427"/>
    <n v="28.786424384525205"/>
    <n v="5.8235735401843609"/>
    <s v="Low"/>
    <s v="Normal"/>
  </r>
  <r>
    <n v="188"/>
    <d v="2026-04-21T00:00:00"/>
    <x v="5"/>
    <s v="Plant B"/>
    <x v="2"/>
    <x v="4"/>
    <x v="2"/>
    <x v="4"/>
    <s v="B260421-0188"/>
    <s v="OP113"/>
    <n v="625"/>
    <n v="595"/>
    <n v="557"/>
    <n v="38"/>
    <n v="13"/>
    <n v="11"/>
    <s v="Quality Inspection"/>
    <n v="57"/>
    <n v="62"/>
    <n v="73.7"/>
    <n v="1.81"/>
    <n v="21.39"/>
    <n v="16584.8"/>
    <n v="9.0299999999999994"/>
    <s v="Completed"/>
    <n v="24"/>
    <n v="25850.23"/>
    <n v="0.93613445378151305"/>
    <n v="20840.810000000001"/>
    <n v="362.35697478991602"/>
    <n v="593.75"/>
    <n v="0.98147368421052605"/>
    <n v="4647.06302521009"/>
    <n v="0.95199999999999996"/>
    <n v="6.386554621848739E-2"/>
    <n v="2.1848739495798318E-2"/>
    <n v="0.93613445378151261"/>
    <n v="0.18333333333333332"/>
    <n v="582.75"/>
    <n v="1.0210210210210211"/>
    <n v="1.0526315789473684"/>
    <n v="0.96996996996997009"/>
    <n v="0.93613445378151261"/>
    <n v="0.89119999999999988"/>
    <n v="35.02657142857143"/>
    <n v="7.8101899583362862"/>
    <s v="Low"/>
    <s v="Normal"/>
  </r>
  <r>
    <n v="189"/>
    <d v="2026-05-17T00:00:00"/>
    <x v="3"/>
    <s v="Plant B"/>
    <x v="1"/>
    <x v="5"/>
    <x v="2"/>
    <x v="0"/>
    <s v="B260517-0189"/>
    <s v="OP119"/>
    <n v="776"/>
    <n v="746"/>
    <n v="720"/>
    <n v="26"/>
    <n v="6"/>
    <n v="11"/>
    <s v="Preventive Maintenance"/>
    <n v="42"/>
    <n v="43"/>
    <n v="72.2"/>
    <n v="1.75"/>
    <n v="28.53"/>
    <n v="13358.5"/>
    <n v="7.4"/>
    <s v="Completed"/>
    <n v="16"/>
    <n v="22821.46"/>
    <n v="0.96514745308311001"/>
    <n v="16945.27"/>
    <n v="107.441018766756"/>
    <n v="543.20000000000005"/>
    <n v="0.979749631811487"/>
    <n v="5768.7489812332396"/>
    <n v="0.96134020618556704"/>
    <n v="3.4852546916890083E-2"/>
    <n v="8.0428954423592495E-3"/>
    <n v="0.9651474530831099"/>
    <n v="0.18333333333333332"/>
    <n v="532.20000000000005"/>
    <n v="1.4017286734310408"/>
    <n v="1.4285714285714286"/>
    <n v="0.98121007140172856"/>
    <n v="0.9651474530831099"/>
    <n v="0.92783505154639112"/>
    <n v="22.714839142091154"/>
    <n v="7.7329074815458974"/>
    <s v="Low"/>
    <s v="Normal"/>
  </r>
  <r>
    <n v="190"/>
    <d v="2026-03-21T00:00:00"/>
    <x v="1"/>
    <s v="Plant B"/>
    <x v="4"/>
    <x v="13"/>
    <x v="1"/>
    <x v="0"/>
    <s v="B260321-0190"/>
    <s v="OP106"/>
    <n v="794"/>
    <n v="646"/>
    <n v="607"/>
    <n v="39"/>
    <n v="8"/>
    <n v="22"/>
    <s v="Tool Change"/>
    <n v="42"/>
    <n v="41"/>
    <n v="77"/>
    <n v="1.38"/>
    <n v="25.53"/>
    <n v="12339.97"/>
    <n v="7.05"/>
    <s v="Pending"/>
    <n v="22"/>
    <n v="18880.330000000002"/>
    <n v="0.93962848297213597"/>
    <n v="15742.24"/>
    <n v="152.816965944272"/>
    <n v="555.79999999999995"/>
    <n v="0.96041741633681199"/>
    <n v="2985.27303405573"/>
    <n v="0.81360201511335017"/>
    <n v="6.037151702786378E-2"/>
    <n v="1.238390092879257E-2"/>
    <n v="0.93962848297213619"/>
    <n v="0.36666666666666664"/>
    <n v="533.79999999999995"/>
    <n v="1.2101910828025479"/>
    <n v="1.4285714285714286"/>
    <n v="0.84713375796178358"/>
    <n v="0.93962848297213619"/>
    <n v="0.7644836272040304"/>
    <n v="24.368792569659444"/>
    <n v="4.6211656873927707"/>
    <s v="High"/>
    <s v="Warning"/>
  </r>
  <r>
    <n v="191"/>
    <d v="2026-04-28T00:00:00"/>
    <x v="5"/>
    <s v="Plant A"/>
    <x v="2"/>
    <x v="9"/>
    <x v="2"/>
    <x v="4"/>
    <s v="B260428-0191"/>
    <s v="OP120"/>
    <n v="759"/>
    <n v="643"/>
    <n v="605"/>
    <n v="38"/>
    <n v="9"/>
    <n v="17"/>
    <s v="Setup Time"/>
    <n v="57"/>
    <n v="61"/>
    <n v="79.099999999999994"/>
    <n v="2.35"/>
    <n v="19.97"/>
    <n v="17310.14"/>
    <n v="6.57"/>
    <s v="Completed"/>
    <n v="21"/>
    <n v="27194.89"/>
    <n v="0.94090202177293902"/>
    <n v="20446.37"/>
    <n v="242.288118195956"/>
    <n v="721.05"/>
    <n v="0.97642327161777998"/>
    <n v="6506.2318818040403"/>
    <n v="0.84716732542819495"/>
    <n v="5.909797822706065E-2"/>
    <n v="1.3996889580093312E-2"/>
    <n v="0.94090202177293936"/>
    <n v="0.28333333333333333"/>
    <n v="704.05"/>
    <n v="0.91328740856473267"/>
    <n v="1.0526315789473684"/>
    <n v="0.86762303813649611"/>
    <n v="0.94090202177293936"/>
    <n v="0.79710144927536275"/>
    <n v="31.798398133748055"/>
    <n v="10.118556581343764"/>
    <s v="High"/>
    <s v="Warning"/>
  </r>
  <r>
    <n v="192"/>
    <d v="2026-03-04T00:00:00"/>
    <x v="1"/>
    <s v="Plant A"/>
    <x v="0"/>
    <x v="0"/>
    <x v="2"/>
    <x v="4"/>
    <s v="B260304-0192"/>
    <s v="OP110"/>
    <n v="615"/>
    <n v="590"/>
    <n v="551"/>
    <n v="39"/>
    <n v="12"/>
    <n v="32"/>
    <s v="Preventive Maintenance"/>
    <n v="57"/>
    <n v="59"/>
    <n v="82.6"/>
    <n v="2.4900000000000002"/>
    <n v="19.09"/>
    <n v="15868.19"/>
    <n v="8.67"/>
    <s v="Overdue"/>
    <n v="47"/>
    <n v="25113.81"/>
    <n v="0.93389830508474603"/>
    <n v="19941.5"/>
    <n v="322.74284745762702"/>
    <n v="584.25"/>
    <n v="0.94522892597346997"/>
    <n v="4849.5671525423704"/>
    <n v="0.95934959349593496"/>
    <n v="6.6101694915254236E-2"/>
    <n v="2.0338983050847456E-2"/>
    <n v="0.93389830508474581"/>
    <n v="0.53333333333333333"/>
    <n v="552.25"/>
    <n v="1.0683567224988684"/>
    <n v="1.0526315789473684"/>
    <n v="1.014938886373925"/>
    <n v="0.93389830508474581"/>
    <n v="0.89593495934959344"/>
    <n v="33.79915254237288"/>
    <n v="8.2196053432921534"/>
    <s v="High"/>
    <s v="Warning"/>
  </r>
  <r>
    <n v="193"/>
    <d v="2026-04-23T00:00:00"/>
    <x v="5"/>
    <s v="Plant A"/>
    <x v="0"/>
    <x v="0"/>
    <x v="0"/>
    <x v="1"/>
    <s v="B260423-0193"/>
    <s v="OP117"/>
    <n v="700"/>
    <n v="707"/>
    <n v="671"/>
    <n v="36"/>
    <n v="14"/>
    <n v="25"/>
    <s v="Quality Inspection"/>
    <n v="45"/>
    <n v="44"/>
    <n v="76.3"/>
    <n v="2.0099999999999998"/>
    <n v="25.84"/>
    <n v="13893.51"/>
    <n v="8.26"/>
    <s v="Completed"/>
    <n v="14"/>
    <n v="23297.75"/>
    <n v="0.94908062234794899"/>
    <n v="17843.07"/>
    <n v="275.11900990099002"/>
    <n v="525"/>
    <n v="0.952380952380952"/>
    <n v="5179.5609900990103"/>
    <n v="1.01"/>
    <n v="5.0919377652050922E-2"/>
    <n v="1.9801980198019802E-2"/>
    <n v="0.9490806223479491"/>
    <n v="0.41666666666666669"/>
    <n v="500"/>
    <n v="1.4139999999999999"/>
    <n v="1.3333333333333333"/>
    <n v="1.0605"/>
    <n v="0.9490806223479491"/>
    <n v="0.95857142857142819"/>
    <n v="25.237722772277227"/>
    <n v="7.3261117257411748"/>
    <s v="Low"/>
    <s v="Normal"/>
  </r>
  <r>
    <n v="194"/>
    <d v="2026-01-01T00:00:00"/>
    <x v="2"/>
    <s v="Plant B"/>
    <x v="3"/>
    <x v="8"/>
    <x v="1"/>
    <x v="3"/>
    <s v="B260101-0194"/>
    <s v="OP116"/>
    <n v="784"/>
    <n v="736"/>
    <n v="687"/>
    <n v="49"/>
    <n v="13"/>
    <n v="11"/>
    <s v="Material Shortage"/>
    <n v="49"/>
    <n v="51"/>
    <n v="65.7"/>
    <n v="2.1"/>
    <n v="27.17"/>
    <n v="16237.08"/>
    <n v="6.97"/>
    <s v="Scheduled"/>
    <n v="14"/>
    <n v="25526.09"/>
    <n v="0.93342391304347805"/>
    <n v="19618.11"/>
    <n v="286.79624999999999"/>
    <n v="640.26666666666699"/>
    <n v="0.98281965847563502"/>
    <n v="5621.1837500000001"/>
    <n v="0.93877551020408168"/>
    <n v="6.6576086956521743E-2"/>
    <n v="1.7663043478260868E-2"/>
    <n v="0.93342391304347827"/>
    <n v="0.18333333333333332"/>
    <n v="629.26666666666699"/>
    <n v="1.1696154253628557"/>
    <n v="1.2244897959183674"/>
    <n v="0.95518593071299873"/>
    <n v="0.93342391304347827"/>
    <n v="0.87627551020408101"/>
    <n v="26.655040760869564"/>
    <n v="7.6374779211956527"/>
    <s v="Low"/>
    <s v="Normal"/>
  </r>
  <r>
    <n v="195"/>
    <d v="2026-01-09T00:00:00"/>
    <x v="2"/>
    <s v="Plant A"/>
    <x v="0"/>
    <x v="1"/>
    <x v="0"/>
    <x v="0"/>
    <s v="B260109-0195"/>
    <s v="OP125"/>
    <n v="970"/>
    <n v="1055"/>
    <n v="990"/>
    <n v="65"/>
    <n v="13"/>
    <n v="10"/>
    <s v="Material Shortage"/>
    <n v="42"/>
    <n v="44"/>
    <n v="77"/>
    <n v="2.21"/>
    <n v="40.9"/>
    <n v="19653.39"/>
    <n v="11.2"/>
    <s v="Scheduled"/>
    <n v="21"/>
    <n v="31431.13"/>
    <n v="0.93838862559241698"/>
    <n v="25061.49"/>
    <n v="242.17447393364901"/>
    <n v="679"/>
    <n v="0.98527245949926401"/>
    <n v="6127.4655260663503"/>
    <n v="1.0876288659793814"/>
    <n v="6.1611374407582936E-2"/>
    <n v="1.2322274881516588E-2"/>
    <n v="0.93838862559241709"/>
    <n v="0.16666666666666666"/>
    <n v="669"/>
    <n v="1.5769805680119582"/>
    <n v="1.4285714285714286"/>
    <n v="1.1038863976083706"/>
    <n v="0.93838862559241709"/>
    <n v="1.0206185567010313"/>
    <n v="23.754966824644551"/>
    <n v="5.8080241953235552"/>
    <s v="Low"/>
    <s v="Normal"/>
  </r>
  <r>
    <n v="196"/>
    <d v="2026-01-15T00:00:00"/>
    <x v="2"/>
    <s v="Plant B"/>
    <x v="2"/>
    <x v="4"/>
    <x v="1"/>
    <x v="1"/>
    <s v="B260115-0196"/>
    <s v="OP105"/>
    <n v="790"/>
    <n v="794"/>
    <n v="741"/>
    <n v="53"/>
    <n v="12"/>
    <n v="48"/>
    <s v="Tool Change"/>
    <n v="45"/>
    <n v="44"/>
    <n v="68.3"/>
    <n v="2.0299999999999998"/>
    <n v="32.44"/>
    <n v="15506.47"/>
    <n v="9.35"/>
    <s v="Scheduled"/>
    <n v="37"/>
    <n v="25870.77"/>
    <n v="0.93324937027707799"/>
    <n v="20005.93"/>
    <n v="234.35471032745599"/>
    <n v="592.5"/>
    <n v="0.91898734177215202"/>
    <n v="5630.4852896725397"/>
    <n v="1.0050632911392405"/>
    <n v="6.6750629722921909E-2"/>
    <n v="1.5113350125944584E-2"/>
    <n v="0.93324937027707811"/>
    <n v="0.8"/>
    <n v="544.5"/>
    <n v="1.45821854912764"/>
    <n v="1.3333333333333333"/>
    <n v="1.0936639118457301"/>
    <n v="0.93324937027707811"/>
    <n v="0.93797468354430402"/>
    <n v="25.196385390428212"/>
    <n v="7.0912912968168005"/>
    <s v="Medium"/>
    <s v="Normal"/>
  </r>
  <r>
    <n v="197"/>
    <d v="2026-06-20T00:00:00"/>
    <x v="0"/>
    <s v="Plant B"/>
    <x v="0"/>
    <x v="3"/>
    <x v="2"/>
    <x v="4"/>
    <s v="B260620-0197"/>
    <s v="OP133"/>
    <n v="606"/>
    <n v="466"/>
    <n v="445"/>
    <n v="21"/>
    <n v="8"/>
    <n v="15"/>
    <s v="Setup Time"/>
    <n v="57"/>
    <n v="64"/>
    <n v="66.7"/>
    <n v="2.2999999999999998"/>
    <n v="15.68"/>
    <n v="12885.16"/>
    <n v="6.49"/>
    <s v="Scheduled"/>
    <n v="8"/>
    <n v="20770.39"/>
    <n v="0.95493562231759699"/>
    <n v="15946.78"/>
    <n v="221.20446351931301"/>
    <n v="575.70000000000005"/>
    <n v="0.973944762897342"/>
    <n v="4602.40553648069"/>
    <n v="0.76897689768976896"/>
    <n v="4.5064377682403435E-2"/>
    <n v="1.7167381974248927E-2"/>
    <n v="0.95493562231759654"/>
    <n v="0.25"/>
    <n v="560.70000000000005"/>
    <n v="0.83110397717139284"/>
    <n v="1.0526315789473684"/>
    <n v="0.78954877831282322"/>
    <n v="0.95493562231759654"/>
    <n v="0.73432343234323394"/>
    <n v="34.220557939914166"/>
    <n v="9.8764067306452574"/>
    <s v="High"/>
    <s v="Critical"/>
  </r>
  <r>
    <n v="198"/>
    <d v="2026-04-03T00:00:00"/>
    <x v="5"/>
    <s v="Plant B"/>
    <x v="1"/>
    <x v="2"/>
    <x v="0"/>
    <x v="0"/>
    <s v="B260403-0198"/>
    <s v="OP119"/>
    <n v="728"/>
    <n v="740"/>
    <n v="703"/>
    <n v="37"/>
    <n v="13"/>
    <n v="34"/>
    <s v="Material Shortage"/>
    <n v="42"/>
    <n v="42"/>
    <n v="72.599999999999994"/>
    <n v="1.98"/>
    <n v="25.32"/>
    <n v="13782.53"/>
    <n v="10.42"/>
    <s v="Completed"/>
    <n v="13"/>
    <n v="21872.05"/>
    <n v="0.95"/>
    <n v="18699.41"/>
    <n v="242.125527027027"/>
    <n v="509.6"/>
    <n v="0.93328100470957598"/>
    <n v="2930.51447297297"/>
    <n v="1.0164835164835164"/>
    <n v="0.05"/>
    <n v="1.7567567567567569E-2"/>
    <n v="0.95"/>
    <n v="0.56666666666666665"/>
    <n v="475.6"/>
    <n v="1.5559293523969722"/>
    <n v="1.4285714285714286"/>
    <n v="1.0891505466778806"/>
    <n v="0.95"/>
    <n v="0.96565934065934056"/>
    <n v="25.269472972972974"/>
    <n v="3.9601546932067162"/>
    <s v="Low"/>
    <s v="Normal"/>
  </r>
  <r>
    <n v="199"/>
    <d v="2026-04-02T00:00:00"/>
    <x v="5"/>
    <s v="Plant A"/>
    <x v="3"/>
    <x v="7"/>
    <x v="0"/>
    <x v="4"/>
    <s v="B260402-0199"/>
    <s v="OP115"/>
    <n v="585"/>
    <n v="574"/>
    <n v="546"/>
    <n v="28"/>
    <n v="9"/>
    <n v="32"/>
    <s v="Setup Time"/>
    <n v="57"/>
    <n v="61"/>
    <n v="63.2"/>
    <n v="2.4500000000000002"/>
    <n v="24.73"/>
    <n v="15406.9"/>
    <n v="9.43"/>
    <s v="Scheduled"/>
    <n v="34"/>
    <n v="24480.78"/>
    <n v="0.95121951219512202"/>
    <n v="19872.97"/>
    <n v="241.57160278745599"/>
    <n v="555.75"/>
    <n v="0.94242015294646897"/>
    <n v="4366.2383972125399"/>
    <n v="0.98119658119658115"/>
    <n v="4.878048780487805E-2"/>
    <n v="1.5679442508710801E-2"/>
    <n v="0.95121951219512191"/>
    <n v="0.53333333333333333"/>
    <n v="523.75"/>
    <n v="1.0959427207637231"/>
    <n v="1.0526315789473684"/>
    <n v="1.0411455847255371"/>
    <n v="0.95121951219512191"/>
    <n v="0.93333333333333357"/>
    <n v="34.621898954703838"/>
    <n v="7.6066871031577348"/>
    <s v="Medium"/>
    <s v="Normal"/>
  </r>
  <r>
    <n v="200"/>
    <d v="2026-01-15T00:00:00"/>
    <x v="2"/>
    <s v="Plant B"/>
    <x v="4"/>
    <x v="13"/>
    <x v="0"/>
    <x v="2"/>
    <s v="B260115-0200"/>
    <s v="OP115"/>
    <n v="641"/>
    <n v="603"/>
    <n v="565"/>
    <n v="38"/>
    <n v="8"/>
    <n v="28"/>
    <s v="Operator Issue"/>
    <n v="64"/>
    <n v="65"/>
    <n v="71.5"/>
    <n v="2.19"/>
    <n v="22.05"/>
    <n v="17684.740000000002"/>
    <n v="9.0399999999999991"/>
    <s v="Pending"/>
    <n v="43"/>
    <n v="29284.13"/>
    <n v="0.93698175787728"/>
    <n v="21951.19"/>
    <n v="234.62341625207301"/>
    <n v="683.73333333333301"/>
    <n v="0.95904836193447696"/>
    <n v="7098.3165837479301"/>
    <n v="0.94071762870514819"/>
    <n v="6.3018242122719739E-2"/>
    <n v="1.3266998341625208E-2"/>
    <n v="0.93698175787728022"/>
    <n v="0.46666666666666667"/>
    <n v="655.73333333333301"/>
    <n v="0.91958113054087076"/>
    <n v="0.9375"/>
    <n v="0.98088653924359548"/>
    <n v="0.93698175787728022"/>
    <n v="0.88143525741029649"/>
    <n v="36.403300165837479"/>
    <n v="11.771669293114313"/>
    <s v="Medium"/>
    <s v="Normal"/>
  </r>
  <r>
    <n v="201"/>
    <d v="2026-06-02T00:00:00"/>
    <x v="0"/>
    <s v="Plant A"/>
    <x v="3"/>
    <x v="7"/>
    <x v="0"/>
    <x v="3"/>
    <s v="B260602-0201"/>
    <s v="OP109"/>
    <n v="792"/>
    <n v="666"/>
    <n v="636"/>
    <n v="30"/>
    <n v="9"/>
    <n v="18"/>
    <s v="Material Shortage"/>
    <n v="49"/>
    <n v="48"/>
    <n v="71.900000000000006"/>
    <n v="2.2200000000000002"/>
    <n v="25.07"/>
    <n v="14855.95"/>
    <n v="8.1"/>
    <s v="Completed"/>
    <n v="20"/>
    <n v="23546.85"/>
    <n v="0.95495495495495497"/>
    <n v="18726.580000000002"/>
    <n v="200.75608108108099"/>
    <n v="646.79999999999995"/>
    <n v="0.97217068645640103"/>
    <n v="4619.5139189189204"/>
    <n v="0.84090909090909094"/>
    <n v="4.5045045045045043E-2"/>
    <n v="1.3513513513513514E-2"/>
    <n v="0.95495495495495497"/>
    <n v="0.3"/>
    <n v="628.79999999999995"/>
    <n v="1.0591603053435115"/>
    <n v="1.2244897959183674"/>
    <n v="0.8649809160305344"/>
    <n v="0.95495495495495497"/>
    <n v="0.80303030303030332"/>
    <n v="28.117987987987991"/>
    <n v="6.9362070854638445"/>
    <s v="Medium"/>
    <s v="Warning"/>
  </r>
  <r>
    <n v="202"/>
    <d v="2026-04-21T00:00:00"/>
    <x v="5"/>
    <s v="Plant B"/>
    <x v="2"/>
    <x v="4"/>
    <x v="0"/>
    <x v="3"/>
    <s v="B260421-0202"/>
    <s v="OP124"/>
    <n v="798"/>
    <n v="795"/>
    <n v="739"/>
    <n v="56"/>
    <n v="18"/>
    <n v="9"/>
    <s v="Quality Inspection"/>
    <n v="49"/>
    <n v="48"/>
    <n v="66.599999999999994"/>
    <n v="2.77"/>
    <n v="27.46"/>
    <n v="16930.650000000001"/>
    <n v="9.43"/>
    <s v="Completed"/>
    <n v="28"/>
    <n v="28466.98"/>
    <n v="0.92955974842767297"/>
    <n v="21421.29"/>
    <n v="383.335471698113"/>
    <n v="651.70000000000005"/>
    <n v="0.98618996470768805"/>
    <n v="6662.3545283018902"/>
    <n v="0.99624060150375937"/>
    <n v="7.0440251572327042E-2"/>
    <n v="2.2641509433962263E-2"/>
    <n v="0.92955974842767297"/>
    <n v="0.15"/>
    <n v="642.70000000000005"/>
    <n v="1.2369690368756807"/>
    <n v="1.2244897959183674"/>
    <n v="1.0101913801151392"/>
    <n v="0.92955974842767297"/>
    <n v="0.92606516290726859"/>
    <n v="26.945018867924528"/>
    <n v="8.3803201613860256"/>
    <s v="Low"/>
    <s v="Normal"/>
  </r>
  <r>
    <n v="203"/>
    <d v="2026-01-22T00:00:00"/>
    <x v="2"/>
    <s v="Plant A"/>
    <x v="0"/>
    <x v="3"/>
    <x v="2"/>
    <x v="2"/>
    <s v="B260122-0203"/>
    <s v="OP119"/>
    <n v="453"/>
    <n v="400"/>
    <n v="379"/>
    <n v="21"/>
    <n v="7"/>
    <n v="7"/>
    <s v="Tool Change"/>
    <n v="64"/>
    <n v="66"/>
    <n v="68.599999999999994"/>
    <n v="1.32"/>
    <n v="16.8"/>
    <n v="12650.37"/>
    <n v="7.46"/>
    <s v="Overdue"/>
    <n v="27"/>
    <n v="19739.689999999999"/>
    <n v="0.94750000000000001"/>
    <n v="16158.57"/>
    <n v="221.38147499999999"/>
    <n v="483.2"/>
    <n v="0.98551324503311299"/>
    <n v="3359.7385250000002"/>
    <n v="0.88300220750551872"/>
    <n v="5.2499999999999998E-2"/>
    <n v="1.7500000000000002E-2"/>
    <n v="0.94750000000000001"/>
    <n v="0.11666666666666667"/>
    <n v="476.2"/>
    <n v="0.83998320033599327"/>
    <n v="0.9375"/>
    <n v="0.89598208035839277"/>
    <n v="0.94750000000000001"/>
    <n v="0.8366445916114793"/>
    <n v="40.396425000000001"/>
    <n v="8.3993463125000005"/>
    <s v="High"/>
    <s v="Warning"/>
  </r>
  <r>
    <n v="204"/>
    <d v="2026-03-07T00:00:00"/>
    <x v="1"/>
    <s v="Plant A"/>
    <x v="0"/>
    <x v="1"/>
    <x v="0"/>
    <x v="1"/>
    <s v="B260307-0204"/>
    <s v="OP118"/>
    <n v="707"/>
    <n v="696"/>
    <n v="663"/>
    <n v="33"/>
    <n v="8"/>
    <n v="27"/>
    <s v="Preventive Maintenance"/>
    <n v="45"/>
    <n v="47"/>
    <n v="76"/>
    <n v="1.85"/>
    <n v="28.84"/>
    <n v="15089.48"/>
    <n v="8.74"/>
    <s v="Scheduled"/>
    <n v="18"/>
    <n v="23767.31"/>
    <n v="0.95258620689655205"/>
    <n v="19282.04"/>
    <n v="173.44229885057501"/>
    <n v="530.25"/>
    <n v="0.94908062234794899"/>
    <n v="4311.8277011494301"/>
    <n v="0.98444130127298446"/>
    <n v="4.7413793103448273E-2"/>
    <n v="1.1494252873563218E-2"/>
    <n v="0.95258620689655171"/>
    <n v="0.45"/>
    <n v="503.25"/>
    <n v="1.3830104321907601"/>
    <n v="1.3333333333333333"/>
    <n v="1.0372578241430701"/>
    <n v="0.95258620689655171"/>
    <n v="0.93776520509193761"/>
    <n v="27.704080459770115"/>
    <n v="6.1951547430307903"/>
    <s v="Low"/>
    <s v="Normal"/>
  </r>
  <r>
    <n v="205"/>
    <d v="2026-05-05T00:00:00"/>
    <x v="3"/>
    <s v="Plant A"/>
    <x v="3"/>
    <x v="8"/>
    <x v="1"/>
    <x v="3"/>
    <s v="B260505-0205"/>
    <s v="OP102"/>
    <n v="640"/>
    <n v="553"/>
    <n v="512"/>
    <n v="41"/>
    <n v="12"/>
    <n v="20"/>
    <s v="Material Shortage"/>
    <n v="49"/>
    <n v="48"/>
    <n v="75.8"/>
    <n v="1.86"/>
    <n v="22.52"/>
    <n v="12718.84"/>
    <n v="8.76"/>
    <s v="Scheduled"/>
    <n v="13"/>
    <n v="18906.72"/>
    <n v="0.92585895117540695"/>
    <n v="16863.52"/>
    <n v="275.99652802893303"/>
    <n v="522.66666666666697"/>
    <n v="0.96173469387755095"/>
    <n v="1767.20347197107"/>
    <n v="0.86406249999999996"/>
    <n v="7.4141048824593131E-2"/>
    <n v="2.1699819168173599E-2"/>
    <n v="0.92585895117540684"/>
    <n v="0.33333333333333331"/>
    <n v="502.66666666666697"/>
    <n v="1.1001326259946942"/>
    <n v="1.2244897959183674"/>
    <n v="0.89844164456233355"/>
    <n v="0.92585895117540684"/>
    <n v="0.79999999999999927"/>
    <n v="30.494611211573236"/>
    <n v="3.1956663145950635"/>
    <s v="High"/>
    <s v="Warning"/>
  </r>
  <r>
    <n v="206"/>
    <d v="2026-05-23T00:00:00"/>
    <x v="3"/>
    <s v="Plant B"/>
    <x v="3"/>
    <x v="8"/>
    <x v="0"/>
    <x v="3"/>
    <s v="B260523-0206"/>
    <s v="OP109"/>
    <n v="664"/>
    <n v="682"/>
    <n v="637"/>
    <n v="45"/>
    <n v="13"/>
    <n v="0"/>
    <s v="No Downtime"/>
    <n v="49"/>
    <n v="53"/>
    <n v="70"/>
    <n v="1.66"/>
    <n v="21.87"/>
    <n v="14912.48"/>
    <n v="7.84"/>
    <s v="Scheduled"/>
    <n v="17"/>
    <n v="24323.69"/>
    <n v="0.93401759530791795"/>
    <n v="18637.310000000001"/>
    <n v="284.25548387096802"/>
    <n v="542.26666666666699"/>
    <n v="1"/>
    <n v="5402.1245161290299"/>
    <n v="1.0271084337349397"/>
    <n v="6.5982404692082108E-2"/>
    <n v="1.906158357771261E-2"/>
    <n v="0.93401759530791784"/>
    <n v="0"/>
    <n v="542.26666666666699"/>
    <n v="1.2576837964101295"/>
    <n v="1.2244897959183674"/>
    <n v="1.027108433734939"/>
    <n v="0.93401759530791784"/>
    <n v="0.95933734939758963"/>
    <n v="27.327434017595309"/>
    <n v="7.9210036893387539"/>
    <s v="Low"/>
    <s v="Normal"/>
  </r>
  <r>
    <n v="207"/>
    <d v="2026-06-25T00:00:00"/>
    <x v="0"/>
    <s v="Plant A"/>
    <x v="3"/>
    <x v="7"/>
    <x v="1"/>
    <x v="2"/>
    <s v="B260625-0207"/>
    <s v="OP109"/>
    <n v="560"/>
    <n v="548"/>
    <n v="521"/>
    <n v="27"/>
    <n v="11"/>
    <n v="19"/>
    <s v="Setup Time"/>
    <n v="64"/>
    <n v="70"/>
    <n v="77.8"/>
    <n v="2.27"/>
    <n v="21.77"/>
    <n v="17762.919999999998"/>
    <n v="8.3800000000000008"/>
    <s v="Scheduled"/>
    <n v="30"/>
    <n v="26999.35"/>
    <n v="0.95072992700729897"/>
    <n v="21729.85"/>
    <n v="356.55496350365001"/>
    <n v="597.33333333333303"/>
    <n v="0.96819196428571397"/>
    <n v="4912.9450364963504"/>
    <n v="0.97857142857142854"/>
    <n v="4.9270072992700732E-2"/>
    <n v="2.0072992700729927E-2"/>
    <n v="0.9507299270072993"/>
    <n v="0.31666666666666665"/>
    <n v="578.33333333333303"/>
    <n v="0.94755043227665758"/>
    <n v="0.9375"/>
    <n v="1.0107204610951015"/>
    <n v="0.9507299270072993"/>
    <n v="0.93035714285714322"/>
    <n v="39.653010948905106"/>
    <n v="8.9652281687889612"/>
    <s v="Medium"/>
    <s v="Normal"/>
  </r>
  <r>
    <n v="208"/>
    <d v="2026-06-13T00:00:00"/>
    <x v="0"/>
    <s v="Plant B"/>
    <x v="3"/>
    <x v="8"/>
    <x v="0"/>
    <x v="0"/>
    <s v="B260613-0208"/>
    <s v="OP118"/>
    <n v="838"/>
    <n v="824"/>
    <n v="771"/>
    <n v="53"/>
    <n v="18"/>
    <n v="23"/>
    <s v="Machine Breakdown"/>
    <n v="42"/>
    <n v="45"/>
    <n v="78.400000000000006"/>
    <n v="2.74"/>
    <n v="26.2"/>
    <n v="15196.16"/>
    <n v="7.61"/>
    <s v="Completed"/>
    <n v="22"/>
    <n v="24536.68"/>
    <n v="0.93567961165048497"/>
    <n v="18856.46"/>
    <n v="331.95495145631099"/>
    <n v="586.6"/>
    <n v="0.96079099897715703"/>
    <n v="5348.2650485436898"/>
    <n v="0.98329355608591884"/>
    <n v="6.4320388349514562E-2"/>
    <n v="2.1844660194174758E-2"/>
    <n v="0.93567961165048541"/>
    <n v="0.38333333333333336"/>
    <n v="563.6"/>
    <n v="1.4620298083747338"/>
    <n v="1.4285714285714286"/>
    <n v="1.0234208658623136"/>
    <n v="0.93567961165048541"/>
    <n v="0.92004773269689777"/>
    <n v="22.884053398058253"/>
    <n v="6.4906129229899152"/>
    <s v="Low"/>
    <s v="Normal"/>
  </r>
  <r>
    <n v="209"/>
    <d v="2026-01-04T00:00:00"/>
    <x v="2"/>
    <s v="Plant B"/>
    <x v="1"/>
    <x v="5"/>
    <x v="1"/>
    <x v="2"/>
    <s v="B260104-0209"/>
    <s v="OP114"/>
    <n v="466"/>
    <n v="480"/>
    <n v="459"/>
    <n v="21"/>
    <n v="8"/>
    <n v="19"/>
    <s v="Preventive Maintenance"/>
    <n v="64"/>
    <n v="68"/>
    <n v="64.2"/>
    <n v="1.34"/>
    <n v="18.899999999999999"/>
    <n v="15664.13"/>
    <n v="9.36"/>
    <s v="Scheduled"/>
    <n v="36"/>
    <n v="24070.49"/>
    <n v="0.95625000000000004"/>
    <n v="20046.23"/>
    <n v="261.06883333333298"/>
    <n v="497.066666666667"/>
    <n v="0.96177575107296098"/>
    <n v="3763.1911666666701"/>
    <n v="1.0300429184549356"/>
    <n v="4.3749999999999997E-2"/>
    <n v="1.6666666666666666E-2"/>
    <n v="0.95625000000000004"/>
    <n v="0.31666666666666665"/>
    <n v="478.066666666667"/>
    <n v="1.0040440663784682"/>
    <n v="0.9375"/>
    <n v="1.0709803374703661"/>
    <n v="0.95625000000000004"/>
    <n v="0.98497854077253133"/>
    <n v="41.762979166666668"/>
    <n v="7.8399815972222298"/>
    <s v="Medium"/>
    <s v="Normal"/>
  </r>
  <r>
    <n v="210"/>
    <d v="2026-06-30T00:00:00"/>
    <x v="0"/>
    <s v="Plant A"/>
    <x v="2"/>
    <x v="4"/>
    <x v="1"/>
    <x v="1"/>
    <s v="B260630-0210"/>
    <s v="OP103"/>
    <n v="805"/>
    <n v="819"/>
    <n v="773"/>
    <n v="46"/>
    <n v="11"/>
    <n v="0"/>
    <s v="No Downtime"/>
    <n v="45"/>
    <n v="47"/>
    <n v="65"/>
    <n v="2.0299999999999998"/>
    <n v="27.17"/>
    <n v="17449.57"/>
    <n v="8.8699999999999992"/>
    <s v="Scheduled"/>
    <n v="33"/>
    <n v="27238.65"/>
    <n v="0.94383394383394403"/>
    <n v="21685.599999999999"/>
    <n v="234.36540903540899"/>
    <n v="603.75"/>
    <n v="1"/>
    <n v="5318.6845909645899"/>
    <n v="1.017391304347826"/>
    <n v="5.6166056166056168E-2"/>
    <n v="1.3431013431013432E-2"/>
    <n v="0.94383394383394381"/>
    <n v="0"/>
    <n v="603.75"/>
    <n v="1.3565217391304347"/>
    <n v="1.3333333333333333"/>
    <n v="1.0173913043478262"/>
    <n v="0.94383394383394381"/>
    <n v="0.96024844720496905"/>
    <n v="26.478144078144076"/>
    <n v="6.4941203796881437"/>
    <s v="Medium"/>
    <s v="Normal"/>
  </r>
  <r>
    <n v="211"/>
    <d v="2026-01-14T00:00:00"/>
    <x v="2"/>
    <s v="Plant A"/>
    <x v="1"/>
    <x v="6"/>
    <x v="1"/>
    <x v="1"/>
    <s v="B260114-0211"/>
    <s v="OP108"/>
    <n v="772"/>
    <n v="788"/>
    <n v="750"/>
    <n v="38"/>
    <n v="11"/>
    <n v="20"/>
    <s v="Machine Breakdown"/>
    <n v="45"/>
    <n v="46"/>
    <n v="73"/>
    <n v="1.47"/>
    <n v="25.88"/>
    <n v="16943.28"/>
    <n v="10.029999999999999"/>
    <s v="Overdue"/>
    <n v="41"/>
    <n v="25657.08"/>
    <n v="0.95177664974619303"/>
    <n v="21689.7"/>
    <n v="236.517868020305"/>
    <n v="579"/>
    <n v="0.96545768566493995"/>
    <n v="3730.8621319796998"/>
    <n v="1.0207253886010363"/>
    <n v="4.8223350253807105E-2"/>
    <n v="1.3959390862944163E-2"/>
    <n v="0.95177664974619292"/>
    <n v="0.33333333333333331"/>
    <n v="559"/>
    <n v="1.4096601073345258"/>
    <n v="1.3333333333333333"/>
    <n v="1.0572450805008944"/>
    <n v="0.95177664974619292"/>
    <n v="0.97150259067357547"/>
    <n v="27.525000000000002"/>
    <n v="4.7345966141874367"/>
    <s v="High"/>
    <s v="Normal"/>
  </r>
  <r>
    <n v="212"/>
    <d v="2026-01-30T00:00:00"/>
    <x v="2"/>
    <s v="Plant B"/>
    <x v="4"/>
    <x v="14"/>
    <x v="1"/>
    <x v="3"/>
    <s v="B260130-0212"/>
    <s v="OP133"/>
    <n v="701"/>
    <n v="672"/>
    <n v="620"/>
    <n v="52"/>
    <n v="20"/>
    <n v="0"/>
    <s v="No Downtime"/>
    <n v="49"/>
    <n v="53"/>
    <n v="65.3"/>
    <n v="1.86"/>
    <n v="20.38"/>
    <n v="14641.33"/>
    <n v="7.88"/>
    <s v="Scheduled"/>
    <n v="13"/>
    <n v="23484.03"/>
    <n v="0.922619047619048"/>
    <n v="18370.75"/>
    <n v="435.75386904761899"/>
    <n v="572.48333333333301"/>
    <n v="1"/>
    <n v="4677.5261309523803"/>
    <n v="0.95863052781740365"/>
    <n v="7.7380952380952384E-2"/>
    <n v="2.976190476190476E-2"/>
    <n v="0.92261904761904767"/>
    <n v="0"/>
    <n v="572.48333333333301"/>
    <n v="1.1738332993682501"/>
    <n v="1.2244897959183674"/>
    <n v="0.95863052781740421"/>
    <n v="0.92261904761904767"/>
    <n v="0.88445078459343851"/>
    <n v="27.337425595238095"/>
    <n v="6.96060436153628"/>
    <s v="Low"/>
    <s v="Normal"/>
  </r>
  <r>
    <n v="213"/>
    <d v="2026-06-10T00:00:00"/>
    <x v="0"/>
    <s v="Plant A"/>
    <x v="0"/>
    <x v="3"/>
    <x v="2"/>
    <x v="0"/>
    <s v="B260610-0213"/>
    <s v="OP117"/>
    <n v="726"/>
    <n v="659"/>
    <n v="636"/>
    <n v="23"/>
    <n v="7"/>
    <n v="6"/>
    <s v="Machine Breakdown"/>
    <n v="42"/>
    <n v="47"/>
    <n v="78.599999999999994"/>
    <n v="1.58"/>
    <n v="20.89"/>
    <n v="12366.72"/>
    <n v="8.2100000000000009"/>
    <s v="Pending"/>
    <n v="33"/>
    <n v="19801.18"/>
    <n v="0.96509863429438603"/>
    <n v="16249.23"/>
    <n v="131.361213960546"/>
    <n v="508.2"/>
    <n v="0.98819362455726101"/>
    <n v="3420.58878603945"/>
    <n v="0.90771349862258954"/>
    <n v="3.490136570561457E-2"/>
    <n v="1.0622154779969651E-2"/>
    <n v="0.96509863429438547"/>
    <n v="0.1"/>
    <n v="502.2"/>
    <n v="1.3122262046993229"/>
    <n v="1.4285714285714286"/>
    <n v="0.91855834328952601"/>
    <n v="0.96509863429438547"/>
    <n v="0.87603305785123975"/>
    <n v="24.65740515933232"/>
    <n v="5.1905747891342182"/>
    <s v="Medium"/>
    <s v="Normal"/>
  </r>
  <r>
    <n v="214"/>
    <d v="2026-02-07T00:00:00"/>
    <x v="4"/>
    <s v="Plant A"/>
    <x v="4"/>
    <x v="14"/>
    <x v="0"/>
    <x v="0"/>
    <s v="B260207-0214"/>
    <s v="OP120"/>
    <n v="889"/>
    <n v="867"/>
    <n v="792"/>
    <n v="75"/>
    <n v="28"/>
    <n v="40"/>
    <s v="Machine Breakdown"/>
    <n v="42"/>
    <n v="44"/>
    <n v="66.099999999999994"/>
    <n v="1.68"/>
    <n v="28.4"/>
    <n v="16191.49"/>
    <n v="10.02"/>
    <s v="Completed"/>
    <n v="25"/>
    <n v="25038.799999999999"/>
    <n v="0.91349480968858099"/>
    <n v="20956.09"/>
    <n v="522.90855824682797"/>
    <n v="622.29999999999995"/>
    <n v="0.93572232042423298"/>
    <n v="3559.8014417531699"/>
    <n v="0.97525309336332955"/>
    <n v="8.6505190311418678E-2"/>
    <n v="3.2295271049596307E-2"/>
    <n v="0.91349480968858132"/>
    <n v="0.66666666666666663"/>
    <n v="582.29999999999995"/>
    <n v="1.4889232354456468"/>
    <n v="1.4285714285714286"/>
    <n v="1.0422462648119526"/>
    <n v="0.91349480968858132"/>
    <n v="0.89088863892013526"/>
    <n v="24.170807381776239"/>
    <n v="4.1058840158629408"/>
    <s v="Medium"/>
    <s v="Warning"/>
  </r>
  <r>
    <n v="215"/>
    <d v="2026-04-05T00:00:00"/>
    <x v="5"/>
    <s v="Plant B"/>
    <x v="0"/>
    <x v="1"/>
    <x v="2"/>
    <x v="0"/>
    <s v="B260405-0215"/>
    <s v="OP131"/>
    <n v="788"/>
    <n v="670"/>
    <n v="628"/>
    <n v="42"/>
    <n v="8"/>
    <n v="10"/>
    <s v="Power Failure"/>
    <n v="42"/>
    <n v="43"/>
    <n v="73.7"/>
    <n v="0.94"/>
    <n v="25.66"/>
    <n v="12823.65"/>
    <n v="8.11"/>
    <s v="Scheduled"/>
    <n v="30"/>
    <n v="20515.36"/>
    <n v="0.93731343283582103"/>
    <n v="16704.09"/>
    <n v="153.11820895522399"/>
    <n v="551.6"/>
    <n v="0.98187092095721495"/>
    <n v="3658.1517910447801"/>
    <n v="0.85025380710659904"/>
    <n v="6.2686567164179099E-2"/>
    <n v="1.1940298507462687E-2"/>
    <n v="0.93731343283582091"/>
    <n v="0.16666666666666666"/>
    <n v="541.6"/>
    <n v="1.2370753323485968"/>
    <n v="1.4285714285714286"/>
    <n v="0.86595273264401773"/>
    <n v="0.93731343283582091"/>
    <n v="0.7969543147208118"/>
    <n v="24.931477611940299"/>
    <n v="5.4599280463354924"/>
    <s v="High"/>
    <s v="Warning"/>
  </r>
  <r>
    <n v="216"/>
    <d v="2026-03-08T00:00:00"/>
    <x v="1"/>
    <s v="Plant B"/>
    <x v="3"/>
    <x v="11"/>
    <x v="1"/>
    <x v="4"/>
    <s v="B260308-0216"/>
    <s v="OP132"/>
    <n v="646"/>
    <n v="603"/>
    <n v="555"/>
    <n v="48"/>
    <n v="11"/>
    <n v="32"/>
    <s v="Machine Breakdown"/>
    <n v="57"/>
    <n v="56"/>
    <n v="63.3"/>
    <n v="2.2799999999999998"/>
    <n v="23.36"/>
    <n v="15678.07"/>
    <n v="7.8"/>
    <s v="Scheduled"/>
    <n v="9"/>
    <n v="25089.360000000001"/>
    <n v="0.92039800995024901"/>
    <n v="19398.310000000001"/>
    <n v="286.00127694858998"/>
    <n v="613.70000000000005"/>
    <n v="0.947857259247189"/>
    <n v="5405.04872305141"/>
    <n v="0.93343653250773995"/>
    <n v="7.9601990049751242E-2"/>
    <n v="1.824212271973466E-2"/>
    <n v="0.92039800995024879"/>
    <n v="0.53333333333333333"/>
    <n v="581.70000000000005"/>
    <n v="1.0366168127900979"/>
    <n v="1.0526315789473684"/>
    <n v="0.98478597215059305"/>
    <n v="0.92039800995024879"/>
    <n v="0.85913312693498434"/>
    <n v="32.169668325041464"/>
    <n v="8.9635965556408124"/>
    <s v="Low"/>
    <s v="Normal"/>
  </r>
  <r>
    <n v="217"/>
    <d v="2026-06-13T00:00:00"/>
    <x v="0"/>
    <s v="Plant A"/>
    <x v="4"/>
    <x v="13"/>
    <x v="2"/>
    <x v="3"/>
    <s v="B260613-0217"/>
    <s v="OP133"/>
    <n v="785"/>
    <n v="710"/>
    <n v="660"/>
    <n v="50"/>
    <n v="15"/>
    <n v="32"/>
    <s v="Material Shortage"/>
    <n v="49"/>
    <n v="52"/>
    <n v="69.7"/>
    <n v="2.37"/>
    <n v="25.43"/>
    <n v="14937.26"/>
    <n v="6.98"/>
    <s v="Scheduled"/>
    <n v="32"/>
    <n v="25629.59"/>
    <n v="0.92957746478873204"/>
    <n v="18307.13"/>
    <n v="315.57591549295802"/>
    <n v="641.08333333333303"/>
    <n v="0.95008449239568404"/>
    <n v="7006.8840845070399"/>
    <n v="0.90445859872611467"/>
    <n v="7.0422535211267609E-2"/>
    <n v="2.1126760563380281E-2"/>
    <n v="0.92957746478873238"/>
    <n v="0.53333333333333333"/>
    <n v="609.08333333333303"/>
    <n v="1.1656861403748808"/>
    <n v="1.2244897959183674"/>
    <n v="0.95197701463948603"/>
    <n v="0.92957746478873238"/>
    <n v="0.84076433121019123"/>
    <n v="25.784690140845072"/>
    <n v="9.8688508232493515"/>
    <s v="Medium"/>
    <s v="Warning"/>
  </r>
  <r>
    <n v="218"/>
    <d v="2026-03-27T00:00:00"/>
    <x v="1"/>
    <s v="Plant B"/>
    <x v="1"/>
    <x v="6"/>
    <x v="0"/>
    <x v="4"/>
    <s v="B260327-0218"/>
    <s v="OP121"/>
    <n v="662"/>
    <n v="712"/>
    <n v="673"/>
    <n v="39"/>
    <n v="7"/>
    <n v="38"/>
    <s v="Operator Issue"/>
    <n v="57"/>
    <n v="62"/>
    <n v="64"/>
    <n v="3.02"/>
    <n v="31.32"/>
    <n v="20384.52"/>
    <n v="9.77"/>
    <s v="Pending"/>
    <n v="45"/>
    <n v="31134.82"/>
    <n v="0.94522471910112404"/>
    <n v="25062.9"/>
    <n v="200.40960674157299"/>
    <n v="628.9"/>
    <n v="0.93957703927492398"/>
    <n v="5871.5103932584298"/>
    <n v="1.0755287009063443"/>
    <n v="5.4775280898876406E-2"/>
    <n v="9.8314606741573031E-3"/>
    <n v="0.9452247191011236"/>
    <n v="0.6333333333333333"/>
    <n v="590.9"/>
    <n v="1.2049416144863767"/>
    <n v="1.0526315789473684"/>
    <n v="1.144694533762058"/>
    <n v="0.9452247191011236"/>
    <n v="1.0166163141993954"/>
    <n v="35.20070224719101"/>
    <n v="8.2465033613180196"/>
    <s v="Medium"/>
    <s v="Warning"/>
  </r>
  <r>
    <n v="219"/>
    <d v="2026-03-20T00:00:00"/>
    <x v="1"/>
    <s v="Plant B"/>
    <x v="0"/>
    <x v="1"/>
    <x v="0"/>
    <x v="4"/>
    <s v="B260320-0219"/>
    <s v="OP116"/>
    <n v="615"/>
    <n v="626"/>
    <n v="598"/>
    <n v="28"/>
    <n v="8"/>
    <n v="19"/>
    <s v="Material Shortage"/>
    <n v="57"/>
    <n v="56"/>
    <n v="63.5"/>
    <n v="2.4900000000000002"/>
    <n v="22.41"/>
    <n v="18090.150000000001"/>
    <n v="9.7899999999999991"/>
    <s v="Scheduled"/>
    <n v="31"/>
    <n v="27962.76"/>
    <n v="0.95527156549520797"/>
    <n v="22697.34"/>
    <n v="231.18402555910501"/>
    <n v="584.25"/>
    <n v="0.96747967479674801"/>
    <n v="5034.2359744408895"/>
    <n v="1.0178861788617886"/>
    <n v="4.472843450479233E-2"/>
    <n v="1.2779552715654952E-2"/>
    <n v="0.95527156549520764"/>
    <n v="0.31666666666666665"/>
    <n v="565.25"/>
    <n v="1.1074745687748784"/>
    <n v="1.0526315789473684"/>
    <n v="1.0521008403361345"/>
    <n v="0.95527156549520764"/>
    <n v="0.97235772357723593"/>
    <n v="36.257731629392971"/>
    <n v="8.0419105023017412"/>
    <s v="Medium"/>
    <s v="Normal"/>
  </r>
  <r>
    <n v="220"/>
    <d v="2026-02-06T00:00:00"/>
    <x v="4"/>
    <s v="Plant A"/>
    <x v="2"/>
    <x v="9"/>
    <x v="2"/>
    <x v="0"/>
    <s v="B260206-0220"/>
    <s v="OP103"/>
    <n v="955"/>
    <n v="794"/>
    <n v="755"/>
    <n v="39"/>
    <n v="15"/>
    <n v="26"/>
    <s v="Material Shortage"/>
    <n v="42"/>
    <n v="42"/>
    <n v="77.900000000000006"/>
    <n v="1.31"/>
    <n v="25"/>
    <n v="15121.83"/>
    <n v="6.05"/>
    <s v="Scheduled"/>
    <n v="17"/>
    <n v="24361.279999999999"/>
    <n v="0.95088161209068001"/>
    <n v="18069.330000000002"/>
    <n v="285.67688916876602"/>
    <n v="668.5"/>
    <n v="0.96110695587135397"/>
    <n v="6006.27311083123"/>
    <n v="0.83141361256544499"/>
    <n v="4.9118387909319897E-2"/>
    <n v="1.8891687657430732E-2"/>
    <n v="0.95088161209068012"/>
    <n v="0.43333333333333335"/>
    <n v="642.5"/>
    <n v="1.2357976653696499"/>
    <n v="1.4285714285714286"/>
    <n v="0.86505836575875483"/>
    <n v="0.95088161209068012"/>
    <n v="0.79057591623036672"/>
    <n v="22.757342569269525"/>
    <n v="7.5645757063365622"/>
    <s v="High"/>
    <s v="Warning"/>
  </r>
  <r>
    <n v="221"/>
    <d v="2026-02-23T00:00:00"/>
    <x v="4"/>
    <s v="Plant B"/>
    <x v="3"/>
    <x v="8"/>
    <x v="0"/>
    <x v="4"/>
    <s v="B260223-0221"/>
    <s v="OP129"/>
    <n v="691"/>
    <n v="591"/>
    <n v="557"/>
    <n v="34"/>
    <n v="12"/>
    <n v="33"/>
    <s v="Machine Breakdown"/>
    <n v="57"/>
    <n v="60"/>
    <n v="71.7"/>
    <n v="1.86"/>
    <n v="20.2"/>
    <n v="15416.29"/>
    <n v="7.89"/>
    <s v="Completed"/>
    <n v="29"/>
    <n v="25535.37"/>
    <n v="0.94247038917089698"/>
    <n v="19148.59"/>
    <n v="313.02111675126901"/>
    <n v="656.45"/>
    <n v="0.94972960621524904"/>
    <n v="6073.7588832487299"/>
    <n v="0.85528219971056441"/>
    <n v="5.7529610829103212E-2"/>
    <n v="2.030456852791878E-2"/>
    <n v="0.94247038917089676"/>
    <n v="0.55000000000000004"/>
    <n v="623.45000000000005"/>
    <n v="0.94795091827732769"/>
    <n v="1.0526315789473684"/>
    <n v="0.90055337236346134"/>
    <n v="0.94247038917089676"/>
    <n v="0.80607814761215646"/>
    <n v="32.400321489001691"/>
    <n v="10.27708778891494"/>
    <s v="Medium"/>
    <s v="Warning"/>
  </r>
  <r>
    <n v="222"/>
    <d v="2026-02-03T00:00:00"/>
    <x v="4"/>
    <s v="Plant A"/>
    <x v="1"/>
    <x v="6"/>
    <x v="0"/>
    <x v="3"/>
    <s v="B260203-0222"/>
    <s v="OP106"/>
    <n v="838"/>
    <n v="807"/>
    <n v="766"/>
    <n v="41"/>
    <n v="9"/>
    <n v="13"/>
    <s v="Preventive Maintenance"/>
    <n v="49"/>
    <n v="52"/>
    <n v="67.599999999999994"/>
    <n v="2.21"/>
    <n v="31.43"/>
    <n v="16856.099999999999"/>
    <n v="9.8699999999999992"/>
    <s v="Pending"/>
    <n v="32"/>
    <n v="29226.39"/>
    <n v="0.94919454770755896"/>
    <n v="21580.47"/>
    <n v="187.98624535316"/>
    <n v="684.36666666666702"/>
    <n v="0.98100433490818795"/>
    <n v="7457.9337546468396"/>
    <n v="0.96300715990453456"/>
    <n v="5.0805452292441142E-2"/>
    <n v="1.1152416356877323E-2"/>
    <n v="0.94919454770755884"/>
    <n v="0.21666666666666667"/>
    <n v="671.36666666666702"/>
    <n v="1.2020257186832823"/>
    <n v="1.2244897959183674"/>
    <n v="0.98165433692468052"/>
    <n v="0.94919454770755884"/>
    <n v="0.91408114558472542"/>
    <n v="26.741598513011155"/>
    <n v="9.2415535993145479"/>
    <s v="Medium"/>
    <s v="Normal"/>
  </r>
  <r>
    <n v="223"/>
    <d v="2026-01-24T00:00:00"/>
    <x v="2"/>
    <s v="Plant B"/>
    <x v="0"/>
    <x v="1"/>
    <x v="0"/>
    <x v="4"/>
    <s v="B260124-0223"/>
    <s v="OP130"/>
    <n v="640"/>
    <n v="547"/>
    <n v="513"/>
    <n v="34"/>
    <n v="10"/>
    <n v="53"/>
    <s v="Preventive Maintenance"/>
    <n v="57"/>
    <n v="62"/>
    <n v="76.900000000000006"/>
    <n v="1.67"/>
    <n v="18.39"/>
    <n v="14774.34"/>
    <n v="7.45"/>
    <s v="Completed"/>
    <n v="27"/>
    <n v="23977.37"/>
    <n v="0.93784277879341904"/>
    <n v="18292.349999999999"/>
    <n v="270.09762340036599"/>
    <n v="608"/>
    <n v="0.91282894736842102"/>
    <n v="5414.9223765996403"/>
    <n v="0.85468750000000004"/>
    <n v="6.2157221206581355E-2"/>
    <n v="1.8281535648994516E-2"/>
    <n v="0.9378427787934186"/>
    <n v="0.8833333333333333"/>
    <n v="555"/>
    <n v="0.98558558558558562"/>
    <n v="1.0526315789473684"/>
    <n v="0.9363063063063064"/>
    <n v="0.9378427787934186"/>
    <n v="0.80156249999999996"/>
    <n v="33.441224862888483"/>
    <n v="9.8993096464344426"/>
    <s v="Medium"/>
    <s v="Warning"/>
  </r>
  <r>
    <n v="224"/>
    <d v="2026-06-04T00:00:00"/>
    <x v="0"/>
    <s v="Plant A"/>
    <x v="2"/>
    <x v="4"/>
    <x v="0"/>
    <x v="1"/>
    <s v="B260604-0224"/>
    <s v="OP107"/>
    <n v="846"/>
    <n v="832"/>
    <n v="784"/>
    <n v="48"/>
    <n v="14"/>
    <n v="34"/>
    <s v="Power Failure"/>
    <n v="45"/>
    <n v="47"/>
    <n v="72.3"/>
    <n v="2.4300000000000002"/>
    <n v="25.48"/>
    <n v="17453.189999999999"/>
    <n v="8.48"/>
    <s v="Overdue"/>
    <n v="5"/>
    <n v="27550.66"/>
    <n v="0.94230769230769196"/>
    <n v="21498.51"/>
    <n v="293.68348557692298"/>
    <n v="634.5"/>
    <n v="0.946414499605989"/>
    <n v="5758.4665144230803"/>
    <n v="0.98345153664302598"/>
    <n v="5.7692307692307696E-2"/>
    <n v="1.6826923076923076E-2"/>
    <n v="0.94230769230769229"/>
    <n v="0.56666666666666665"/>
    <n v="600.5"/>
    <n v="1.3855120732722732"/>
    <n v="1.3333333333333333"/>
    <n v="1.039134054954205"/>
    <n v="0.94230769230769229"/>
    <n v="0.92671394799054385"/>
    <n v="25.839555288461536"/>
    <n v="6.9212337913738944"/>
    <s v="High"/>
    <s v="Normal"/>
  </r>
  <r>
    <n v="225"/>
    <d v="2026-03-29T00:00:00"/>
    <x v="1"/>
    <s v="Plant A"/>
    <x v="3"/>
    <x v="11"/>
    <x v="1"/>
    <x v="1"/>
    <s v="B260329-0225"/>
    <s v="OP132"/>
    <n v="738"/>
    <n v="697"/>
    <n v="647"/>
    <n v="50"/>
    <n v="15"/>
    <n v="28"/>
    <s v="Machine Breakdown"/>
    <n v="45"/>
    <n v="49"/>
    <n v="73"/>
    <n v="2.41"/>
    <n v="26.58"/>
    <n v="14832.09"/>
    <n v="9.57"/>
    <s v="Pending"/>
    <n v="9"/>
    <n v="22829.96"/>
    <n v="0.92826398852223801"/>
    <n v="19377.810000000001"/>
    <n v="319.19849354375901"/>
    <n v="553.5"/>
    <n v="0.94941282746160804"/>
    <n v="3132.9515064562402"/>
    <n v="0.94444444444444442"/>
    <n v="7.1736011477761832E-2"/>
    <n v="2.1520803443328552E-2"/>
    <n v="0.92826398852223813"/>
    <n v="0.46666666666666667"/>
    <n v="525.5"/>
    <n v="1.3263558515699334"/>
    <n v="1.3333333333333333"/>
    <n v="0.99476688867745011"/>
    <n v="0.92826398852223813"/>
    <n v="0.87669376693766954"/>
    <n v="27.801736011477765"/>
    <n v="4.4949089045283213"/>
    <s v="Medium"/>
    <s v="Normal"/>
  </r>
  <r>
    <n v="226"/>
    <d v="2026-01-01T00:00:00"/>
    <x v="2"/>
    <s v="Plant A"/>
    <x v="3"/>
    <x v="7"/>
    <x v="1"/>
    <x v="3"/>
    <s v="B260101-0226"/>
    <s v="OP129"/>
    <n v="720"/>
    <n v="606"/>
    <n v="576"/>
    <n v="30"/>
    <n v="12"/>
    <n v="30"/>
    <s v="Operator Issue"/>
    <n v="49"/>
    <n v="52"/>
    <n v="82.2"/>
    <n v="1.54"/>
    <n v="26.52"/>
    <n v="13510.37"/>
    <n v="7.48"/>
    <s v="Scheduled"/>
    <n v="5"/>
    <n v="22350.94"/>
    <n v="0.95049504950495101"/>
    <n v="17115.05"/>
    <n v="267.53207920792102"/>
    <n v="588"/>
    <n v="0.94897959183673497"/>
    <n v="4968.3579207920802"/>
    <n v="0.84166666666666667"/>
    <n v="4.9504950495049507E-2"/>
    <n v="1.9801980198019802E-2"/>
    <n v="0.95049504950495045"/>
    <n v="0.5"/>
    <n v="558"/>
    <n v="1.086021505376344"/>
    <n v="1.2244897959183674"/>
    <n v="0.88691756272401423"/>
    <n v="0.95049504950495045"/>
    <n v="0.8"/>
    <n v="28.242656765676568"/>
    <n v="8.1986104303499676"/>
    <s v="Medium"/>
    <s v="Warning"/>
  </r>
  <r>
    <n v="227"/>
    <d v="2026-01-16T00:00:00"/>
    <x v="2"/>
    <s v="Plant B"/>
    <x v="2"/>
    <x v="4"/>
    <x v="0"/>
    <x v="4"/>
    <s v="B260116-0227"/>
    <s v="OP123"/>
    <n v="548"/>
    <n v="568"/>
    <n v="530"/>
    <n v="38"/>
    <n v="11"/>
    <n v="13"/>
    <s v="Quality Inspection"/>
    <n v="57"/>
    <n v="58"/>
    <n v="76.5"/>
    <n v="1.67"/>
    <n v="17.95"/>
    <n v="16415.650000000001"/>
    <n v="10.34"/>
    <s v="Completed"/>
    <n v="29"/>
    <n v="25107.68"/>
    <n v="0.93309859154929597"/>
    <n v="21230.2"/>
    <n v="317.90871478873203"/>
    <n v="520.6"/>
    <n v="0.975028812908183"/>
    <n v="3559.5712852112702"/>
    <n v="1.0364963503649636"/>
    <n v="6.6901408450704219E-2"/>
    <n v="1.936619718309859E-2"/>
    <n v="0.93309859154929575"/>
    <n v="0.21666666666666667"/>
    <n v="507.6"/>
    <n v="1.1189913317572893"/>
    <n v="1.0526315789473684"/>
    <n v="1.0630417651694248"/>
    <n v="0.93309859154929575"/>
    <n v="0.96715328467153305"/>
    <n v="37.377112676056342"/>
    <n v="6.2668508542451935"/>
    <s v="Low"/>
    <s v="Normal"/>
  </r>
  <r>
    <n v="228"/>
    <d v="2026-06-21T00:00:00"/>
    <x v="0"/>
    <s v="Plant A"/>
    <x v="3"/>
    <x v="8"/>
    <x v="0"/>
    <x v="0"/>
    <s v="B260621-0228"/>
    <s v="OP132"/>
    <n v="943"/>
    <n v="976"/>
    <n v="905"/>
    <n v="71"/>
    <n v="23"/>
    <n v="31"/>
    <s v="Operator Issue"/>
    <n v="42"/>
    <n v="45"/>
    <n v="78"/>
    <n v="1.66"/>
    <n v="34.700000000000003"/>
    <n v="18749.509999999998"/>
    <n v="8.77"/>
    <s v="Completed"/>
    <n v="34"/>
    <n v="28829.279999999999"/>
    <n v="0.92725409836065598"/>
    <n v="23008.31"/>
    <n v="441.842961065574"/>
    <n v="660.1"/>
    <n v="0.953037418572943"/>
    <n v="5379.1270389344299"/>
    <n v="1.0349946977730646"/>
    <n v="7.274590163934426E-2"/>
    <n v="2.3565573770491802E-2"/>
    <n v="0.92725409836065575"/>
    <n v="0.51666666666666672"/>
    <n v="629.1"/>
    <n v="1.5514226673024956"/>
    <n v="1.4285714285714286"/>
    <n v="1.0859958671117469"/>
    <n v="0.92725409836065575"/>
    <n v="0.95970307529162202"/>
    <n v="23.574088114754101"/>
    <n v="5.5114006546459322"/>
    <s v="Medium"/>
    <s v="Normal"/>
  </r>
  <r>
    <n v="229"/>
    <d v="2026-01-02T00:00:00"/>
    <x v="2"/>
    <s v="Plant B"/>
    <x v="3"/>
    <x v="11"/>
    <x v="1"/>
    <x v="3"/>
    <s v="B260102-0229"/>
    <s v="OP135"/>
    <n v="807"/>
    <n v="714"/>
    <n v="657"/>
    <n v="57"/>
    <n v="14"/>
    <n v="32"/>
    <s v="Tool Change"/>
    <n v="49"/>
    <n v="54"/>
    <n v="75.900000000000006"/>
    <n v="1.23"/>
    <n v="26.58"/>
    <n v="15915.48"/>
    <n v="7.09"/>
    <s v="Pending"/>
    <n v="37"/>
    <n v="25211.27"/>
    <n v="0.92016806722689104"/>
    <n v="19345.2"/>
    <n v="312.06823529411798"/>
    <n v="659.05"/>
    <n v="0.95144526211971803"/>
    <n v="5554.0017647058803"/>
    <n v="0.88475836431226762"/>
    <n v="7.9831932773109238E-2"/>
    <n v="1.9607843137254902E-2"/>
    <n v="0.92016806722689071"/>
    <n v="0.53333333333333333"/>
    <n v="627.04999999999995"/>
    <n v="1.1386651782154533"/>
    <n v="1.2244897959183674"/>
    <n v="0.92990989554262016"/>
    <n v="0.92016806722689071"/>
    <n v="0.81412639405204479"/>
    <n v="27.094117647058823"/>
    <n v="7.7787139561707006"/>
    <s v="Medium"/>
    <s v="Warning"/>
  </r>
  <r>
    <n v="230"/>
    <d v="2026-06-21T00:00:00"/>
    <x v="0"/>
    <s v="Plant A"/>
    <x v="2"/>
    <x v="9"/>
    <x v="0"/>
    <x v="0"/>
    <s v="B260621-0230"/>
    <s v="OP122"/>
    <n v="725"/>
    <n v="733"/>
    <n v="696"/>
    <n v="37"/>
    <n v="9"/>
    <n v="0"/>
    <s v="No Downtime"/>
    <n v="42"/>
    <n v="45"/>
    <n v="60.8"/>
    <n v="2.6"/>
    <n v="20.86"/>
    <n v="13966.38"/>
    <n v="9.6999999999999993"/>
    <s v="Scheduled"/>
    <n v="20"/>
    <n v="21685.91"/>
    <n v="0.94952251023192402"/>
    <n v="18519.12"/>
    <n v="171.483519781719"/>
    <n v="507.5"/>
    <n v="1"/>
    <n v="2995.3064802182798"/>
    <n v="1.0110344827586206"/>
    <n v="5.0477489768076401E-2"/>
    <n v="1.227830832196453E-2"/>
    <n v="0.94952251023192358"/>
    <n v="0"/>
    <n v="507.5"/>
    <n v="1.4443349753694581"/>
    <n v="1.4285714285714286"/>
    <n v="1.0110344827586206"/>
    <n v="0.94952251023192358"/>
    <n v="0.96"/>
    <n v="25.264829467939972"/>
    <n v="4.0863662758775989"/>
    <s v="Low"/>
    <s v="Normal"/>
  </r>
  <r>
    <n v="231"/>
    <d v="2026-05-02T00:00:00"/>
    <x v="3"/>
    <s v="Plant A"/>
    <x v="2"/>
    <x v="4"/>
    <x v="1"/>
    <x v="3"/>
    <s v="B260502-0231"/>
    <s v="OP102"/>
    <n v="766"/>
    <n v="698"/>
    <n v="652"/>
    <n v="46"/>
    <n v="18"/>
    <n v="27"/>
    <s v="Operator Issue"/>
    <n v="49"/>
    <n v="49"/>
    <n v="69.3"/>
    <n v="2.06"/>
    <n v="27.91"/>
    <n v="15116.02"/>
    <n v="7.09"/>
    <s v="Pending"/>
    <n v="27"/>
    <n v="24383.84"/>
    <n v="0.93409742120343797"/>
    <n v="18557.71"/>
    <n v="389.81140401146098"/>
    <n v="625.56666666666695"/>
    <n v="0.95683913251984898"/>
    <n v="5436.3185959885404"/>
    <n v="0.91122715404699739"/>
    <n v="6.5902578796561598E-2"/>
    <n v="2.5787965616045846E-2"/>
    <n v="0.93409742120343842"/>
    <n v="0.45"/>
    <n v="598.56666666666695"/>
    <n v="1.1661190622041537"/>
    <n v="1.2244897959183674"/>
    <n v="0.95233056746672551"/>
    <n v="0.93409742120343842"/>
    <n v="0.85117493472584838"/>
    <n v="26.586977077363894"/>
    <n v="7.7884220572901723"/>
    <s v="Medium"/>
    <s v="Normal"/>
  </r>
  <r>
    <n v="232"/>
    <d v="2026-02-16T00:00:00"/>
    <x v="4"/>
    <s v="Plant A"/>
    <x v="4"/>
    <x v="14"/>
    <x v="2"/>
    <x v="4"/>
    <s v="B260216-0232"/>
    <s v="OP110"/>
    <n v="734"/>
    <n v="551"/>
    <n v="498"/>
    <n v="53"/>
    <n v="14"/>
    <n v="61"/>
    <s v="Machine Breakdown"/>
    <n v="57"/>
    <n v="60"/>
    <n v="69.8"/>
    <n v="1.89"/>
    <n v="24.01"/>
    <n v="14454.26"/>
    <n v="5.82"/>
    <s v="Pending"/>
    <n v="43"/>
    <n v="22634.98"/>
    <n v="0.90381125226860304"/>
    <n v="17289.349999999999"/>
    <n v="367.25887477314001"/>
    <n v="697.3"/>
    <n v="0.91251971891581796"/>
    <n v="4978.3711252268604"/>
    <n v="0.75068119891008178"/>
    <n v="9.6188747731397461E-2"/>
    <n v="2.5408348457350273E-2"/>
    <n v="0.90381125226860259"/>
    <n v="1.0166666666666666"/>
    <n v="636.29999999999995"/>
    <n v="0.86594373723086604"/>
    <n v="1.0526315789473684"/>
    <n v="0.82264655036932277"/>
    <n v="0.90381125226860259"/>
    <n v="0.67847411444141692"/>
    <n v="31.378130671506348"/>
    <n v="9.0351563071267886"/>
    <s v="High"/>
    <s v="Critical"/>
  </r>
  <r>
    <n v="233"/>
    <d v="2026-05-17T00:00:00"/>
    <x v="3"/>
    <s v="Plant A"/>
    <x v="1"/>
    <x v="6"/>
    <x v="1"/>
    <x v="4"/>
    <s v="B260517-0233"/>
    <s v="OP110"/>
    <n v="655"/>
    <n v="713"/>
    <n v="645"/>
    <n v="68"/>
    <n v="27"/>
    <n v="39"/>
    <s v="Power Failure"/>
    <n v="57"/>
    <n v="60"/>
    <n v="75.400000000000006"/>
    <n v="4.1100000000000003"/>
    <n v="29.81"/>
    <n v="19059.48"/>
    <n v="8.19"/>
    <s v="Overdue"/>
    <n v="51"/>
    <n v="29476.23"/>
    <n v="0.90462833099579198"/>
    <n v="23013.27"/>
    <n v="721.74748948106605"/>
    <n v="622.25"/>
    <n v="0.93732422659702697"/>
    <n v="5741.2125105189298"/>
    <n v="1.0885496183206107"/>
    <n v="9.5371669004207571E-2"/>
    <n v="3.7868162692847124E-2"/>
    <n v="0.90462833099579243"/>
    <n v="0.65"/>
    <n v="583.25"/>
    <n v="1.2224603514787826"/>
    <n v="1.0526315789473684"/>
    <n v="1.1613373339048436"/>
    <n v="0.90462833099579243"/>
    <n v="0.98473282442748089"/>
    <n v="32.276676016830294"/>
    <n v="8.0521914593533381"/>
    <s v="High"/>
    <s v="Warning"/>
  </r>
  <r>
    <n v="234"/>
    <d v="2026-06-22T00:00:00"/>
    <x v="0"/>
    <s v="Plant A"/>
    <x v="2"/>
    <x v="4"/>
    <x v="1"/>
    <x v="1"/>
    <s v="B260622-0234"/>
    <s v="OP112"/>
    <n v="840"/>
    <n v="772"/>
    <n v="726"/>
    <n v="46"/>
    <n v="11"/>
    <n v="8"/>
    <s v="Machine Breakdown"/>
    <n v="45"/>
    <n v="44"/>
    <n v="76.3"/>
    <n v="2.39"/>
    <n v="23.84"/>
    <n v="15051.05"/>
    <n v="9.4600000000000009"/>
    <s v="Pending"/>
    <n v="30"/>
    <n v="25921.439999999999"/>
    <n v="0.94041450777202096"/>
    <n v="19522.61"/>
    <n v="214.45796632124399"/>
    <n v="630"/>
    <n v="0.98730158730158701"/>
    <n v="6184.3720336787601"/>
    <n v="0.919047619047619"/>
    <n v="5.9585492227979271E-2"/>
    <n v="1.4248704663212436E-2"/>
    <n v="0.94041450777202074"/>
    <n v="0.13333333333333333"/>
    <n v="622"/>
    <n v="1.2411575562700965"/>
    <n v="1.3333333333333333"/>
    <n v="0.93086816720257237"/>
    <n v="0.94041450777202074"/>
    <n v="0.86428571428571399"/>
    <n v="25.288354922279794"/>
    <n v="8.0108446032108294"/>
    <s v="Medium"/>
    <s v="Normal"/>
  </r>
  <r>
    <n v="235"/>
    <d v="2026-06-03T00:00:00"/>
    <x v="0"/>
    <s v="Plant A"/>
    <x v="0"/>
    <x v="3"/>
    <x v="2"/>
    <x v="0"/>
    <s v="B260603-0235"/>
    <s v="OP112"/>
    <n v="776"/>
    <n v="708"/>
    <n v="674"/>
    <n v="34"/>
    <n v="9"/>
    <n v="37"/>
    <s v="Setup Time"/>
    <n v="42"/>
    <n v="45"/>
    <n v="70.099999999999994"/>
    <n v="1.1599999999999999"/>
    <n v="22.72"/>
    <n v="13533.54"/>
    <n v="7.72"/>
    <s v="Completed"/>
    <n v="23"/>
    <n v="20998.68"/>
    <n v="0.951977401129944"/>
    <n v="17212.02"/>
    <n v="172.03652542372899"/>
    <n v="543.20000000000005"/>
    <n v="0.93188512518409405"/>
    <n v="3614.6234745762699"/>
    <n v="0.91237113402061853"/>
    <n v="4.8022598870056499E-2"/>
    <n v="1.2711864406779662E-2"/>
    <n v="0.95197740112994356"/>
    <n v="0.6166666666666667"/>
    <n v="506.20000000000005"/>
    <n v="1.3986566574476491"/>
    <n v="1.4285714285714286"/>
    <n v="0.97905966021335433"/>
    <n v="0.95197740112994356"/>
    <n v="0.86855670103092764"/>
    <n v="24.310762711864406"/>
    <n v="5.1054003878195902"/>
    <s v="Low"/>
    <s v="Normal"/>
  </r>
  <r>
    <n v="236"/>
    <d v="2026-03-09T00:00:00"/>
    <x v="1"/>
    <s v="Plant A"/>
    <x v="1"/>
    <x v="5"/>
    <x v="1"/>
    <x v="2"/>
    <s v="B260309-0236"/>
    <s v="OP126"/>
    <n v="495"/>
    <n v="512"/>
    <n v="493"/>
    <n v="19"/>
    <n v="4"/>
    <n v="38"/>
    <s v="Power Failure"/>
    <n v="64"/>
    <n v="67"/>
    <n v="76.2"/>
    <n v="2.34"/>
    <n v="17.239999999999998"/>
    <n v="16400.04"/>
    <n v="7.51"/>
    <s v="Scheduled"/>
    <n v="35"/>
    <n v="25871.13"/>
    <n v="0.962890625"/>
    <n v="19934.7"/>
    <n v="128.12531250000001"/>
    <n v="528"/>
    <n v="0.92803030303030298"/>
    <n v="5808.3046875"/>
    <n v="1.0343434343434343"/>
    <n v="3.7109375E-2"/>
    <n v="7.8125E-3"/>
    <n v="0.962890625"/>
    <n v="0.6333333333333333"/>
    <n v="490"/>
    <n v="1.0448979591836736"/>
    <n v="0.9375"/>
    <n v="1.1145578231292519"/>
    <n v="0.962890625"/>
    <n v="0.99595959595959616"/>
    <n v="38.934960937500001"/>
    <n v="11.344345092773438"/>
    <s v="Medium"/>
    <s v="Normal"/>
  </r>
  <r>
    <n v="237"/>
    <d v="2026-01-01T00:00:00"/>
    <x v="2"/>
    <s v="Plant A"/>
    <x v="1"/>
    <x v="2"/>
    <x v="0"/>
    <x v="3"/>
    <s v="B260101-0237"/>
    <s v="OP126"/>
    <n v="621"/>
    <n v="658"/>
    <n v="623"/>
    <n v="35"/>
    <n v="13"/>
    <n v="18"/>
    <s v="Power Failure"/>
    <n v="49"/>
    <n v="53"/>
    <n v="63.4"/>
    <n v="2.02"/>
    <n v="23.59"/>
    <n v="15231.72"/>
    <n v="8.8800000000000008"/>
    <s v="Pending"/>
    <n v="36"/>
    <n v="23532.83"/>
    <n v="0.94680851063829796"/>
    <n v="19440.03"/>
    <n v="300.93063829787201"/>
    <n v="507.15"/>
    <n v="0.96450754214729395"/>
    <n v="3791.8693617021299"/>
    <n v="1.0595813204508857"/>
    <n v="5.3191489361702128E-2"/>
    <n v="1.9756838905775075E-2"/>
    <n v="0.94680851063829785"/>
    <n v="0.3"/>
    <n v="489.15"/>
    <n v="1.3451906368189717"/>
    <n v="1.2244897959183674"/>
    <n v="1.0985723534021601"/>
    <n v="0.94680851063829785"/>
    <n v="1.0032206119162643"/>
    <n v="29.544118541033434"/>
    <n v="5.7627193946840878"/>
    <s v="Medium"/>
    <s v="Normal"/>
  </r>
  <r>
    <n v="238"/>
    <d v="2026-06-11T00:00:00"/>
    <x v="0"/>
    <s v="Plant A"/>
    <x v="4"/>
    <x v="12"/>
    <x v="2"/>
    <x v="3"/>
    <s v="B260611-0238"/>
    <s v="OP130"/>
    <n v="768"/>
    <n v="648"/>
    <n v="559"/>
    <n v="89"/>
    <n v="25"/>
    <n v="0"/>
    <s v="No Downtime"/>
    <n v="49"/>
    <n v="53"/>
    <n v="76.599999999999994"/>
    <n v="3.25"/>
    <n v="19.739999999999998"/>
    <n v="13444.03"/>
    <n v="8.85"/>
    <s v="Completed"/>
    <n v="33"/>
    <n v="21100.23"/>
    <n v="0.86265432098765404"/>
    <n v="17604.189999999999"/>
    <n v="518.67399691358003"/>
    <n v="627.20000000000005"/>
    <n v="1"/>
    <n v="2977.3660030864198"/>
    <n v="0.84375"/>
    <n v="0.13734567901234568"/>
    <n v="3.8580246913580245E-2"/>
    <n v="0.86265432098765427"/>
    <n v="0"/>
    <n v="627.20000000000005"/>
    <n v="1.0331632653061225"/>
    <n v="1.2244897959183674"/>
    <n v="0.84375"/>
    <n v="0.86265432098765427"/>
    <n v="0.72786458333333326"/>
    <n v="27.166959876543206"/>
    <n v="4.5947006220469442"/>
    <s v="High"/>
    <s v="Critical"/>
  </r>
  <r>
    <n v="239"/>
    <d v="2026-05-19T00:00:00"/>
    <x v="3"/>
    <s v="Plant B"/>
    <x v="1"/>
    <x v="6"/>
    <x v="2"/>
    <x v="1"/>
    <s v="B260519-0239"/>
    <s v="OP102"/>
    <n v="698"/>
    <n v="575"/>
    <n v="537"/>
    <n v="38"/>
    <n v="14"/>
    <n v="43"/>
    <s v="Power Failure"/>
    <n v="45"/>
    <n v="46"/>
    <n v="67"/>
    <n v="2.92"/>
    <n v="19.47"/>
    <n v="12120.56"/>
    <n v="7.26"/>
    <s v="Completed"/>
    <n v="13"/>
    <n v="19254.18"/>
    <n v="0.93391304347826098"/>
    <n v="15562.79"/>
    <n v="295.109286956522"/>
    <n v="523.5"/>
    <n v="0.91786055396370603"/>
    <n v="3396.2807130434799"/>
    <n v="0.82378223495702008"/>
    <n v="6.6086956521739126E-2"/>
    <n v="2.4347826086956521E-2"/>
    <n v="0.93391304347826087"/>
    <n v="0.71666666666666667"/>
    <n v="480.5"/>
    <n v="1.1966701352757545"/>
    <n v="1.3333333333333333"/>
    <n v="0.89750260145681593"/>
    <n v="0.93391304347826087"/>
    <n v="0.76934097421203462"/>
    <n v="27.065721739130435"/>
    <n v="5.9065751531190953"/>
    <s v="High"/>
    <s v="Warning"/>
  </r>
  <r>
    <n v="240"/>
    <d v="2026-06-08T00:00:00"/>
    <x v="0"/>
    <s v="Plant A"/>
    <x v="3"/>
    <x v="11"/>
    <x v="1"/>
    <x v="0"/>
    <s v="B260608-0240"/>
    <s v="OP104"/>
    <n v="877"/>
    <n v="847"/>
    <n v="782"/>
    <n v="65"/>
    <n v="13"/>
    <n v="41"/>
    <s v="Machine Breakdown"/>
    <n v="42"/>
    <n v="45"/>
    <n v="77.099999999999994"/>
    <n v="2.5099999999999998"/>
    <n v="27.94"/>
    <n v="16301.1"/>
    <n v="9.31"/>
    <s v="Completed"/>
    <n v="15"/>
    <n v="24454.66"/>
    <n v="0.92325855962219605"/>
    <n v="20742.060000000001"/>
    <n v="250.19397874852399"/>
    <n v="613.9"/>
    <n v="0.93321387848183801"/>
    <n v="3462.4060212514801"/>
    <n v="0.96579247434435578"/>
    <n v="7.6741440377804018E-2"/>
    <n v="1.5348288075560802E-2"/>
    <n v="0.92325855962219594"/>
    <n v="0.68333333333333335"/>
    <n v="572.9"/>
    <n v="1.4784430092511782"/>
    <n v="1.4285714285714286"/>
    <n v="1.0349101064758248"/>
    <n v="0.92325855962219594"/>
    <n v="0.89167616875712719"/>
    <n v="24.488854781582056"/>
    <n v="4.0878465422095394"/>
    <s v="Low"/>
    <s v="Normal"/>
  </r>
  <r>
    <n v="241"/>
    <d v="2026-06-25T00:00:00"/>
    <x v="0"/>
    <s v="Plant A"/>
    <x v="4"/>
    <x v="14"/>
    <x v="1"/>
    <x v="4"/>
    <s v="B260625-0241"/>
    <s v="OP122"/>
    <n v="536"/>
    <n v="375"/>
    <n v="341"/>
    <n v="34"/>
    <n v="11"/>
    <n v="38"/>
    <s v="Quality Inspection"/>
    <n v="57"/>
    <n v="59"/>
    <n v="76.3"/>
    <n v="2.33"/>
    <n v="15.64"/>
    <n v="10296.370000000001"/>
    <n v="5.05"/>
    <s v="Completed"/>
    <n v="31"/>
    <n v="15299.32"/>
    <n v="0.90933333333333299"/>
    <n v="12709.63"/>
    <n v="302.02685333333301"/>
    <n v="509.2"/>
    <n v="0.92537313432835799"/>
    <n v="2287.6631466666699"/>
    <n v="0.69962686567164178"/>
    <n v="9.0666666666666673E-2"/>
    <n v="2.9333333333333333E-2"/>
    <n v="0.90933333333333333"/>
    <n v="0.6333333333333333"/>
    <n v="471.2"/>
    <n v="0.79584040747028861"/>
    <n v="1.0526315789473684"/>
    <n v="0.75604838709677424"/>
    <n v="0.90933333333333333"/>
    <n v="0.63619402985074613"/>
    <n v="33.892346666666661"/>
    <n v="6.1004350577777862"/>
    <s v="High"/>
    <s v="Critical"/>
  </r>
  <r>
    <n v="242"/>
    <d v="2026-06-16T00:00:00"/>
    <x v="0"/>
    <s v="Plant B"/>
    <x v="1"/>
    <x v="6"/>
    <x v="2"/>
    <x v="1"/>
    <s v="B260616-0242"/>
    <s v="OP109"/>
    <n v="785"/>
    <n v="707"/>
    <n v="660"/>
    <n v="47"/>
    <n v="15"/>
    <n v="19"/>
    <s v="Machine Breakdown"/>
    <n v="45"/>
    <n v="46"/>
    <n v="69.599999999999994"/>
    <n v="1.51"/>
    <n v="21.9"/>
    <n v="14147.74"/>
    <n v="7.73"/>
    <s v="Scheduled"/>
    <n v="25"/>
    <n v="22672.98"/>
    <n v="0.933521923620934"/>
    <n v="17823.34"/>
    <n v="300.16421499292801"/>
    <n v="588.75"/>
    <n v="0.96772823779193196"/>
    <n v="4549.47578500708"/>
    <n v="0.90063694267515926"/>
    <n v="6.6478076379066484E-2"/>
    <n v="2.1216407355021217E-2"/>
    <n v="0.93352192362093356"/>
    <n v="0.31666666666666665"/>
    <n v="569.75"/>
    <n v="1.2408951294427379"/>
    <n v="1.3333333333333333"/>
    <n v="0.93067134708205346"/>
    <n v="0.93352192362093356"/>
    <n v="0.8407643312101909"/>
    <n v="25.20981612446959"/>
    <n v="6.4349021004343427"/>
    <s v="Medium"/>
    <s v="Warning"/>
  </r>
  <r>
    <n v="243"/>
    <d v="2026-05-16T00:00:00"/>
    <x v="3"/>
    <s v="Plant A"/>
    <x v="2"/>
    <x v="10"/>
    <x v="2"/>
    <x v="2"/>
    <s v="B260516-0243"/>
    <s v="OP133"/>
    <n v="506"/>
    <n v="397"/>
    <n v="357"/>
    <n v="40"/>
    <n v="13"/>
    <n v="104"/>
    <s v="Operator Issue"/>
    <n v="64"/>
    <n v="72"/>
    <n v="70.900000000000006"/>
    <n v="2.44"/>
    <n v="18.04"/>
    <n v="12062.28"/>
    <n v="7.73"/>
    <s v="Scheduled"/>
    <n v="18"/>
    <n v="18055.330000000002"/>
    <n v="0.89924433249370295"/>
    <n v="15703.14"/>
    <n v="394.986498740554"/>
    <n v="539.73333333333301"/>
    <n v="0.80731225296442699"/>
    <n v="1957.2035012594499"/>
    <n v="0.78458498023715417"/>
    <n v="0.10075566750629723"/>
    <n v="3.2745591939546598E-2"/>
    <n v="0.89924433249370272"/>
    <n v="1.7333333333333334"/>
    <n v="435.73333333333301"/>
    <n v="0.91110771113831157"/>
    <n v="0.9375"/>
    <n v="0.971848225214199"/>
    <n v="0.89924433249370272"/>
    <n v="0.70553359683794525"/>
    <n v="39.554508816120908"/>
    <n v="4.9299836303764479"/>
    <s v="High"/>
    <s v="Critical"/>
  </r>
  <r>
    <n v="244"/>
    <d v="2026-01-14T00:00:00"/>
    <x v="2"/>
    <s v="Plant A"/>
    <x v="3"/>
    <x v="8"/>
    <x v="1"/>
    <x v="0"/>
    <s v="B260114-0244"/>
    <s v="OP116"/>
    <n v="947"/>
    <n v="901"/>
    <n v="850"/>
    <n v="51"/>
    <n v="18"/>
    <n v="24"/>
    <s v="Preventive Maintenance"/>
    <n v="42"/>
    <n v="42"/>
    <n v="72.8"/>
    <n v="1.7"/>
    <n v="36.619999999999997"/>
    <n v="16109.76"/>
    <n v="8.33"/>
    <s v="Scheduled"/>
    <n v="39"/>
    <n v="27837.279999999999"/>
    <n v="0.94339622641509402"/>
    <n v="20187.84"/>
    <n v="321.837602663707"/>
    <n v="662.9"/>
    <n v="0.96379544426006902"/>
    <n v="7327.6023973362899"/>
    <n v="0.95142555438225973"/>
    <n v="5.6603773584905662E-2"/>
    <n v="1.9977802441731411E-2"/>
    <n v="0.94339622641509435"/>
    <n v="0.4"/>
    <n v="638.9"/>
    <n v="1.4102363437157615"/>
    <n v="1.4285714285714286"/>
    <n v="0.98716544060103295"/>
    <n v="0.94339622641509435"/>
    <n v="0.89757127771911249"/>
    <n v="22.406037735849058"/>
    <n v="8.1327440591967708"/>
    <s v="Medium"/>
    <s v="Normal"/>
  </r>
  <r>
    <n v="245"/>
    <d v="2026-02-07T00:00:00"/>
    <x v="4"/>
    <s v="Plant A"/>
    <x v="2"/>
    <x v="10"/>
    <x v="0"/>
    <x v="3"/>
    <s v="B260207-0245"/>
    <s v="OP130"/>
    <n v="719"/>
    <n v="755"/>
    <n v="686"/>
    <n v="69"/>
    <n v="27"/>
    <n v="24"/>
    <s v="Quality Inspection"/>
    <n v="49"/>
    <n v="49"/>
    <n v="79.400000000000006"/>
    <n v="1.88"/>
    <n v="28.66"/>
    <n v="16885.060000000001"/>
    <n v="9.68"/>
    <s v="Completed"/>
    <n v="31"/>
    <n v="26803.33"/>
    <n v="0.90860927152317905"/>
    <n v="21499"/>
    <n v="603.83658278145697"/>
    <n v="587.18333333333305"/>
    <n v="0.95912690528227995"/>
    <n v="4700.4934172185503"/>
    <n v="1.0500695410292071"/>
    <n v="9.1390728476821198E-2"/>
    <n v="3.5761589403973511E-2"/>
    <n v="0.90860927152317883"/>
    <n v="0.4"/>
    <n v="563.18333333333305"/>
    <n v="1.3405936491965322"/>
    <n v="1.2244897959183674"/>
    <n v="1.0948181468438347"/>
    <n v="0.90860927152317883"/>
    <n v="0.95410292072322744"/>
    <n v="28.475496688741721"/>
    <n v="6.2258190956537094"/>
    <s v="Medium"/>
    <s v="Warning"/>
  </r>
  <r>
    <n v="246"/>
    <d v="2026-02-28T00:00:00"/>
    <x v="4"/>
    <s v="Plant A"/>
    <x v="1"/>
    <x v="6"/>
    <x v="1"/>
    <x v="2"/>
    <s v="B260228-0246"/>
    <s v="OP131"/>
    <n v="664"/>
    <n v="640"/>
    <n v="595"/>
    <n v="45"/>
    <n v="18"/>
    <n v="38"/>
    <s v="Setup Time"/>
    <n v="64"/>
    <n v="64"/>
    <n v="68.8"/>
    <n v="2.2000000000000002"/>
    <n v="28.22"/>
    <n v="19644.23"/>
    <n v="7.08"/>
    <s v="Overdue"/>
    <n v="25"/>
    <n v="31373.43"/>
    <n v="0.9296875"/>
    <n v="23084.21"/>
    <n v="552.49396875000002"/>
    <n v="708.26666666666699"/>
    <n v="0.94634789156626498"/>
    <n v="7736.7260312500002"/>
    <n v="0.96385542168674698"/>
    <n v="7.03125E-2"/>
    <n v="2.8125000000000001E-2"/>
    <n v="0.9296875"/>
    <n v="0.6333333333333333"/>
    <n v="670.26666666666699"/>
    <n v="0.95484384324646865"/>
    <n v="0.9375"/>
    <n v="1.0185000994628999"/>
    <n v="0.9296875"/>
    <n v="0.89608433734939708"/>
    <n v="36.069078124999997"/>
    <n v="12.088634423828125"/>
    <s v="High"/>
    <s v="Normal"/>
  </r>
  <r>
    <n v="247"/>
    <d v="2026-05-10T00:00:00"/>
    <x v="3"/>
    <s v="Plant A"/>
    <x v="1"/>
    <x v="6"/>
    <x v="0"/>
    <x v="1"/>
    <s v="B260510-0247"/>
    <s v="OP107"/>
    <n v="911"/>
    <n v="917"/>
    <n v="875"/>
    <n v="42"/>
    <n v="14"/>
    <n v="42"/>
    <s v="Quality Inspection"/>
    <n v="45"/>
    <n v="46"/>
    <n v="76.599999999999994"/>
    <n v="2.19"/>
    <n v="29.85"/>
    <n v="18957.27"/>
    <n v="9.19"/>
    <s v="Overdue"/>
    <n v="41"/>
    <n v="30558.41"/>
    <n v="0.954198473282443"/>
    <n v="23361.42"/>
    <n v="289.42396946564901"/>
    <n v="683.25"/>
    <n v="0.93852908891328202"/>
    <n v="6907.5660305343499"/>
    <n v="1.0065861690450055"/>
    <n v="4.5801526717557252E-2"/>
    <n v="1.5267175572519083E-2"/>
    <n v="0.95419847328244278"/>
    <n v="0.7"/>
    <n v="641.25"/>
    <n v="1.430019493177388"/>
    <n v="1.3333333333333333"/>
    <n v="1.0725146198830411"/>
    <n v="0.95419847328244278"/>
    <n v="0.96048298572996715"/>
    <n v="25.475921483097054"/>
    <n v="7.5327873833526171"/>
    <s v="High"/>
    <s v="Normal"/>
  </r>
  <r>
    <n v="248"/>
    <d v="2026-02-05T00:00:00"/>
    <x v="4"/>
    <s v="Plant B"/>
    <x v="3"/>
    <x v="7"/>
    <x v="1"/>
    <x v="1"/>
    <s v="B260205-0248"/>
    <s v="OP101"/>
    <n v="716"/>
    <n v="595"/>
    <n v="556"/>
    <n v="39"/>
    <n v="13"/>
    <n v="40"/>
    <s v="Material Shortage"/>
    <n v="45"/>
    <n v="48"/>
    <n v="74.7"/>
    <n v="1.93"/>
    <n v="22.15"/>
    <n v="12219.07"/>
    <n v="8.48"/>
    <s v="Pending"/>
    <n v="68"/>
    <n v="18936.400000000001"/>
    <n v="0.93445378151260505"/>
    <n v="16234.42"/>
    <n v="266.97127731092399"/>
    <n v="537"/>
    <n v="0.92551210428305397"/>
    <n v="2435.0087226890801"/>
    <n v="0.83100558659217882"/>
    <n v="6.5546218487394961E-2"/>
    <n v="2.1848739495798318E-2"/>
    <n v="0.93445378151260505"/>
    <n v="0.66666666666666663"/>
    <n v="497"/>
    <n v="1.1971830985915493"/>
    <n v="1.3333333333333333"/>
    <n v="0.897887323943662"/>
    <n v="0.93445378151260505"/>
    <n v="0.77653631284916191"/>
    <n v="27.28473949579832"/>
    <n v="4.0924516347715629"/>
    <s v="High"/>
    <s v="Warning"/>
  </r>
  <r>
    <n v="249"/>
    <d v="2026-04-09T00:00:00"/>
    <x v="5"/>
    <s v="Plant B"/>
    <x v="1"/>
    <x v="6"/>
    <x v="0"/>
    <x v="3"/>
    <s v="B260409-0249"/>
    <s v="OP105"/>
    <n v="724"/>
    <n v="686"/>
    <n v="645"/>
    <n v="41"/>
    <n v="11"/>
    <n v="38"/>
    <s v="Preventive Maintenance"/>
    <n v="49"/>
    <n v="52"/>
    <n v="61.9"/>
    <n v="1.85"/>
    <n v="29.31"/>
    <n v="14952.42"/>
    <n v="6.99"/>
    <s v="Completed"/>
    <n v="16"/>
    <n v="24440.02"/>
    <n v="0.94023323615160403"/>
    <n v="18361.71"/>
    <n v="239.76183673469399"/>
    <n v="591.26666666666699"/>
    <n v="0.935731198556771"/>
    <n v="5838.54816326531"/>
    <n v="0.9475138121546961"/>
    <n v="5.9766763848396499E-2"/>
    <n v="1.6034985422740525E-2"/>
    <n v="0.94023323615160348"/>
    <n v="0.6333333333333333"/>
    <n v="553.26666666666699"/>
    <n v="1.2399084227015296"/>
    <n v="1.2244897959183674"/>
    <n v="1.0125918785395824"/>
    <n v="0.94023323615160348"/>
    <n v="0.89088397790055207"/>
    <n v="26.766341107871717"/>
    <n v="8.5110031534479731"/>
    <s v="Low"/>
    <s v="Normal"/>
  </r>
  <r>
    <n v="250"/>
    <d v="2026-05-09T00:00:00"/>
    <x v="3"/>
    <s v="Plant A"/>
    <x v="1"/>
    <x v="6"/>
    <x v="1"/>
    <x v="1"/>
    <s v="B260509-0250"/>
    <s v="OP119"/>
    <n v="911"/>
    <n v="842"/>
    <n v="797"/>
    <n v="45"/>
    <n v="9"/>
    <n v="33"/>
    <s v="Operator Issue"/>
    <n v="45"/>
    <n v="49"/>
    <n v="81.7"/>
    <n v="2.4500000000000002"/>
    <n v="34.94"/>
    <n v="18206.82"/>
    <n v="6.99"/>
    <s v="Completed"/>
    <n v="4"/>
    <n v="28224.86"/>
    <n v="0.94655581947743495"/>
    <n v="21666.78"/>
    <n v="194.60971496437099"/>
    <n v="683.25"/>
    <n v="0.95170142700329297"/>
    <n v="6363.4702850356298"/>
    <n v="0.92425905598243685"/>
    <n v="5.3444180522565318E-2"/>
    <n v="1.0688836104513063E-2"/>
    <n v="0.94655581947743472"/>
    <n v="0.55000000000000004"/>
    <n v="650.25"/>
    <n v="1.294886582083814"/>
    <n v="1.3333333333333333"/>
    <n v="0.97116493656286051"/>
    <n v="0.94655581947743472"/>
    <n v="0.87486278814489571"/>
    <n v="25.73251781472684"/>
    <n v="7.5575656591872091"/>
    <s v="Medium"/>
    <s v="Warning"/>
  </r>
  <r>
    <n v="251"/>
    <d v="2026-05-08T00:00:00"/>
    <x v="3"/>
    <s v="Plant A"/>
    <x v="3"/>
    <x v="11"/>
    <x v="2"/>
    <x v="0"/>
    <s v="B260508-0251"/>
    <s v="OP127"/>
    <n v="787"/>
    <n v="550"/>
    <n v="502"/>
    <n v="48"/>
    <n v="16"/>
    <n v="114"/>
    <s v="Machine Breakdown"/>
    <n v="42"/>
    <n v="47"/>
    <n v="84.1"/>
    <n v="1.82"/>
    <n v="24.43"/>
    <n v="10415.370000000001"/>
    <n v="6.97"/>
    <s v="Completed"/>
    <n v="6"/>
    <n v="15875.17"/>
    <n v="0.91272727272727305"/>
    <n v="13771.74"/>
    <n v="302.99258181818197"/>
    <n v="550.9"/>
    <n v="0.79306589217643897"/>
    <n v="1800.43741818182"/>
    <n v="0.69885641677255406"/>
    <n v="8.727272727272728E-2"/>
    <n v="2.9090909090909091E-2"/>
    <n v="0.91272727272727272"/>
    <n v="1.9"/>
    <n v="436.9"/>
    <n v="1.2588693064774548"/>
    <n v="1.4285714285714286"/>
    <n v="0.88120851453421833"/>
    <n v="0.91272727272727272"/>
    <n v="0.63786531130876778"/>
    <n v="25.039527272727273"/>
    <n v="3.2735225785124"/>
    <s v="High"/>
    <s v="Critical"/>
  </r>
  <r>
    <n v="252"/>
    <d v="2026-02-03T00:00:00"/>
    <x v="4"/>
    <s v="Plant B"/>
    <x v="3"/>
    <x v="7"/>
    <x v="0"/>
    <x v="3"/>
    <s v="B260203-0252"/>
    <s v="OP119"/>
    <n v="644"/>
    <n v="662"/>
    <n v="637"/>
    <n v="25"/>
    <n v="9"/>
    <n v="12"/>
    <s v="Preventive Maintenance"/>
    <n v="49"/>
    <n v="48"/>
    <n v="68.900000000000006"/>
    <n v="1.99"/>
    <n v="27.12"/>
    <n v="13971.98"/>
    <n v="7.8"/>
    <s v="Overdue"/>
    <n v="14"/>
    <n v="24314.240000000002"/>
    <n v="0.96223564954682805"/>
    <n v="17726.060000000001"/>
    <n v="189.95138972809701"/>
    <n v="525.93333333333305"/>
    <n v="0.977183419951832"/>
    <n v="6398.2286102718999"/>
    <n v="1.0279503105590062"/>
    <n v="3.7764350453172203E-2"/>
    <n v="1.3595166163141994E-2"/>
    <n v="0.96223564954682783"/>
    <n v="0.2"/>
    <n v="513.93333333333305"/>
    <n v="1.2881048125567525"/>
    <n v="1.2244897959183674"/>
    <n v="1.0519522635880145"/>
    <n v="0.96223564954682783"/>
    <n v="0.98913043478260954"/>
    <n v="26.776525679758311"/>
    <n v="9.664997900712839"/>
    <s v="High"/>
    <s v="Normal"/>
  </r>
  <r>
    <n v="253"/>
    <d v="2026-04-23T00:00:00"/>
    <x v="5"/>
    <s v="Plant B"/>
    <x v="4"/>
    <x v="14"/>
    <x v="0"/>
    <x v="1"/>
    <s v="B260423-0253"/>
    <s v="OP121"/>
    <n v="856"/>
    <n v="791"/>
    <n v="718"/>
    <n v="73"/>
    <n v="16"/>
    <n v="38"/>
    <s v="Tool Change"/>
    <n v="45"/>
    <n v="44"/>
    <n v="73.8"/>
    <n v="2.25"/>
    <n v="34.28"/>
    <n v="16229.92"/>
    <n v="8.6300000000000008"/>
    <s v="Completed"/>
    <n v="1"/>
    <n v="25727.05"/>
    <n v="0.907711757269279"/>
    <n v="20421.939999999999"/>
    <n v="328.29168141592902"/>
    <n v="642"/>
    <n v="0.94080996884735202"/>
    <n v="4976.8183185840699"/>
    <n v="0.9240654205607477"/>
    <n v="9.2288242730720602E-2"/>
    <n v="2.0227560050568902E-2"/>
    <n v="0.90771175726927944"/>
    <n v="0.6333333333333333"/>
    <n v="604"/>
    <n v="1.3096026490066226"/>
    <n v="1.3333333333333333"/>
    <n v="0.98220198675496695"/>
    <n v="0.90771175726927944"/>
    <n v="0.83878504672897203"/>
    <n v="25.817876106194689"/>
    <n v="6.2918057124956634"/>
    <s v="Medium"/>
    <s v="Warning"/>
  </r>
  <r>
    <n v="254"/>
    <d v="2026-05-27T00:00:00"/>
    <x v="3"/>
    <s v="Plant A"/>
    <x v="2"/>
    <x v="9"/>
    <x v="2"/>
    <x v="3"/>
    <s v="B260527-0254"/>
    <s v="OP108"/>
    <n v="865"/>
    <n v="809"/>
    <n v="773"/>
    <n v="36"/>
    <n v="7"/>
    <n v="33"/>
    <s v="Material Shortage"/>
    <n v="49"/>
    <n v="51"/>
    <n v="74.900000000000006"/>
    <n v="1.64"/>
    <n v="31.32"/>
    <n v="17204.57"/>
    <n v="9.6199999999999992"/>
    <s v="Completed"/>
    <n v="1"/>
    <n v="28532.52"/>
    <n v="0.95550061804697195"/>
    <n v="21815.45"/>
    <n v="148.86525339925799"/>
    <n v="706.41666666666697"/>
    <n v="0.95328536038692901"/>
    <n v="6568.2047466007398"/>
    <n v="0.93526011560693645"/>
    <n v="4.4499381953028432E-2"/>
    <n v="8.65265760197775E-3"/>
    <n v="0.95550061804697162"/>
    <n v="0.55000000000000004"/>
    <n v="673.41666666666697"/>
    <n v="1.2013364682588783"/>
    <n v="1.2244897959183674"/>
    <n v="0.98109144907808388"/>
    <n v="0.95550061804697162"/>
    <n v="0.8936416184971091"/>
    <n v="26.965945611866502"/>
    <n v="8.1189181045744618"/>
    <s v="Low"/>
    <s v="Normal"/>
  </r>
  <r>
    <n v="255"/>
    <d v="2026-05-18T00:00:00"/>
    <x v="3"/>
    <s v="Plant B"/>
    <x v="0"/>
    <x v="0"/>
    <x v="0"/>
    <x v="4"/>
    <s v="B260518-0255"/>
    <s v="OP133"/>
    <n v="534"/>
    <n v="552"/>
    <n v="524"/>
    <n v="28"/>
    <n v="6"/>
    <n v="27"/>
    <s v="Operator Issue"/>
    <n v="57"/>
    <n v="58"/>
    <n v="74.900000000000006"/>
    <n v="1.32"/>
    <n v="22.1"/>
    <n v="16077.31"/>
    <n v="10.18"/>
    <s v="Completed"/>
    <n v="19"/>
    <n v="24546.080000000002"/>
    <n v="0.94927536231884102"/>
    <n v="20857.21"/>
    <n v="174.75336956521701"/>
    <n v="507.3"/>
    <n v="0.94677705499704301"/>
    <n v="3514.1166304347898"/>
    <n v="1.0337078651685394"/>
    <n v="5.0724637681159424E-2"/>
    <n v="1.0869565217391304E-2"/>
    <n v="0.94927536231884058"/>
    <n v="0.45"/>
    <n v="480.3"/>
    <n v="1.1492816989381636"/>
    <n v="1.0526315789473684"/>
    <n v="1.0918176139912554"/>
    <n v="0.94927536231884058"/>
    <n v="0.98127340823970022"/>
    <n v="37.784800724637677"/>
    <n v="6.3661533160050539"/>
    <s v="Low"/>
    <s v="Normal"/>
  </r>
  <r>
    <n v="256"/>
    <d v="2026-04-19T00:00:00"/>
    <x v="5"/>
    <s v="Plant B"/>
    <x v="3"/>
    <x v="11"/>
    <x v="1"/>
    <x v="0"/>
    <s v="B260419-0256"/>
    <s v="OP120"/>
    <n v="963"/>
    <n v="956"/>
    <n v="866"/>
    <n v="90"/>
    <n v="28"/>
    <n v="23"/>
    <s v="Preventive Maintenance"/>
    <n v="42"/>
    <n v="43"/>
    <n v="82.5"/>
    <n v="2.57"/>
    <n v="39.130000000000003"/>
    <n v="18391.21"/>
    <n v="8.1"/>
    <s v="Pending"/>
    <n v="50"/>
    <n v="28248.720000000001"/>
    <n v="0.90585774058577395"/>
    <n v="22388.38"/>
    <n v="538.65468619246894"/>
    <n v="674.1"/>
    <n v="0.96588043317015304"/>
    <n v="5321.6853138075403"/>
    <n v="0.9927310488058152"/>
    <n v="9.4142259414225937E-2"/>
    <n v="2.9288702928870293E-2"/>
    <n v="0.90585774058577406"/>
    <n v="0.38333333333333336"/>
    <n v="651.1"/>
    <n v="1.4682844417140224"/>
    <n v="1.4285714285714286"/>
    <n v="1.0277991091998155"/>
    <n v="0.90585774058577406"/>
    <n v="0.89927310488058165"/>
    <n v="23.418807531380754"/>
    <n v="5.566616437037176"/>
    <s v="Medium"/>
    <s v="Warning"/>
  </r>
  <r>
    <n v="257"/>
    <d v="2026-03-19T00:00:00"/>
    <x v="1"/>
    <s v="Plant B"/>
    <x v="1"/>
    <x v="6"/>
    <x v="1"/>
    <x v="0"/>
    <s v="B260319-0257"/>
    <s v="OP101"/>
    <n v="798"/>
    <n v="782"/>
    <n v="743"/>
    <n v="39"/>
    <n v="8"/>
    <n v="24"/>
    <s v="Tool Change"/>
    <n v="42"/>
    <n v="44"/>
    <n v="68.8"/>
    <n v="1.39"/>
    <n v="26.51"/>
    <n v="13714.82"/>
    <n v="9.4700000000000006"/>
    <s v="Overdue"/>
    <n v="45"/>
    <n v="23869.55"/>
    <n v="0.95012787723785197"/>
    <n v="18214.91"/>
    <n v="140.30506393861901"/>
    <n v="558.6"/>
    <n v="0.95703544575724997"/>
    <n v="5514.3349360613802"/>
    <n v="0.97994987468671679"/>
    <n v="4.9872122762148335E-2"/>
    <n v="1.0230179028132993E-2"/>
    <n v="0.95012787723785164"/>
    <n v="0.4"/>
    <n v="534.6"/>
    <n v="1.4627759072203517"/>
    <n v="1.4285714285714286"/>
    <n v="1.0239431350542461"/>
    <n v="0.95012787723785164"/>
    <n v="0.9310776942355885"/>
    <n v="23.292723785166242"/>
    <n v="7.0515792021245272"/>
    <s v="High"/>
    <s v="Normal"/>
  </r>
  <r>
    <n v="258"/>
    <d v="2026-03-08T00:00:00"/>
    <x v="1"/>
    <s v="Plant B"/>
    <x v="0"/>
    <x v="1"/>
    <x v="1"/>
    <x v="4"/>
    <s v="B260308-0258"/>
    <s v="OP117"/>
    <n v="561"/>
    <n v="563"/>
    <n v="531"/>
    <n v="32"/>
    <n v="13"/>
    <n v="32"/>
    <s v="Quality Inspection"/>
    <n v="57"/>
    <n v="58"/>
    <n v="76.5"/>
    <n v="2.21"/>
    <n v="17.61"/>
    <n v="15740.65"/>
    <n v="7.48"/>
    <s v="Completed"/>
    <n v="24"/>
    <n v="24613.64"/>
    <n v="0.94316163410302001"/>
    <n v="19265.14"/>
    <n v="363.46083481349899"/>
    <n v="532.95000000000005"/>
    <n v="0.93995684398161194"/>
    <n v="4985.0391651865002"/>
    <n v="1.0035650623885919"/>
    <n v="5.6838365896980464E-2"/>
    <n v="2.3090586145648313E-2"/>
    <n v="0.94316163410301956"/>
    <n v="0.53333333333333333"/>
    <n v="500.95000000000005"/>
    <n v="1.1238646571514121"/>
    <n v="1.0526315789473684"/>
    <n v="1.0676714242938417"/>
    <n v="0.94316163410301956"/>
    <n v="0.94652406417112311"/>
    <n v="34.218721136767314"/>
    <n v="8.8544212525515107"/>
    <s v="Low"/>
    <s v="Normal"/>
  </r>
  <r>
    <n v="259"/>
    <d v="2026-01-25T00:00:00"/>
    <x v="2"/>
    <s v="Plant A"/>
    <x v="2"/>
    <x v="10"/>
    <x v="2"/>
    <x v="1"/>
    <s v="B260125-0259"/>
    <s v="OP120"/>
    <n v="818"/>
    <n v="708"/>
    <n v="630"/>
    <n v="78"/>
    <n v="16"/>
    <n v="18"/>
    <s v="Operator Issue"/>
    <n v="45"/>
    <n v="46"/>
    <n v="71.400000000000006"/>
    <n v="1.74"/>
    <n v="22.04"/>
    <n v="13971.32"/>
    <n v="8.7899999999999991"/>
    <s v="Pending"/>
    <n v="21"/>
    <n v="22488.46"/>
    <n v="0.88983050847457601"/>
    <n v="18125.18"/>
    <n v="315.73604519774"/>
    <n v="613.5"/>
    <n v="0.97066014669926703"/>
    <n v="4047.54395480226"/>
    <n v="0.86552567237163813"/>
    <n v="0.11016949152542373"/>
    <n v="2.2598870056497175E-2"/>
    <n v="0.88983050847457623"/>
    <n v="0.3"/>
    <n v="595.5"/>
    <n v="1.1889168765743072"/>
    <n v="1.3333333333333333"/>
    <n v="0.89168765743073042"/>
    <n v="0.88983050847457623"/>
    <n v="0.77017114914425466"/>
    <n v="25.600536723163842"/>
    <n v="5.7168699926585598"/>
    <s v="High"/>
    <s v="Warning"/>
  </r>
  <r>
    <n v="260"/>
    <d v="2026-05-15T00:00:00"/>
    <x v="3"/>
    <s v="Plant A"/>
    <x v="1"/>
    <x v="2"/>
    <x v="2"/>
    <x v="0"/>
    <s v="B260515-0260"/>
    <s v="OP109"/>
    <n v="728"/>
    <n v="694"/>
    <n v="660"/>
    <n v="34"/>
    <n v="12"/>
    <n v="15"/>
    <s v="Operator Issue"/>
    <n v="42"/>
    <n v="47"/>
    <n v="65.099999999999994"/>
    <n v="1.61"/>
    <n v="20.71"/>
    <n v="12411.24"/>
    <n v="9.56"/>
    <s v="Completed"/>
    <n v="25"/>
    <n v="20773.52"/>
    <n v="0.95100864553314102"/>
    <n v="16899.63"/>
    <n v="214.60357348703201"/>
    <n v="509.6"/>
    <n v="0.97056514913657799"/>
    <n v="3659.2864265129701"/>
    <n v="0.95329670329670335"/>
    <n v="4.8991354466858789E-2"/>
    <n v="1.7291066282420751E-2"/>
    <n v="0.95100864553314124"/>
    <n v="0.25"/>
    <n v="494.6"/>
    <n v="1.403154063890012"/>
    <n v="1.4285714285714286"/>
    <n v="0.98220784472300837"/>
    <n v="0.95100864553314124"/>
    <n v="0.90659340659340681"/>
    <n v="24.351051873198848"/>
    <n v="5.2727470122665272"/>
    <s v="Low"/>
    <s v="Normal"/>
  </r>
  <r>
    <n v="261"/>
    <d v="2026-02-02T00:00:00"/>
    <x v="4"/>
    <s v="Plant A"/>
    <x v="3"/>
    <x v="8"/>
    <x v="1"/>
    <x v="1"/>
    <s v="B260202-0261"/>
    <s v="OP108"/>
    <n v="719"/>
    <n v="588"/>
    <n v="555"/>
    <n v="33"/>
    <n v="8"/>
    <n v="24"/>
    <s v="Machine Breakdown"/>
    <n v="45"/>
    <n v="43"/>
    <n v="66.3"/>
    <n v="1.1200000000000001"/>
    <n v="17.48"/>
    <n v="11509.82"/>
    <n v="7.51"/>
    <s v="Scheduled"/>
    <n v="11"/>
    <n v="19075.38"/>
    <n v="0.94387755102040805"/>
    <n v="15046.64"/>
    <n v="156.596190476191"/>
    <n v="539.25"/>
    <n v="0.95549374130737097"/>
    <n v="3872.14380952381"/>
    <n v="0.81780250347705141"/>
    <n v="5.6122448979591837E-2"/>
    <n v="1.3605442176870748E-2"/>
    <n v="0.94387755102040816"/>
    <n v="0.4"/>
    <n v="515.25"/>
    <n v="1.1411935953420669"/>
    <n v="1.3333333333333333"/>
    <n v="0.85589519650655022"/>
    <n v="0.94387755102040816"/>
    <n v="0.77190542420027775"/>
    <n v="25.589523809523808"/>
    <n v="6.5852785876255275"/>
    <s v="High"/>
    <s v="Warning"/>
  </r>
  <r>
    <n v="262"/>
    <d v="2026-06-21T00:00:00"/>
    <x v="0"/>
    <s v="Plant B"/>
    <x v="0"/>
    <x v="3"/>
    <x v="0"/>
    <x v="1"/>
    <s v="B260621-0262"/>
    <s v="OP118"/>
    <n v="858"/>
    <n v="780"/>
    <n v="749"/>
    <n v="31"/>
    <n v="10"/>
    <n v="37"/>
    <s v="Preventive Maintenance"/>
    <n v="45"/>
    <n v="46"/>
    <n v="80.400000000000006"/>
    <n v="2.38"/>
    <n v="31.82"/>
    <n v="15360.2"/>
    <n v="8.81"/>
    <s v="Completed"/>
    <n v="29"/>
    <n v="26569.45"/>
    <n v="0.96025641025640995"/>
    <n v="19611.080000000002"/>
    <n v="196.925641025641"/>
    <n v="643.5"/>
    <n v="0.94250194250194297"/>
    <n v="6761.4443589743596"/>
    <n v="0.90909090909090906"/>
    <n v="3.9743589743589741E-2"/>
    <n v="1.282051282051282E-2"/>
    <n v="0.96025641025641029"/>
    <n v="0.6166666666666667"/>
    <n v="606.5"/>
    <n v="1.2860676009892829"/>
    <n v="1.3333333333333333"/>
    <n v="0.96455070074196214"/>
    <n v="0.96025641025641029"/>
    <n v="0.87296037296037354"/>
    <n v="25.142410256410258"/>
    <n v="8.6685184089414875"/>
    <s v="Medium"/>
    <s v="Warning"/>
  </r>
  <r>
    <n v="263"/>
    <d v="2026-02-24T00:00:00"/>
    <x v="4"/>
    <s v="Plant B"/>
    <x v="4"/>
    <x v="12"/>
    <x v="1"/>
    <x v="3"/>
    <s v="B260224-0263"/>
    <s v="OP107"/>
    <n v="712"/>
    <n v="655"/>
    <n v="555"/>
    <n v="100"/>
    <n v="25"/>
    <n v="44"/>
    <s v="Machine Breakdown"/>
    <n v="49"/>
    <n v="56"/>
    <n v="82.4"/>
    <n v="4.22"/>
    <n v="25.54"/>
    <n v="15233.41"/>
    <n v="7.97"/>
    <s v="Overdue"/>
    <n v="57"/>
    <n v="20825.009999999998"/>
    <n v="0.84732824427480902"/>
    <n v="19049.77"/>
    <n v="581.42786259542004"/>
    <n v="581.46666666666704"/>
    <n v="0.92432928227470801"/>
    <n v="1193.81213740458"/>
    <n v="0.9199438202247191"/>
    <n v="0.15267175572519084"/>
    <n v="3.8167938931297711E-2"/>
    <n v="0.84732824427480913"/>
    <n v="0.73333333333333328"/>
    <n v="537.46666666666704"/>
    <n v="1.2186802282312073"/>
    <n v="1.2244897959183674"/>
    <n v="0.99525551972215254"/>
    <n v="0.84732824427480913"/>
    <n v="0.77949438202247157"/>
    <n v="29.083618320610686"/>
    <n v="1.8226139502359999"/>
    <s v="High"/>
    <s v="Critical"/>
  </r>
  <r>
    <n v="264"/>
    <d v="2026-04-20T00:00:00"/>
    <x v="5"/>
    <s v="Plant A"/>
    <x v="0"/>
    <x v="1"/>
    <x v="2"/>
    <x v="3"/>
    <s v="B260420-0264"/>
    <s v="OP101"/>
    <n v="871"/>
    <n v="827"/>
    <n v="768"/>
    <n v="59"/>
    <n v="21"/>
    <n v="12"/>
    <s v="Preventive Maintenance"/>
    <n v="49"/>
    <n v="49"/>
    <n v="65.900000000000006"/>
    <n v="2.5"/>
    <n v="33.25"/>
    <n v="17896.439999999999"/>
    <n v="7.46"/>
    <s v="Completed"/>
    <n v="39"/>
    <n v="29786.41"/>
    <n v="0.928657799274486"/>
    <n v="21552.69"/>
    <n v="454.444062877872"/>
    <n v="711.31666666666695"/>
    <n v="0.983129876520068"/>
    <n v="7779.27593712213"/>
    <n v="0.94948335246842708"/>
    <n v="7.1342200725513907E-2"/>
    <n v="2.539298669891173E-2"/>
    <n v="0.92865779927448611"/>
    <n v="0.2"/>
    <n v="699.31666666666695"/>
    <n v="1.182582997688219"/>
    <n v="1.2244897959183674"/>
    <n v="0.96577611477871217"/>
    <n v="0.92865779927448611"/>
    <n v="0.88174512055109"/>
    <n v="26.061293833131799"/>
    <n v="9.40662144754792"/>
    <s v="Medium"/>
    <s v="Normal"/>
  </r>
  <r>
    <n v="265"/>
    <d v="2026-04-14T00:00:00"/>
    <x v="5"/>
    <s v="Plant A"/>
    <x v="3"/>
    <x v="7"/>
    <x v="1"/>
    <x v="3"/>
    <s v="B260414-0265"/>
    <s v="OP118"/>
    <n v="824"/>
    <n v="757"/>
    <n v="723"/>
    <n v="34"/>
    <n v="8"/>
    <n v="0"/>
    <s v="No Downtime"/>
    <n v="49"/>
    <n v="54"/>
    <n v="71.8"/>
    <n v="1.83"/>
    <n v="30.47"/>
    <n v="17129.240000000002"/>
    <n v="9.1300000000000008"/>
    <s v="Completed"/>
    <n v="9"/>
    <n v="26693.87"/>
    <n v="0.95508586525759598"/>
    <n v="21511.97"/>
    <n v="181.02235138705399"/>
    <n v="672.93333333333305"/>
    <n v="1"/>
    <n v="5000.87764861294"/>
    <n v="0.9186893203883495"/>
    <n v="4.491413474240423E-2"/>
    <n v="1.0568031704095112E-2"/>
    <n v="0.95508586525759576"/>
    <n v="0"/>
    <n v="672.93333333333305"/>
    <n v="1.1249256984347142"/>
    <n v="1.2244897959183674"/>
    <n v="0.91868932038834994"/>
    <n v="0.95508586525759576"/>
    <n v="0.87742718446601986"/>
    <n v="28.417397622192869"/>
    <n v="6.6061791923552704"/>
    <s v="Low"/>
    <s v="Normal"/>
  </r>
  <r>
    <n v="266"/>
    <d v="2026-02-15T00:00:00"/>
    <x v="4"/>
    <s v="Plant B"/>
    <x v="2"/>
    <x v="9"/>
    <x v="0"/>
    <x v="3"/>
    <s v="B260215-0266"/>
    <s v="OP107"/>
    <n v="659"/>
    <n v="685"/>
    <n v="654"/>
    <n v="31"/>
    <n v="10"/>
    <n v="0"/>
    <s v="No Downtime"/>
    <n v="49"/>
    <n v="50"/>
    <n v="70.400000000000006"/>
    <n v="2.56"/>
    <n v="26.39"/>
    <n v="14197.76"/>
    <n v="10.1"/>
    <s v="Overdue"/>
    <n v="25"/>
    <n v="25418.81"/>
    <n v="0.95474452554744504"/>
    <n v="18980.27"/>
    <n v="207.26656934306601"/>
    <n v="538.18333333333305"/>
    <n v="1"/>
    <n v="6231.27343065694"/>
    <n v="1.0394537177541729"/>
    <n v="4.5255474452554748E-2"/>
    <n v="1.4598540145985401E-2"/>
    <n v="0.95474452554744527"/>
    <n v="0"/>
    <n v="538.18333333333305"/>
    <n v="1.2728004707193961"/>
    <n v="1.2244897959183674"/>
    <n v="1.0394537177541734"/>
    <n v="0.95474452554744527"/>
    <n v="0.99241274658573631"/>
    <n v="27.708423357664234"/>
    <n v="9.0967495338057525"/>
    <s v="High"/>
    <s v="Normal"/>
  </r>
  <r>
    <n v="267"/>
    <d v="2026-01-31T00:00:00"/>
    <x v="2"/>
    <s v="Plant B"/>
    <x v="1"/>
    <x v="2"/>
    <x v="2"/>
    <x v="3"/>
    <s v="B260131-0267"/>
    <s v="OP103"/>
    <n v="636"/>
    <n v="587"/>
    <n v="553"/>
    <n v="34"/>
    <n v="11"/>
    <n v="0"/>
    <s v="No Downtime"/>
    <n v="49"/>
    <n v="55"/>
    <n v="76.599999999999994"/>
    <n v="1.88"/>
    <n v="20.18"/>
    <n v="12975.05"/>
    <n v="8.08"/>
    <s v="Scheduled"/>
    <n v="12"/>
    <n v="20580.66"/>
    <n v="0.94207836456558802"/>
    <n v="16792.669999999998"/>
    <n v="243.144037478705"/>
    <n v="519.4"/>
    <n v="1"/>
    <n v="3544.8459625213"/>
    <n v="0.92295597484276726"/>
    <n v="5.7921635434412269E-2"/>
    <n v="1.8739352640545145E-2"/>
    <n v="0.94207836456558769"/>
    <n v="0"/>
    <n v="519.4"/>
    <n v="1.130150173276858"/>
    <n v="1.2244897959183674"/>
    <n v="0.92295597484276737"/>
    <n v="0.94207836456558769"/>
    <n v="0.86949685534591192"/>
    <n v="28.607614991482109"/>
    <n v="6.038919868009029"/>
    <s v="Low"/>
    <s v="Normal"/>
  </r>
  <r>
    <n v="268"/>
    <d v="2026-01-15T00:00:00"/>
    <x v="2"/>
    <s v="Plant B"/>
    <x v="4"/>
    <x v="13"/>
    <x v="1"/>
    <x v="3"/>
    <s v="B260115-0268"/>
    <s v="OP123"/>
    <n v="765"/>
    <n v="654"/>
    <n v="613"/>
    <n v="41"/>
    <n v="11"/>
    <n v="30"/>
    <s v="Operator Issue"/>
    <n v="49"/>
    <n v="49"/>
    <n v="71.900000000000006"/>
    <n v="1.97"/>
    <n v="20.6"/>
    <n v="14141.73"/>
    <n v="7.15"/>
    <s v="Pending"/>
    <n v="35"/>
    <n v="22941.26"/>
    <n v="0.93730886850152895"/>
    <n v="17544.63"/>
    <n v="237.857844036697"/>
    <n v="624.75"/>
    <n v="0.951980792316927"/>
    <n v="5158.7721559633001"/>
    <n v="0.85490196078431369"/>
    <n v="6.2691131498470942E-2"/>
    <n v="1.6819571865443424E-2"/>
    <n v="0.93730886850152906"/>
    <n v="0.5"/>
    <n v="594.75"/>
    <n v="1.0996216897856241"/>
    <n v="1.2244897959183674"/>
    <n v="0.89802437999159301"/>
    <n v="0.93730886850152906"/>
    <n v="0.8013071895424837"/>
    <n v="26.826651376146792"/>
    <n v="7.8880308195157491"/>
    <s v="Medium"/>
    <s v="Warning"/>
  </r>
  <r>
    <n v="269"/>
    <d v="2026-06-15T00:00:00"/>
    <x v="0"/>
    <s v="Plant B"/>
    <x v="2"/>
    <x v="4"/>
    <x v="2"/>
    <x v="0"/>
    <s v="B260615-0269"/>
    <s v="OP120"/>
    <n v="778"/>
    <n v="593"/>
    <n v="549"/>
    <n v="44"/>
    <n v="18"/>
    <n v="27"/>
    <s v="Power Failure"/>
    <n v="42"/>
    <n v="47"/>
    <n v="67.5"/>
    <n v="2.02"/>
    <n v="20.88"/>
    <n v="11065.99"/>
    <n v="7.52"/>
    <s v="Completed"/>
    <n v="34"/>
    <n v="17752.580000000002"/>
    <n v="0.92580101180438501"/>
    <n v="14637.91"/>
    <n v="335.898516020236"/>
    <n v="544.6"/>
    <n v="0.95042232831435902"/>
    <n v="2778.77148397977"/>
    <n v="0.76221079691516713"/>
    <n v="7.4198988195615517E-2"/>
    <n v="3.0354131534569982E-2"/>
    <n v="0.92580101180438445"/>
    <n v="0.45"/>
    <n v="517.6"/>
    <n v="1.1456723338485317"/>
    <n v="1.4285714285714286"/>
    <n v="0.80197063369397215"/>
    <n v="0.92580101180438445"/>
    <n v="0.70565552699228773"/>
    <n v="24.684502529510961"/>
    <n v="4.6859552849574539"/>
    <s v="High"/>
    <s v="Critical"/>
  </r>
  <r>
    <n v="270"/>
    <d v="2026-03-28T00:00:00"/>
    <x v="1"/>
    <s v="Plant B"/>
    <x v="2"/>
    <x v="9"/>
    <x v="0"/>
    <x v="4"/>
    <s v="B260328-0270"/>
    <s v="OP124"/>
    <n v="631"/>
    <n v="556"/>
    <n v="534"/>
    <n v="22"/>
    <n v="6"/>
    <n v="0"/>
    <s v="No Downtime"/>
    <n v="57"/>
    <n v="55"/>
    <n v="74"/>
    <n v="1.8"/>
    <n v="19.71"/>
    <n v="15518.57"/>
    <n v="9.1300000000000008"/>
    <s v="Overdue"/>
    <n v="42"/>
    <n v="24679.24"/>
    <n v="0.96043165467625902"/>
    <n v="19804.46"/>
    <n v="167.466582733813"/>
    <n v="599.45000000000005"/>
    <n v="1"/>
    <n v="4707.3134172661903"/>
    <n v="0.88114104595879561"/>
    <n v="3.9568345323741004E-2"/>
    <n v="1.0791366906474821E-2"/>
    <n v="0.96043165467625902"/>
    <n v="0"/>
    <n v="599.45000000000005"/>
    <n v="0.92751689048294261"/>
    <n v="1.0526315789473684"/>
    <n v="0.8811410459587955"/>
    <n v="0.96043165467625902"/>
    <n v="0.84627575277337552"/>
    <n v="35.619532374100714"/>
    <n v="8.4663910382485437"/>
    <s v="High"/>
    <s v="Warning"/>
  </r>
  <r>
    <n v="271"/>
    <d v="2026-06-01T00:00:00"/>
    <x v="0"/>
    <s v="Plant B"/>
    <x v="4"/>
    <x v="14"/>
    <x v="1"/>
    <x v="4"/>
    <s v="B260601-0271"/>
    <s v="OP128"/>
    <n v="573"/>
    <n v="462"/>
    <n v="423"/>
    <n v="39"/>
    <n v="13"/>
    <n v="47"/>
    <s v="Tool Change"/>
    <n v="57"/>
    <n v="57"/>
    <n v="68.3"/>
    <n v="1.83"/>
    <n v="19.53"/>
    <n v="12899.91"/>
    <n v="7.18"/>
    <s v="Scheduled"/>
    <n v="43"/>
    <n v="19457.07"/>
    <n v="0.91558441558441594"/>
    <n v="16306.68"/>
    <n v="362.984480519481"/>
    <n v="544.35"/>
    <n v="0.91365849177918601"/>
    <n v="2787.4055194805201"/>
    <n v="0.80628272251308897"/>
    <n v="8.4415584415584416E-2"/>
    <n v="2.813852813852814E-2"/>
    <n v="0.91558441558441561"/>
    <n v="0.78333333333333333"/>
    <n v="497.35"/>
    <n v="0.9289232934553131"/>
    <n v="1.0526315789473684"/>
    <n v="0.88247712878254747"/>
    <n v="0.91558441558441561"/>
    <n v="0.73821989528795795"/>
    <n v="35.295844155844158"/>
    <n v="6.0333452802608658"/>
    <s v="High"/>
    <s v="Critical"/>
  </r>
  <r>
    <n v="272"/>
    <d v="2026-06-19T00:00:00"/>
    <x v="0"/>
    <s v="Plant B"/>
    <x v="4"/>
    <x v="12"/>
    <x v="1"/>
    <x v="4"/>
    <s v="B260619-0272"/>
    <s v="OP128"/>
    <n v="759"/>
    <n v="653"/>
    <n v="549"/>
    <n v="104"/>
    <n v="25"/>
    <n v="53"/>
    <s v="Material Shortage"/>
    <n v="57"/>
    <n v="63"/>
    <n v="84.5"/>
    <n v="3.38"/>
    <n v="22.92"/>
    <n v="18360.150000000001"/>
    <n v="6.86"/>
    <s v="Scheduled"/>
    <n v="53"/>
    <n v="24723.61"/>
    <n v="0.84073506891271099"/>
    <n v="21653.43"/>
    <n v="702.91539050536005"/>
    <n v="721.05"/>
    <n v="0.92649608210249002"/>
    <n v="2367.2646094946399"/>
    <n v="0.86034255599472986"/>
    <n v="0.15926493108728942"/>
    <n v="3.8284839203675342E-2"/>
    <n v="0.84073506891271055"/>
    <n v="0.8833333333333333"/>
    <n v="668.05"/>
    <n v="0.977471746126787"/>
    <n v="1.0526315789473684"/>
    <n v="0.92859815882044772"/>
    <n v="0.84073506891271055"/>
    <n v="0.7233201581027674"/>
    <n v="33.159923430321591"/>
    <n v="3.6252137970821439"/>
    <s v="High"/>
    <s v="Critical"/>
  </r>
  <r>
    <n v="273"/>
    <d v="2026-01-08T00:00:00"/>
    <x v="2"/>
    <s v="Plant A"/>
    <x v="4"/>
    <x v="13"/>
    <x v="1"/>
    <x v="2"/>
    <s v="B260108-0273"/>
    <s v="OP128"/>
    <n v="615"/>
    <n v="569"/>
    <n v="531"/>
    <n v="38"/>
    <n v="14"/>
    <n v="33"/>
    <s v="Machine Breakdown"/>
    <n v="64"/>
    <n v="69"/>
    <n v="78.2"/>
    <n v="1.99"/>
    <n v="18.68"/>
    <n v="17245.099999999999"/>
    <n v="7.57"/>
    <s v="Completed"/>
    <n v="26"/>
    <n v="28365.95"/>
    <n v="0.93321616871704804"/>
    <n v="20819.72"/>
    <n v="424.30826010544803"/>
    <n v="656"/>
    <n v="0.94969512195121997"/>
    <n v="7121.9217398945602"/>
    <n v="0.9252032520325203"/>
    <n v="6.6783831282952552E-2"/>
    <n v="2.4604569420035149E-2"/>
    <n v="0.93321616871704749"/>
    <n v="0.55000000000000004"/>
    <n v="623"/>
    <n v="0.913322632423756"/>
    <n v="0.9375"/>
    <n v="0.97421080791867309"/>
    <n v="0.93321616871704749"/>
    <n v="0.8634146341463419"/>
    <n v="36.590017574692446"/>
    <n v="12.516558418092373"/>
    <s v="Low"/>
    <s v="Normal"/>
  </r>
  <r>
    <n v="274"/>
    <d v="2026-04-04T00:00:00"/>
    <x v="5"/>
    <s v="Plant A"/>
    <x v="1"/>
    <x v="6"/>
    <x v="2"/>
    <x v="0"/>
    <s v="B260404-0274"/>
    <s v="OP133"/>
    <n v="781"/>
    <n v="630"/>
    <n v="595"/>
    <n v="35"/>
    <n v="13"/>
    <n v="40"/>
    <s v="Setup Time"/>
    <n v="42"/>
    <n v="43"/>
    <n v="74.8"/>
    <n v="1.85"/>
    <n v="22.67"/>
    <n v="11501.09"/>
    <n v="7.8"/>
    <s v="Completed"/>
    <n v="21"/>
    <n v="18951.89"/>
    <n v="0.94444444444444398"/>
    <n v="15215.12"/>
    <n v="237.324079365079"/>
    <n v="546.70000000000005"/>
    <n v="0.92683372965063104"/>
    <n v="3499.4459206349202"/>
    <n v="0.80665813060179259"/>
    <n v="5.5555555555555552E-2"/>
    <n v="2.0634920634920634E-2"/>
    <n v="0.94444444444444442"/>
    <n v="0.66666666666666663"/>
    <n v="506.70000000000005"/>
    <n v="1.2433392539964474"/>
    <n v="1.4285714285714286"/>
    <n v="0.87033747779751314"/>
    <n v="0.94444444444444442"/>
    <n v="0.76184379001280389"/>
    <n v="24.150984126984127"/>
    <n v="5.5546760644998736"/>
    <s v="High"/>
    <s v="Warning"/>
  </r>
  <r>
    <n v="275"/>
    <d v="2026-02-06T00:00:00"/>
    <x v="4"/>
    <s v="Plant A"/>
    <x v="3"/>
    <x v="8"/>
    <x v="2"/>
    <x v="3"/>
    <s v="B260206-0275"/>
    <s v="OP117"/>
    <n v="648"/>
    <n v="488"/>
    <n v="453"/>
    <n v="35"/>
    <n v="12"/>
    <n v="50"/>
    <s v="Material Shortage"/>
    <n v="49"/>
    <n v="51"/>
    <n v="60.3"/>
    <n v="2.86"/>
    <n v="20.67"/>
    <n v="11337.39"/>
    <n v="6.93"/>
    <s v="Scheduled"/>
    <n v="3"/>
    <n v="17381.55"/>
    <n v="0.92827868852458995"/>
    <n v="14641.92"/>
    <n v="278.788278688525"/>
    <n v="529.20000000000005"/>
    <n v="0.90551776266062001"/>
    <n v="2460.8417213114699"/>
    <n v="0.75308641975308643"/>
    <n v="7.1721311475409832E-2"/>
    <n v="2.4590163934426229E-2"/>
    <n v="0.92827868852459017"/>
    <n v="0.83333333333333337"/>
    <n v="479.20000000000005"/>
    <n v="1.018363939899833"/>
    <n v="1.2244897959183674"/>
    <n v="0.83166388425153026"/>
    <n v="0.92827868852459017"/>
    <n v="0.69907407407407418"/>
    <n v="30.00393442622951"/>
    <n v="5.0427084453103888"/>
    <s v="High"/>
    <s v="Critical"/>
  </r>
  <r>
    <n v="276"/>
    <d v="2026-01-14T00:00:00"/>
    <x v="2"/>
    <s v="Plant A"/>
    <x v="4"/>
    <x v="12"/>
    <x v="0"/>
    <x v="4"/>
    <s v="B260114-0276"/>
    <s v="OP124"/>
    <n v="751"/>
    <n v="738"/>
    <n v="633"/>
    <n v="105"/>
    <n v="26"/>
    <n v="16"/>
    <s v="Machine Breakdown"/>
    <n v="57"/>
    <n v="65"/>
    <n v="86.5"/>
    <n v="3.08"/>
    <n v="29.57"/>
    <n v="20146.07"/>
    <n v="8.1"/>
    <s v="Scheduled"/>
    <n v="12"/>
    <n v="29370.33"/>
    <n v="0.85772357723577197"/>
    <n v="24057.200000000001"/>
    <n v="709.75314363143605"/>
    <n v="713.45"/>
    <n v="0.97757376130072204"/>
    <n v="4603.3768563685599"/>
    <n v="0.9826897470039947"/>
    <n v="0.14227642276422764"/>
    <n v="3.5230352303523033E-2"/>
    <n v="0.85772357723577231"/>
    <n v="0.26666666666666666"/>
    <n v="697.45"/>
    <n v="1.058140368485196"/>
    <n v="1.0526315789473684"/>
    <n v="1.0052333500609363"/>
    <n v="0.85772357723577231"/>
    <n v="0.84287616511318253"/>
    <n v="32.597831978319782"/>
    <n v="6.2376380167595666"/>
    <s v="High"/>
    <s v="Warning"/>
  </r>
  <r>
    <n v="277"/>
    <d v="2026-01-09T00:00:00"/>
    <x v="2"/>
    <s v="Plant B"/>
    <x v="0"/>
    <x v="1"/>
    <x v="1"/>
    <x v="3"/>
    <s v="B260109-0277"/>
    <s v="OP122"/>
    <n v="836"/>
    <n v="860"/>
    <n v="809"/>
    <n v="51"/>
    <n v="15"/>
    <n v="0"/>
    <s v="No Downtime"/>
    <n v="49"/>
    <n v="52"/>
    <n v="71.8"/>
    <n v="1.41"/>
    <n v="24.39"/>
    <n v="19241.47"/>
    <n v="9.5500000000000007"/>
    <s v="Pending"/>
    <n v="33"/>
    <n v="30070.76"/>
    <n v="0.94069767441860497"/>
    <n v="23758.48"/>
    <n v="335.60703488372098"/>
    <n v="682.73333333333301"/>
    <n v="1"/>
    <n v="5976.6729651162796"/>
    <n v="1.0287081339712918"/>
    <n v="5.9302325581395351E-2"/>
    <n v="1.7441860465116279E-2"/>
    <n v="0.94069767441860463"/>
    <n v="0"/>
    <n v="682.73333333333301"/>
    <n v="1.2596426130260723"/>
    <n v="1.2244897959183674"/>
    <n v="1.0287081339712922"/>
    <n v="0.94069767441860463"/>
    <n v="0.96770334928229695"/>
    <n v="27.62613953488372"/>
    <n v="6.9496197268793951"/>
    <s v="Medium"/>
    <s v="Normal"/>
  </r>
  <r>
    <n v="278"/>
    <d v="2026-04-13T00:00:00"/>
    <x v="5"/>
    <s v="Plant A"/>
    <x v="4"/>
    <x v="13"/>
    <x v="1"/>
    <x v="0"/>
    <s v="B260413-0278"/>
    <s v="OP116"/>
    <n v="786"/>
    <n v="713"/>
    <n v="672"/>
    <n v="41"/>
    <n v="16"/>
    <n v="10"/>
    <s v="Material Shortage"/>
    <n v="42"/>
    <n v="43"/>
    <n v="71.599999999999994"/>
    <n v="1.72"/>
    <n v="27.8"/>
    <n v="13055.16"/>
    <n v="7.08"/>
    <s v="Pending"/>
    <n v="10"/>
    <n v="22077.84"/>
    <n v="0.94249649368863997"/>
    <n v="16491.36"/>
    <n v="292.96291725105198"/>
    <n v="550.20000000000005"/>
    <n v="0.98182479098509601"/>
    <n v="5293.5170827489501"/>
    <n v="0.90712468193384221"/>
    <n v="5.7503506311360447E-2"/>
    <n v="2.244039270687237E-2"/>
    <n v="0.94249649368863953"/>
    <n v="0.16666666666666666"/>
    <n v="540.20000000000005"/>
    <n v="1.3198815253609772"/>
    <n v="1.4285714285714286"/>
    <n v="0.92391706775268401"/>
    <n v="0.94249649368863953"/>
    <n v="0.85496183206106824"/>
    <n v="23.129537166900423"/>
    <n v="7.4242876335889907"/>
    <s v="Medium"/>
    <s v="Normal"/>
  </r>
  <r>
    <n v="279"/>
    <d v="2026-05-27T00:00:00"/>
    <x v="3"/>
    <s v="Plant A"/>
    <x v="0"/>
    <x v="3"/>
    <x v="2"/>
    <x v="4"/>
    <s v="B260527-0279"/>
    <s v="OP115"/>
    <n v="752"/>
    <n v="591"/>
    <n v="570"/>
    <n v="21"/>
    <n v="7"/>
    <n v="22"/>
    <s v="Operator Issue"/>
    <n v="57"/>
    <n v="57"/>
    <n v="67.400000000000006"/>
    <n v="2.71"/>
    <n v="17.89"/>
    <n v="16785.63"/>
    <n v="8.07"/>
    <s v="Scheduled"/>
    <n v="14"/>
    <n v="26210.799999999999"/>
    <n v="0.96446700507614203"/>
    <n v="20578.14"/>
    <n v="198.81456852791899"/>
    <n v="714.4"/>
    <n v="0.96920492721164597"/>
    <n v="5433.8454314720802"/>
    <n v="0.78590425531914898"/>
    <n v="3.553299492385787E-2"/>
    <n v="1.1844331641285956E-2"/>
    <n v="0.96446700507614214"/>
    <n v="0.36666666666666664"/>
    <n v="692.4"/>
    <n v="0.85355285961871752"/>
    <n v="1.0526315789473684"/>
    <n v="0.81087521663778173"/>
    <n v="0.96446700507614214"/>
    <n v="0.75797872340425521"/>
    <n v="34.819187817258886"/>
    <n v="9.1943239111202715"/>
    <s v="High"/>
    <s v="Warning"/>
  </r>
  <r>
    <n v="280"/>
    <d v="2026-02-27T00:00:00"/>
    <x v="4"/>
    <s v="Plant A"/>
    <x v="3"/>
    <x v="7"/>
    <x v="0"/>
    <x v="4"/>
    <s v="B260227-0280"/>
    <s v="OP109"/>
    <n v="630"/>
    <n v="611"/>
    <n v="575"/>
    <n v="36"/>
    <n v="9"/>
    <n v="0"/>
    <s v="No Downtime"/>
    <n v="57"/>
    <n v="57"/>
    <n v="73.7"/>
    <n v="2.0499999999999998"/>
    <n v="22.01"/>
    <n v="16539.650000000001"/>
    <n v="9.17"/>
    <s v="Pending"/>
    <n v="48"/>
    <n v="25672.880000000001"/>
    <n v="0.94108019639934504"/>
    <n v="20864.240000000002"/>
    <n v="243.62823240589199"/>
    <n v="598.5"/>
    <n v="1"/>
    <n v="4565.0117675941101"/>
    <n v="0.96984126984126984"/>
    <n v="5.8919803600654665E-2"/>
    <n v="1.4729950900163666E-2"/>
    <n v="0.94108019639934537"/>
    <n v="0"/>
    <n v="598.5"/>
    <n v="1.0208855472013367"/>
    <n v="1.0526315789473684"/>
    <n v="0.96984126984126995"/>
    <n v="0.94108019639934537"/>
    <n v="0.91269841269841279"/>
    <n v="34.14769230769231"/>
    <n v="7.4713776883700653"/>
    <s v="Medium"/>
    <s v="Normal"/>
  </r>
  <r>
    <n v="281"/>
    <d v="2026-02-04T00:00:00"/>
    <x v="4"/>
    <s v="Plant B"/>
    <x v="1"/>
    <x v="6"/>
    <x v="0"/>
    <x v="3"/>
    <s v="B260204-0281"/>
    <s v="OP128"/>
    <n v="751"/>
    <n v="702"/>
    <n v="661"/>
    <n v="41"/>
    <n v="15"/>
    <n v="19"/>
    <s v="Setup Time"/>
    <n v="49"/>
    <n v="50"/>
    <n v="77.400000000000006"/>
    <n v="1.69"/>
    <n v="20.75"/>
    <n v="15223.34"/>
    <n v="9.75"/>
    <s v="Scheduled"/>
    <n v="20"/>
    <n v="24563.75"/>
    <n v="0.94159544159544195"/>
    <n v="19797.59"/>
    <n v="325.28504273504302"/>
    <n v="613.31666666666695"/>
    <n v="0.96902089730699204"/>
    <n v="4440.8749572649604"/>
    <n v="0.93475366178428765"/>
    <n v="5.8404558404558403E-2"/>
    <n v="2.1367521367521368E-2"/>
    <n v="0.94159544159544162"/>
    <n v="0.31666666666666665"/>
    <n v="594.31666666666695"/>
    <n v="1.1811884797666783"/>
    <n v="1.2244897959183674"/>
    <n v="0.96463725847612058"/>
    <n v="0.94159544159544162"/>
    <n v="0.88015978695073194"/>
    <n v="28.201695156695155"/>
    <n v="6.3260327026566383"/>
    <s v="Low"/>
    <s v="Normal"/>
  </r>
  <r>
    <n v="282"/>
    <d v="2026-05-24T00:00:00"/>
    <x v="3"/>
    <s v="Plant A"/>
    <x v="2"/>
    <x v="4"/>
    <x v="0"/>
    <x v="4"/>
    <s v="B260524-0282"/>
    <s v="OP122"/>
    <n v="744"/>
    <n v="723"/>
    <n v="671"/>
    <n v="52"/>
    <n v="22"/>
    <n v="44"/>
    <s v="Power Failure"/>
    <n v="57"/>
    <n v="57"/>
    <n v="66.599999999999994"/>
    <n v="3.24"/>
    <n v="25.06"/>
    <n v="19715.689999999999"/>
    <n v="9.89"/>
    <s v="Completed"/>
    <n v="5"/>
    <n v="31476.39"/>
    <n v="0.92807745504840899"/>
    <n v="24391.73"/>
    <n v="599.92417704011098"/>
    <n v="706.8"/>
    <n v="0.93774759479343495"/>
    <n v="6484.7358229598904"/>
    <n v="0.97177419354838712"/>
    <n v="7.1922544951590589E-2"/>
    <n v="3.0428769017980636E-2"/>
    <n v="0.92807745504840944"/>
    <n v="0.73333333333333328"/>
    <n v="662.8"/>
    <n v="1.0908267954133979"/>
    <n v="1.0526315789473684"/>
    <n v="1.0362854556427281"/>
    <n v="0.92807745504840944"/>
    <n v="0.90188172043010761"/>
    <n v="33.736832641770398"/>
    <n v="8.9692058408850492"/>
    <s v="Medium"/>
    <s v="Warning"/>
  </r>
  <r>
    <n v="283"/>
    <d v="2026-03-09T00:00:00"/>
    <x v="1"/>
    <s v="Plant B"/>
    <x v="1"/>
    <x v="5"/>
    <x v="0"/>
    <x v="2"/>
    <s v="B260309-0283"/>
    <s v="OP110"/>
    <n v="592"/>
    <n v="682"/>
    <n v="650"/>
    <n v="32"/>
    <n v="9"/>
    <n v="0"/>
    <s v="No Downtime"/>
    <n v="64"/>
    <n v="62"/>
    <n v="74.900000000000006"/>
    <n v="2.38"/>
    <n v="27.92"/>
    <n v="19976.97"/>
    <n v="9.65"/>
    <s v="Scheduled"/>
    <n v="12"/>
    <n v="33769.980000000003"/>
    <n v="0.95307917888563098"/>
    <n v="24570.75"/>
    <n v="263.625703812317"/>
    <n v="631.46666666666704"/>
    <n v="1"/>
    <n v="8935.6042961876901"/>
    <n v="1.152027027027027"/>
    <n v="4.6920821114369501E-2"/>
    <n v="1.3196480938416423E-2"/>
    <n v="0.95307917888563054"/>
    <n v="0"/>
    <n v="631.46666666666704"/>
    <n v="1.0800253378378373"/>
    <n v="0.9375"/>
    <n v="1.1520270270270265"/>
    <n v="0.95307917888563054"/>
    <n v="1.0979729729729726"/>
    <n v="36.027492668621704"/>
    <n v="13.102059085319194"/>
    <s v="Low"/>
    <s v="Normal"/>
  </r>
  <r>
    <n v="284"/>
    <d v="2026-05-07T00:00:00"/>
    <x v="3"/>
    <s v="Plant A"/>
    <x v="3"/>
    <x v="8"/>
    <x v="0"/>
    <x v="0"/>
    <s v="B260507-0284"/>
    <s v="OP119"/>
    <n v="812"/>
    <n v="772"/>
    <n v="718"/>
    <n v="54"/>
    <n v="20"/>
    <n v="22"/>
    <s v="Tool Change"/>
    <n v="42"/>
    <n v="44"/>
    <n v="76.099999999999994"/>
    <n v="3.63"/>
    <n v="25.01"/>
    <n v="13846.95"/>
    <n v="8.41"/>
    <s v="Completed"/>
    <n v="26"/>
    <n v="22739.79"/>
    <n v="0.93005181347150301"/>
    <n v="17856.54"/>
    <n v="358.72927461139898"/>
    <n v="568.4"/>
    <n v="0.96129486277269505"/>
    <n v="4524.5207253886001"/>
    <n v="0.95073891625615758"/>
    <n v="6.9948186528497408E-2"/>
    <n v="2.5906735751295335E-2"/>
    <n v="0.93005181347150256"/>
    <n v="0.36666666666666664"/>
    <n v="546.4"/>
    <n v="1.4128843338213763"/>
    <n v="1.4285714285714286"/>
    <n v="0.98901903367496347"/>
    <n v="0.93005181347150256"/>
    <n v="0.88423645320197031"/>
    <n v="23.130233160621763"/>
    <n v="5.8607781416950777"/>
    <s v="Medium"/>
    <s v="Warning"/>
  </r>
  <r>
    <n v="285"/>
    <d v="2026-03-14T00:00:00"/>
    <x v="1"/>
    <s v="Plant A"/>
    <x v="1"/>
    <x v="2"/>
    <x v="1"/>
    <x v="2"/>
    <s v="B260314-0285"/>
    <s v="OP121"/>
    <n v="489"/>
    <n v="439"/>
    <n v="415"/>
    <n v="24"/>
    <n v="7"/>
    <n v="27"/>
    <s v="Tool Change"/>
    <n v="64"/>
    <n v="67"/>
    <n v="79.3"/>
    <n v="1.99"/>
    <n v="19.72"/>
    <n v="14273.46"/>
    <n v="8.83"/>
    <s v="Completed"/>
    <n v="5"/>
    <n v="22050.37"/>
    <n v="0.94533029612756303"/>
    <n v="18424.439999999999"/>
    <n v="227.59503416856501"/>
    <n v="521.6"/>
    <n v="0.94823619631901901"/>
    <n v="3398.3349658314401"/>
    <n v="0.89775051124744376"/>
    <n v="5.4669703872437359E-2"/>
    <n v="1.5945330296127564E-2"/>
    <n v="0.9453302961275627"/>
    <n v="0.45"/>
    <n v="494.6"/>
    <n v="0.88758592802264447"/>
    <n v="0.9375"/>
    <n v="0.9467583232241541"/>
    <n v="0.9453302961275627"/>
    <n v="0.84867075664621727"/>
    <n v="41.969111617312073"/>
    <n v="7.7410819267230977"/>
    <s v="Medium"/>
    <s v="Warning"/>
  </r>
  <r>
    <n v="286"/>
    <d v="2026-06-14T00:00:00"/>
    <x v="0"/>
    <s v="Plant B"/>
    <x v="4"/>
    <x v="14"/>
    <x v="1"/>
    <x v="4"/>
    <s v="B260614-0286"/>
    <s v="OP125"/>
    <n v="543"/>
    <n v="524"/>
    <n v="477"/>
    <n v="47"/>
    <n v="12"/>
    <n v="42"/>
    <s v="Setup Time"/>
    <n v="57"/>
    <n v="55"/>
    <n v="73.8"/>
    <n v="1.91"/>
    <n v="22.37"/>
    <n v="13753.94"/>
    <n v="8.51"/>
    <s v="Scheduled"/>
    <n v="27"/>
    <n v="22345.32"/>
    <n v="0.91030534351144998"/>
    <n v="17784.77"/>
    <n v="314.97572519084002"/>
    <n v="515.85"/>
    <n v="0.91858098284385004"/>
    <n v="4245.5742748091598"/>
    <n v="0.96500920810313073"/>
    <n v="8.9694656488549615E-2"/>
    <n v="2.2900763358778626E-2"/>
    <n v="0.91030534351145043"/>
    <n v="0.7"/>
    <n v="473.85"/>
    <n v="1.1058351799092538"/>
    <n v="1.0526315789473684"/>
    <n v="1.0505434209137912"/>
    <n v="0.91030534351145043"/>
    <n v="0.87845303867403313"/>
    <n v="33.940400763358781"/>
    <n v="8.1022409824602288"/>
    <s v="Medium"/>
    <s v="Warning"/>
  </r>
  <r>
    <n v="287"/>
    <d v="2026-03-21T00:00:00"/>
    <x v="1"/>
    <s v="Plant A"/>
    <x v="4"/>
    <x v="12"/>
    <x v="0"/>
    <x v="3"/>
    <s v="B260321-0287"/>
    <s v="OP113"/>
    <n v="870"/>
    <n v="751"/>
    <n v="667"/>
    <n v="84"/>
    <n v="29"/>
    <n v="42"/>
    <s v="Quality Inspection"/>
    <n v="49"/>
    <n v="55"/>
    <n v="73.2"/>
    <n v="2.98"/>
    <n v="24.84"/>
    <n v="16778.87"/>
    <n v="7.71"/>
    <s v="Completed"/>
    <n v="40"/>
    <n v="25250.73"/>
    <n v="0.88814913448735"/>
    <n v="20471.93"/>
    <n v="647.91908122503298"/>
    <n v="710.5"/>
    <n v="0.94088669950738901"/>
    <n v="4130.8809187749703"/>
    <n v="0.86321839080459772"/>
    <n v="0.11185086551264981"/>
    <n v="3.8615179760319571E-2"/>
    <n v="0.88814913448735022"/>
    <n v="0.7"/>
    <n v="668.5"/>
    <n v="1.1234106207928198"/>
    <n v="1.2244897959183674"/>
    <n v="0.91745200698080287"/>
    <n v="0.88814913448735022"/>
    <n v="0.76666666666666661"/>
    <n v="27.259560585885488"/>
    <n v="5.5005072154127435"/>
    <s v="High"/>
    <s v="Warning"/>
  </r>
  <r>
    <n v="288"/>
    <d v="2026-05-03T00:00:00"/>
    <x v="3"/>
    <s v="Plant B"/>
    <x v="3"/>
    <x v="8"/>
    <x v="1"/>
    <x v="3"/>
    <s v="B260503-0288"/>
    <s v="OP116"/>
    <n v="887"/>
    <n v="827"/>
    <n v="775"/>
    <n v="52"/>
    <n v="15"/>
    <n v="0"/>
    <s v="No Downtime"/>
    <n v="49"/>
    <n v="53"/>
    <n v="66"/>
    <n v="2.04"/>
    <n v="30.9"/>
    <n v="17878.419999999998"/>
    <n v="8.51"/>
    <s v="Pending"/>
    <n v="25"/>
    <n v="28595.25"/>
    <n v="0.93712212817412299"/>
    <n v="21986.02"/>
    <n v="324.27605804111198"/>
    <n v="724.38333333333298"/>
    <n v="1"/>
    <n v="6284.95394195889"/>
    <n v="0.93235625704622327"/>
    <n v="6.2877871825876661E-2"/>
    <n v="1.8137847642079808E-2"/>
    <n v="0.93712212817412333"/>
    <n v="0"/>
    <n v="724.38333333333298"/>
    <n v="1.1416607229137432"/>
    <n v="1.2244897959183674"/>
    <n v="0.9323562570462236"/>
    <n v="0.93712212817412333"/>
    <n v="0.87373167981961708"/>
    <n v="26.58527206771463"/>
    <n v="7.5997024691159494"/>
    <s v="Medium"/>
    <s v="Normal"/>
  </r>
  <r>
    <n v="289"/>
    <d v="2026-06-19T00:00:00"/>
    <x v="0"/>
    <s v="Plant B"/>
    <x v="3"/>
    <x v="8"/>
    <x v="2"/>
    <x v="0"/>
    <s v="B260619-0289"/>
    <s v="OP127"/>
    <n v="872"/>
    <n v="756"/>
    <n v="705"/>
    <n v="51"/>
    <n v="10"/>
    <n v="0"/>
    <s v="No Downtime"/>
    <n v="42"/>
    <n v="44"/>
    <n v="67.7"/>
    <n v="2.8"/>
    <n v="30.82"/>
    <n v="14277.04"/>
    <n v="7.48"/>
    <s v="Completed"/>
    <n v="20"/>
    <n v="22417.78"/>
    <n v="0.932539682539683"/>
    <n v="17920.419999999998"/>
    <n v="188.84973544973499"/>
    <n v="610.4"/>
    <n v="1"/>
    <n v="4308.5102645502602"/>
    <n v="0.8669724770642202"/>
    <n v="6.7460317460317457E-2"/>
    <n v="1.3227513227513227E-2"/>
    <n v="0.93253968253968256"/>
    <n v="0"/>
    <n v="610.4"/>
    <n v="1.2385321100917432"/>
    <n v="1.4285714285714286"/>
    <n v="0.8669724770642202"/>
    <n v="0.93253968253968256"/>
    <n v="0.8084862385321101"/>
    <n v="23.704259259259256"/>
    <n v="5.6990876515215083"/>
    <s v="Medium"/>
    <s v="Warning"/>
  </r>
  <r>
    <n v="290"/>
    <d v="2026-01-04T00:00:00"/>
    <x v="2"/>
    <s v="Plant A"/>
    <x v="1"/>
    <x v="2"/>
    <x v="1"/>
    <x v="2"/>
    <s v="B260104-0290"/>
    <s v="OP132"/>
    <n v="527"/>
    <n v="518"/>
    <n v="494"/>
    <n v="24"/>
    <n v="4"/>
    <n v="35"/>
    <s v="Preventive Maintenance"/>
    <n v="64"/>
    <n v="68"/>
    <n v="68.599999999999994"/>
    <n v="2.29"/>
    <n v="16.5"/>
    <n v="16964.669999999998"/>
    <n v="9.86"/>
    <s v="Completed"/>
    <n v="13"/>
    <n v="25917.07"/>
    <n v="0.95366795366795398"/>
    <n v="21550.17"/>
    <n v="131.001312741313"/>
    <n v="562.13333333333298"/>
    <n v="0.93773719165085401"/>
    <n v="4235.8986872586902"/>
    <n v="0.98292220113851991"/>
    <n v="4.633204633204633E-2"/>
    <n v="7.7220077220077222E-3"/>
    <n v="0.95366795366795365"/>
    <n v="0.58333333333333337"/>
    <n v="527.13333333333298"/>
    <n v="0.98267358037182306"/>
    <n v="0.9375"/>
    <n v="1.0481851523966113"/>
    <n v="0.95366795366795365"/>
    <n v="0.93738140417457372"/>
    <n v="41.602644787644785"/>
    <n v="8.1774105931634953"/>
    <s v="Low"/>
    <s v="Normal"/>
  </r>
  <r>
    <n v="291"/>
    <d v="2026-06-16T00:00:00"/>
    <x v="0"/>
    <s v="Plant A"/>
    <x v="1"/>
    <x v="6"/>
    <x v="2"/>
    <x v="4"/>
    <s v="B260616-0291"/>
    <s v="OP106"/>
    <n v="597"/>
    <n v="553"/>
    <n v="519"/>
    <n v="34"/>
    <n v="8"/>
    <n v="35"/>
    <s v="Machine Breakdown"/>
    <n v="57"/>
    <n v="64"/>
    <n v="66.599999999999994"/>
    <n v="1.98"/>
    <n v="19.989999999999998"/>
    <n v="15009.92"/>
    <n v="7.69"/>
    <s v="Completed"/>
    <n v="31"/>
    <n v="24371.96"/>
    <n v="0.93851717902350795"/>
    <n v="18650.330000000002"/>
    <n v="217.141699819168"/>
    <n v="567.15"/>
    <n v="0.93828793088248297"/>
    <n v="5504.4883001808303"/>
    <n v="0.9262981574539364"/>
    <n v="6.148282097649186E-2"/>
    <n v="1.4466546112115732E-2"/>
    <n v="0.93851717902350817"/>
    <n v="0.58333333333333337"/>
    <n v="532.15"/>
    <n v="1.0391806821384948"/>
    <n v="1.0526315789473684"/>
    <n v="0.98722164803157009"/>
    <n v="0.93851717902350817"/>
    <n v="0.86934673366834214"/>
    <n v="33.725732368896928"/>
    <n v="9.95386672727094"/>
    <s v="Medium"/>
    <s v="Normal"/>
  </r>
  <r>
    <n v="292"/>
    <d v="2026-04-21T00:00:00"/>
    <x v="5"/>
    <s v="Plant B"/>
    <x v="1"/>
    <x v="6"/>
    <x v="1"/>
    <x v="1"/>
    <s v="B260421-0292"/>
    <s v="OP119"/>
    <n v="698"/>
    <n v="721"/>
    <n v="682"/>
    <n v="39"/>
    <n v="14"/>
    <n v="0"/>
    <s v="No Downtime"/>
    <n v="45"/>
    <n v="47"/>
    <n v="68"/>
    <n v="1.32"/>
    <n v="25.14"/>
    <n v="14453.88"/>
    <n v="7.65"/>
    <s v="Overdue"/>
    <n v="24"/>
    <n v="23751.32"/>
    <n v="0.94590846047156696"/>
    <n v="18122.64"/>
    <n v="280.65786407767001"/>
    <n v="523.5"/>
    <n v="1"/>
    <n v="5348.0221359223297"/>
    <n v="1.0329512893982808"/>
    <n v="5.4091539528432729E-2"/>
    <n v="1.9417475728155338E-2"/>
    <n v="0.94590846047156729"/>
    <n v="0"/>
    <n v="523.5"/>
    <n v="1.3772683858643744"/>
    <n v="1.3333333333333333"/>
    <n v="1.0329512893982808"/>
    <n v="0.94590846047156729"/>
    <n v="0.97707736389684818"/>
    <n v="25.135423023578362"/>
    <n v="7.4175064298506657"/>
    <s v="High"/>
    <s v="Normal"/>
  </r>
  <r>
    <n v="293"/>
    <d v="2026-05-02T00:00:00"/>
    <x v="3"/>
    <s v="Plant A"/>
    <x v="1"/>
    <x v="6"/>
    <x v="2"/>
    <x v="3"/>
    <s v="B260502-0293"/>
    <s v="OP128"/>
    <n v="630"/>
    <n v="527"/>
    <n v="491"/>
    <n v="36"/>
    <n v="13"/>
    <n v="0"/>
    <s v="No Downtime"/>
    <n v="49"/>
    <n v="52"/>
    <n v="71.7"/>
    <n v="1.67"/>
    <n v="17.97"/>
    <n v="11904.25"/>
    <n v="7.1"/>
    <s v="Scheduled"/>
    <n v="21"/>
    <n v="19151.91"/>
    <n v="0.93168880455407999"/>
    <n v="15260.98"/>
    <n v="293.65322580645199"/>
    <n v="514.5"/>
    <n v="1"/>
    <n v="3597.27677419355"/>
    <n v="0.83650793650793653"/>
    <n v="6.8311195445920306E-2"/>
    <n v="2.4667931688804556E-2"/>
    <n v="0.93168880455407965"/>
    <n v="0"/>
    <n v="514.5"/>
    <n v="1.0242954324586977"/>
    <n v="1.2244897959183674"/>
    <n v="0.83650793650793642"/>
    <n v="0.93168880455407965"/>
    <n v="0.77936507936507926"/>
    <n v="28.958216318785578"/>
    <n v="6.8259521331945923"/>
    <s v="High"/>
    <s v="Warning"/>
  </r>
  <r>
    <n v="294"/>
    <d v="2026-06-17T00:00:00"/>
    <x v="0"/>
    <s v="Plant B"/>
    <x v="1"/>
    <x v="5"/>
    <x v="1"/>
    <x v="3"/>
    <s v="B260617-0294"/>
    <s v="OP106"/>
    <n v="867"/>
    <n v="839"/>
    <n v="815"/>
    <n v="24"/>
    <n v="5"/>
    <n v="26"/>
    <s v="Machine Breakdown"/>
    <n v="49"/>
    <n v="50"/>
    <n v="76.3"/>
    <n v="2.02"/>
    <n v="25.52"/>
    <n v="18141.36"/>
    <n v="7.47"/>
    <s v="Scheduled"/>
    <n v="1"/>
    <n v="31702.98"/>
    <n v="0.97139451728247905"/>
    <n v="21732.54"/>
    <n v="108.112991656734"/>
    <n v="708.05"/>
    <n v="0.96327942941882605"/>
    <n v="9862.3270083432708"/>
    <n v="0.96770472895040371"/>
    <n v="2.8605482717520857E-2"/>
    <n v="5.9594755661501785E-3"/>
    <n v="0.97139451728247916"/>
    <n v="0.43333333333333335"/>
    <n v="682.05"/>
    <n v="1.230115094201305"/>
    <n v="1.2244897959183674"/>
    <n v="1.0045939935977324"/>
    <n v="0.97139451728247916"/>
    <n v="0.94002306805074953"/>
    <n v="25.902908224076281"/>
    <n v="11.754859366320943"/>
    <s v="Low"/>
    <s v="Normal"/>
  </r>
  <r>
    <n v="295"/>
    <d v="2026-01-09T00:00:00"/>
    <x v="2"/>
    <s v="Plant A"/>
    <x v="4"/>
    <x v="13"/>
    <x v="0"/>
    <x v="0"/>
    <s v="B260109-0295"/>
    <s v="OP115"/>
    <n v="969"/>
    <n v="844"/>
    <n v="795"/>
    <n v="49"/>
    <n v="17"/>
    <n v="34"/>
    <s v="Machine Breakdown"/>
    <n v="42"/>
    <n v="45"/>
    <n v="74.8"/>
    <n v="1.87"/>
    <n v="35.58"/>
    <n v="15533.69"/>
    <n v="8.69"/>
    <s v="Completed"/>
    <n v="17"/>
    <n v="24838.43"/>
    <n v="0.94194312796208501"/>
    <n v="19764.41"/>
    <n v="312.882381516588"/>
    <n v="678.3"/>
    <n v="0.94987468671679198"/>
    <n v="4761.1376184834098"/>
    <n v="0.87100103199174406"/>
    <n v="5.8056872037914695E-2"/>
    <n v="2.014218009478673E-2"/>
    <n v="0.94194312796208535"/>
    <n v="0.56666666666666665"/>
    <n v="644.29999999999995"/>
    <n v="1.3099487816234674"/>
    <n v="1.4285714285714286"/>
    <n v="0.91696414713642715"/>
    <n v="0.94194312796208535"/>
    <n v="0.82043343653250778"/>
    <n v="23.417547393364927"/>
    <n v="5.6411583157386369"/>
    <s v="Medium"/>
    <s v="Warning"/>
  </r>
  <r>
    <n v="296"/>
    <d v="2026-06-06T00:00:00"/>
    <x v="0"/>
    <s v="Plant A"/>
    <x v="2"/>
    <x v="4"/>
    <x v="1"/>
    <x v="0"/>
    <s v="B260606-0296"/>
    <s v="OP108"/>
    <n v="825"/>
    <n v="840"/>
    <n v="783"/>
    <n v="57"/>
    <n v="15"/>
    <n v="30"/>
    <s v="Power Failure"/>
    <n v="42"/>
    <n v="43"/>
    <n v="71.7"/>
    <n v="1.89"/>
    <n v="27.09"/>
    <n v="15426.45"/>
    <n v="8.73"/>
    <s v="Scheduled"/>
    <n v="10"/>
    <n v="24673.119999999999"/>
    <n v="0.93214285714285705"/>
    <n v="19598.759999999998"/>
    <n v="275.47232142857098"/>
    <n v="577.5"/>
    <n v="0.94805194805194803"/>
    <n v="4798.8876785714301"/>
    <n v="1.0181818181818181"/>
    <n v="6.7857142857142852E-2"/>
    <n v="1.7857142857142856E-2"/>
    <n v="0.93214285714285716"/>
    <n v="0.5"/>
    <n v="547.5"/>
    <n v="1.5342465753424657"/>
    <n v="1.4285714285714286"/>
    <n v="1.0739726027397258"/>
    <n v="0.93214285714285716"/>
    <n v="0.94909090909090899"/>
    <n v="23.331857142857142"/>
    <n v="5.712961522108845"/>
    <s v="Low"/>
    <s v="Normal"/>
  </r>
  <r>
    <n v="297"/>
    <d v="2026-05-02T00:00:00"/>
    <x v="3"/>
    <s v="Plant B"/>
    <x v="4"/>
    <x v="12"/>
    <x v="0"/>
    <x v="3"/>
    <s v="B260502-0297"/>
    <s v="OP127"/>
    <n v="804"/>
    <n v="683"/>
    <n v="611"/>
    <n v="72"/>
    <n v="15"/>
    <n v="64"/>
    <s v="Machine Breakdown"/>
    <n v="49"/>
    <n v="55"/>
    <n v="81.599999999999994"/>
    <n v="2.15"/>
    <n v="23.52"/>
    <n v="15825.94"/>
    <n v="6.35"/>
    <s v="Pending"/>
    <n v="45"/>
    <n v="23889.39"/>
    <n v="0.89458272327964905"/>
    <n v="18895.12"/>
    <n v="347.56822840410001"/>
    <n v="656.6"/>
    <n v="0.90252817544928399"/>
    <n v="4646.7017715959"/>
    <n v="0.84950248756218905"/>
    <n v="0.10541727672035139"/>
    <n v="2.1961932650073207E-2"/>
    <n v="0.89458272327964861"/>
    <n v="1.0666666666666667"/>
    <n v="592.6"/>
    <n v="1.1525480931488357"/>
    <n v="1.2244897959183674"/>
    <n v="0.94124760940488239"/>
    <n v="0.89458272327964861"/>
    <n v="0.75995024875621875"/>
    <n v="27.664890190336749"/>
    <n v="6.8033700901843339"/>
    <s v="High"/>
    <s v="Warning"/>
  </r>
  <r>
    <n v="298"/>
    <d v="2026-02-12T00:00:00"/>
    <x v="4"/>
    <s v="Plant B"/>
    <x v="0"/>
    <x v="1"/>
    <x v="1"/>
    <x v="1"/>
    <s v="B260212-0298"/>
    <s v="OP110"/>
    <n v="709"/>
    <n v="698"/>
    <n v="657"/>
    <n v="41"/>
    <n v="16"/>
    <n v="50"/>
    <s v="Setup Time"/>
    <n v="45"/>
    <n v="49"/>
    <n v="62.9"/>
    <n v="2.5299999999999998"/>
    <n v="28.47"/>
    <n v="14041.41"/>
    <n v="9.7799999999999994"/>
    <s v="Overdue"/>
    <n v="30"/>
    <n v="23147.32"/>
    <n v="0.94126074498567303"/>
    <n v="18698.64"/>
    <n v="321.86613180515798"/>
    <n v="531.75"/>
    <n v="0.90597085096379903"/>
    <n v="4126.8138681948403"/>
    <n v="0.98448519040902682"/>
    <n v="5.8739255014326648E-2"/>
    <n v="2.2922636103151862E-2"/>
    <n v="0.94126074498567336"/>
    <n v="0.83333333333333337"/>
    <n v="481.75"/>
    <n v="1.4488842760768033"/>
    <n v="1.3333333333333333"/>
    <n v="1.0866632070576026"/>
    <n v="0.94126074498567336"/>
    <n v="0.92665726375176338"/>
    <n v="26.78888252148997"/>
    <n v="5.9123407853794276"/>
    <s v="High"/>
    <s v="Normal"/>
  </r>
  <r>
    <n v="299"/>
    <d v="2026-02-07T00:00:00"/>
    <x v="4"/>
    <s v="Plant B"/>
    <x v="1"/>
    <x v="6"/>
    <x v="0"/>
    <x v="4"/>
    <s v="B260207-0299"/>
    <s v="OP129"/>
    <n v="698"/>
    <n v="738"/>
    <n v="695"/>
    <n v="43"/>
    <n v="17"/>
    <n v="0"/>
    <s v="No Downtime"/>
    <n v="57"/>
    <n v="61"/>
    <n v="70.599999999999994"/>
    <n v="1.64"/>
    <n v="25.66"/>
    <n v="19597.830000000002"/>
    <n v="9.4"/>
    <s v="Completed"/>
    <n v="30"/>
    <n v="31664.45"/>
    <n v="0.94173441734417296"/>
    <n v="24058.77"/>
    <n v="451.440528455285"/>
    <n v="663.1"/>
    <n v="1"/>
    <n v="7154.2394715447199"/>
    <n v="1.0573065902578798"/>
    <n v="5.8265582655826556E-2"/>
    <n v="2.3035230352303523E-2"/>
    <n v="0.9417344173441734"/>
    <n v="0"/>
    <n v="663.1"/>
    <n v="1.1129543055346101"/>
    <n v="1.0526315789473684"/>
    <n v="1.0573065902578795"/>
    <n v="0.9417344173441734"/>
    <n v="0.99570200573065892"/>
    <n v="32.599959349593497"/>
    <n v="9.6940914248573442"/>
    <s v="Medium"/>
    <s v="Normal"/>
  </r>
  <r>
    <n v="300"/>
    <d v="2026-06-12T00:00:00"/>
    <x v="0"/>
    <s v="Plant A"/>
    <x v="0"/>
    <x v="3"/>
    <x v="2"/>
    <x v="4"/>
    <s v="B260612-0300"/>
    <s v="OP117"/>
    <n v="581"/>
    <n v="577"/>
    <n v="552"/>
    <n v="25"/>
    <n v="5"/>
    <n v="14"/>
    <s v="Tool Change"/>
    <n v="57"/>
    <n v="62"/>
    <n v="74.099999999999994"/>
    <n v="1.74"/>
    <n v="22.85"/>
    <n v="15769.89"/>
    <n v="9.0299999999999994"/>
    <s v="Completed"/>
    <n v="21"/>
    <n v="25146.68"/>
    <n v="0.95667244367417703"/>
    <n v="20039.04"/>
    <n v="136.654159445407"/>
    <n v="551.95000000000005"/>
    <n v="0.97463538363982305"/>
    <n v="4970.9858405545901"/>
    <n v="0.99311531841652323"/>
    <n v="4.3327556325823226E-2"/>
    <n v="8.6655112651646445E-3"/>
    <n v="0.95667244367417681"/>
    <n v="0.23333333333333334"/>
    <n v="537.95000000000005"/>
    <n v="1.0725903894413977"/>
    <n v="1.0526315789473684"/>
    <n v="1.018960869969328"/>
    <n v="0.95667244367417681"/>
    <n v="0.95008605851979411"/>
    <n v="34.729705372616984"/>
    <n v="8.615226760059949"/>
    <s v="Low"/>
    <s v="Normal"/>
  </r>
  <r>
    <n v="301"/>
    <d v="2026-03-02T00:00:00"/>
    <x v="1"/>
    <s v="Plant A"/>
    <x v="4"/>
    <x v="13"/>
    <x v="0"/>
    <x v="1"/>
    <s v="B260302-0301"/>
    <s v="OP109"/>
    <n v="873"/>
    <n v="786"/>
    <n v="749"/>
    <n v="37"/>
    <n v="7"/>
    <n v="36"/>
    <s v="Tool Change"/>
    <n v="45"/>
    <n v="48"/>
    <n v="73.7"/>
    <n v="1.87"/>
    <n v="33.03"/>
    <n v="16008.91"/>
    <n v="7.58"/>
    <s v="Scheduled"/>
    <n v="24"/>
    <n v="26353.79"/>
    <n v="0.95292620865139999"/>
    <n v="19717.18"/>
    <n v="142.572989821883"/>
    <n v="654.75"/>
    <n v="0.94501718213058405"/>
    <n v="6494.03701017812"/>
    <n v="0.90034364261168387"/>
    <n v="4.7073791348600506E-2"/>
    <n v="8.9058524173027988E-3"/>
    <n v="0.95292620865139954"/>
    <n v="0.6"/>
    <n v="618.75"/>
    <n v="1.2703030303030303"/>
    <n v="1.3333333333333333"/>
    <n v="0.95272727272727276"/>
    <n v="0.95292620865139954"/>
    <n v="0.85796105383734245"/>
    <n v="25.085470737913486"/>
    <n v="8.2621336007355222"/>
    <s v="Low"/>
    <s v="Normal"/>
  </r>
  <r>
    <n v="302"/>
    <d v="2026-05-13T00:00:00"/>
    <x v="3"/>
    <s v="Plant B"/>
    <x v="4"/>
    <x v="12"/>
    <x v="1"/>
    <x v="3"/>
    <s v="B260513-0302"/>
    <s v="OP129"/>
    <n v="870"/>
    <n v="780"/>
    <n v="691"/>
    <n v="89"/>
    <n v="32"/>
    <n v="31"/>
    <s v="Quality Inspection"/>
    <n v="49"/>
    <n v="50"/>
    <n v="72.8"/>
    <n v="2.0099999999999998"/>
    <n v="32.96"/>
    <n v="18090.39"/>
    <n v="8.24"/>
    <s v="Completed"/>
    <n v="20"/>
    <n v="25660.68"/>
    <n v="0.88589743589743597"/>
    <n v="22095.03"/>
    <n v="742.16984615384604"/>
    <n v="710.5"/>
    <n v="0.95636875439831104"/>
    <n v="2823.4801538461602"/>
    <n v="0.89655172413793105"/>
    <n v="0.1141025641025641"/>
    <n v="4.1025641025641026E-2"/>
    <n v="0.88589743589743586"/>
    <n v="0.51666666666666672"/>
    <n v="679.5"/>
    <n v="1.1479028697571745"/>
    <n v="1.2244897959183674"/>
    <n v="0.93745401030169251"/>
    <n v="0.88589743589743586"/>
    <n v="0.7942528735632185"/>
    <n v="28.326961538461536"/>
    <n v="3.6198463510848207"/>
    <s v="High"/>
    <s v="Warning"/>
  </r>
  <r>
    <n v="303"/>
    <d v="2026-05-27T00:00:00"/>
    <x v="3"/>
    <s v="Plant B"/>
    <x v="0"/>
    <x v="0"/>
    <x v="0"/>
    <x v="3"/>
    <s v="B260527-0303"/>
    <s v="OP124"/>
    <n v="775"/>
    <n v="773"/>
    <n v="735"/>
    <n v="38"/>
    <n v="7"/>
    <n v="22"/>
    <s v="Operator Issue"/>
    <n v="49"/>
    <n v="50"/>
    <n v="70.400000000000006"/>
    <n v="1.99"/>
    <n v="27.98"/>
    <n v="16076.82"/>
    <n v="8.77"/>
    <s v="Completed"/>
    <n v="30"/>
    <n v="27850.19"/>
    <n v="0.95084087968952102"/>
    <n v="20275.14"/>
    <n v="145.58569210866801"/>
    <n v="632.91666666666697"/>
    <n v="0.96524028966425302"/>
    <n v="7429.4643078913296"/>
    <n v="0.99741935483870969"/>
    <n v="4.9159120310478657E-2"/>
    <n v="9.0556274256144882E-3"/>
    <n v="0.95084087968952136"/>
    <n v="0.36666666666666664"/>
    <n v="610.91666666666697"/>
    <n v="1.2653116900832078"/>
    <n v="1.2244897959183674"/>
    <n v="1.0333378802346196"/>
    <n v="0.95084087968952136"/>
    <n v="0.94838709677419331"/>
    <n v="26.229159120310477"/>
    <n v="9.6112086777378138"/>
    <s v="Medium"/>
    <s v="Normal"/>
  </r>
  <r>
    <n v="304"/>
    <d v="2026-03-28T00:00:00"/>
    <x v="1"/>
    <s v="Plant B"/>
    <x v="1"/>
    <x v="6"/>
    <x v="2"/>
    <x v="0"/>
    <s v="B260328-0304"/>
    <s v="OP109"/>
    <n v="978"/>
    <n v="866"/>
    <n v="810"/>
    <n v="56"/>
    <n v="15"/>
    <n v="24"/>
    <s v="Machine Breakdown"/>
    <n v="42"/>
    <n v="46"/>
    <n v="77.900000000000006"/>
    <n v="2.41"/>
    <n v="35.549999999999997"/>
    <n v="15147.83"/>
    <n v="8.33"/>
    <s v="Scheduled"/>
    <n v="31"/>
    <n v="25573.77"/>
    <n v="0.93533487297921503"/>
    <n v="19216.28"/>
    <n v="262.37580831408798"/>
    <n v="684.6"/>
    <n v="0.96494303242769497"/>
    <n v="6095.1141916859096"/>
    <n v="0.88548057259713697"/>
    <n v="6.4665127020785224E-2"/>
    <n v="1.7321016166281754E-2"/>
    <n v="0.9353348729792148"/>
    <n v="0.4"/>
    <n v="660.6"/>
    <n v="1.3109294580684225"/>
    <n v="1.4285714285714286"/>
    <n v="0.91765062064789571"/>
    <n v="0.9353348729792148"/>
    <n v="0.8282208588957054"/>
    <n v="22.189699769053117"/>
    <n v="7.0382380966349993"/>
    <s v="Medium"/>
    <s v="Warning"/>
  </r>
  <r>
    <n v="305"/>
    <d v="2026-01-23T00:00:00"/>
    <x v="2"/>
    <s v="Plant A"/>
    <x v="0"/>
    <x v="0"/>
    <x v="1"/>
    <x v="1"/>
    <s v="B260123-0305"/>
    <s v="OP120"/>
    <n v="743"/>
    <n v="726"/>
    <n v="679"/>
    <n v="47"/>
    <n v="19"/>
    <n v="54"/>
    <s v="Tool Change"/>
    <n v="45"/>
    <n v="48"/>
    <n v="72.5"/>
    <n v="2.88"/>
    <n v="25.26"/>
    <n v="15471.81"/>
    <n v="9.74"/>
    <s v="Overdue"/>
    <n v="49"/>
    <n v="23172.75"/>
    <n v="0.93526170798898101"/>
    <n v="20082.150000000001"/>
    <n v="404.90962809917397"/>
    <n v="557.25"/>
    <n v="0.90309555854643297"/>
    <n v="2685.6903719008301"/>
    <n v="0.97711978465679672"/>
    <n v="6.4738292011019286E-2"/>
    <n v="2.6170798898071626E-2"/>
    <n v="0.93526170798898067"/>
    <n v="0.9"/>
    <n v="503.25"/>
    <n v="1.4426229508196722"/>
    <n v="1.3333333333333333"/>
    <n v="1.0819672131147542"/>
    <n v="0.93526170798898067"/>
    <n v="0.91386271870794034"/>
    <n v="27.661363636363639"/>
    <n v="3.6992980329212535"/>
    <s v="High"/>
    <s v="Normal"/>
  </r>
  <r>
    <n v="306"/>
    <d v="2026-05-17T00:00:00"/>
    <x v="3"/>
    <s v="Plant B"/>
    <x v="1"/>
    <x v="6"/>
    <x v="0"/>
    <x v="2"/>
    <s v="B260517-0306"/>
    <s v="OP102"/>
    <n v="537"/>
    <n v="598"/>
    <n v="565"/>
    <n v="33"/>
    <n v="7"/>
    <n v="0"/>
    <s v="No Downtime"/>
    <n v="64"/>
    <n v="64"/>
    <n v="71.900000000000006"/>
    <n v="2.29"/>
    <n v="17.86"/>
    <n v="17625.099999999999"/>
    <n v="9.15"/>
    <s v="Completed"/>
    <n v="9"/>
    <n v="28796.85"/>
    <n v="0.94481605351170606"/>
    <n v="21903.34"/>
    <n v="206.313879598662"/>
    <n v="572.79999999999995"/>
    <n v="1"/>
    <n v="6687.1961204013396"/>
    <n v="1.1135940409683427"/>
    <n v="5.5183946488294312E-2"/>
    <n v="1.1705685618729096E-2"/>
    <n v="0.94481605351170572"/>
    <n v="0"/>
    <n v="572.79999999999995"/>
    <n v="1.0439944134078214"/>
    <n v="0.9375"/>
    <n v="1.1135940409683429"/>
    <n v="0.94481605351170572"/>
    <n v="1.0521415270018626"/>
    <n v="36.627658862876252"/>
    <n v="11.182602208028996"/>
    <s v="Low"/>
    <s v="Normal"/>
  </r>
  <r>
    <n v="307"/>
    <d v="2026-06-07T00:00:00"/>
    <x v="0"/>
    <s v="Plant B"/>
    <x v="3"/>
    <x v="8"/>
    <x v="1"/>
    <x v="3"/>
    <s v="B260607-0307"/>
    <s v="OP107"/>
    <n v="783"/>
    <n v="709"/>
    <n v="663"/>
    <n v="46"/>
    <n v="14"/>
    <n v="15"/>
    <s v="Setup Time"/>
    <n v="49"/>
    <n v="53"/>
    <n v="73.2"/>
    <n v="1.82"/>
    <n v="29.29"/>
    <n v="15257.97"/>
    <n v="8.17"/>
    <s v="Completed"/>
    <n v="31"/>
    <n v="24481.88"/>
    <n v="0.93511988716502104"/>
    <n v="19198.080000000002"/>
    <n v="301.28572637517601"/>
    <n v="639.45000000000005"/>
    <n v="0.976542341074361"/>
    <n v="4982.5142736248199"/>
    <n v="0.90549169859514689"/>
    <n v="6.488011283497884E-2"/>
    <n v="1.9746121297602257E-2"/>
    <n v="0.93511988716502115"/>
    <n v="0.25"/>
    <n v="624.45000000000005"/>
    <n v="1.1353991512531028"/>
    <n v="1.2244897959183674"/>
    <n v="0.92724264019003388"/>
    <n v="0.93511988716502115"/>
    <n v="0.84674329501915735"/>
    <n v="27.077686882933712"/>
    <n v="7.0275236581450207"/>
    <s v="Medium"/>
    <s v="Warning"/>
  </r>
  <r>
    <n v="308"/>
    <d v="2026-06-12T00:00:00"/>
    <x v="0"/>
    <s v="Plant A"/>
    <x v="0"/>
    <x v="1"/>
    <x v="1"/>
    <x v="4"/>
    <s v="B260612-0308"/>
    <s v="OP107"/>
    <n v="583"/>
    <n v="580"/>
    <n v="545"/>
    <n v="35"/>
    <n v="7"/>
    <n v="16"/>
    <s v="Tool Change"/>
    <n v="57"/>
    <n v="58"/>
    <n v="75.400000000000006"/>
    <n v="1.64"/>
    <n v="20.98"/>
    <n v="15462.24"/>
    <n v="10.29"/>
    <s v="Overdue"/>
    <n v="18"/>
    <n v="25152.959999999999"/>
    <n v="0.93965517241379304"/>
    <n v="20281.560000000001"/>
    <n v="186.61324137931001"/>
    <n v="553.85"/>
    <n v="0.97111131172700205"/>
    <n v="4684.7867586206903"/>
    <n v="0.99485420240137223"/>
    <n v="6.0344827586206899E-2"/>
    <n v="1.2068965517241379E-2"/>
    <n v="0.93965517241379315"/>
    <n v="0.26666666666666666"/>
    <n v="537.85"/>
    <n v="1.0783675746025843"/>
    <n v="1.0526315789473684"/>
    <n v="1.0244491958724551"/>
    <n v="0.93965517241379315"/>
    <n v="0.93481989708404822"/>
    <n v="34.968206896551727"/>
    <n v="8.0772185493460178"/>
    <s v="High"/>
    <s v="Normal"/>
  </r>
  <r>
    <n v="309"/>
    <d v="2026-01-11T00:00:00"/>
    <x v="2"/>
    <s v="Plant A"/>
    <x v="1"/>
    <x v="6"/>
    <x v="0"/>
    <x v="2"/>
    <s v="B260111-0309"/>
    <s v="OP101"/>
    <n v="465"/>
    <n v="490"/>
    <n v="464"/>
    <n v="26"/>
    <n v="9"/>
    <n v="24"/>
    <s v="Operator Issue"/>
    <n v="64"/>
    <n v="65"/>
    <n v="77.7"/>
    <n v="1.61"/>
    <n v="18.440000000000001"/>
    <n v="14999.16"/>
    <n v="8.01"/>
    <s v="Completed"/>
    <n v="7"/>
    <n v="24209.759999999998"/>
    <n v="0.946938775510204"/>
    <n v="18769.62"/>
    <n v="275.49477551020402"/>
    <n v="496"/>
    <n v="0.95161290322580705"/>
    <n v="5164.6452244898001"/>
    <n v="1.053763440860215"/>
    <n v="5.3061224489795916E-2"/>
    <n v="1.8367346938775512E-2"/>
    <n v="0.94693877551020411"/>
    <n v="0.4"/>
    <n v="472"/>
    <n v="1.0381355932203389"/>
    <n v="0.9375"/>
    <n v="1.1073446327683614"/>
    <n v="0.94693877551020411"/>
    <n v="0.9978494623655918"/>
    <n v="38.305346938775507"/>
    <n v="10.540092294877143"/>
    <s v="Low"/>
    <s v="Normal"/>
  </r>
  <r>
    <n v="310"/>
    <d v="2026-03-13T00:00:00"/>
    <x v="1"/>
    <s v="Plant B"/>
    <x v="3"/>
    <x v="11"/>
    <x v="1"/>
    <x v="1"/>
    <s v="B260313-0310"/>
    <s v="OP122"/>
    <n v="813"/>
    <n v="792"/>
    <n v="727"/>
    <n v="65"/>
    <n v="14"/>
    <n v="20"/>
    <s v="Material Shortage"/>
    <n v="45"/>
    <n v="45"/>
    <n v="76.3"/>
    <n v="2.0099999999999998"/>
    <n v="32.86"/>
    <n v="15270.18"/>
    <n v="7.04"/>
    <s v="Completed"/>
    <n v="16"/>
    <n v="25530.18"/>
    <n v="0.91792929292929304"/>
    <n v="18733.919999999998"/>
    <n v="269.92742424242402"/>
    <n v="609.75"/>
    <n v="0.96719967199671997"/>
    <n v="6526.3325757575703"/>
    <n v="0.97416974169741699"/>
    <n v="8.2070707070707072E-2"/>
    <n v="1.7676767676767676E-2"/>
    <n v="0.91792929292929293"/>
    <n v="0.33333333333333331"/>
    <n v="589.75"/>
    <n v="1.3429419245442984"/>
    <n v="1.3333333333333333"/>
    <n v="1.007206443408224"/>
    <n v="0.91792929292929293"/>
    <n v="0.89421894218942199"/>
    <n v="23.653939393939392"/>
    <n v="8.2403189087848112"/>
    <s v="Medium"/>
    <s v="Warning"/>
  </r>
  <r>
    <n v="311"/>
    <d v="2026-06-28T00:00:00"/>
    <x v="0"/>
    <s v="Plant B"/>
    <x v="1"/>
    <x v="6"/>
    <x v="0"/>
    <x v="2"/>
    <s v="B260628-0311"/>
    <s v="OP105"/>
    <n v="587"/>
    <n v="551"/>
    <n v="520"/>
    <n v="31"/>
    <n v="11"/>
    <n v="0"/>
    <s v="No Downtime"/>
    <n v="64"/>
    <n v="67"/>
    <n v="79.3"/>
    <n v="2.27"/>
    <n v="20.420000000000002"/>
    <n v="17004.53"/>
    <n v="9.66"/>
    <s v="Scheduled"/>
    <n v="32"/>
    <n v="26588.2"/>
    <n v="0.94373865698729598"/>
    <n v="21535.31"/>
    <n v="339.473375680581"/>
    <n v="626.13333333333298"/>
    <n v="1"/>
    <n v="4713.4166243194204"/>
    <n v="0.93867120954003402"/>
    <n v="5.6261343012704176E-2"/>
    <n v="1.9963702359346643E-2"/>
    <n v="0.94373865698729587"/>
    <n v="0"/>
    <n v="626.13333333333298"/>
    <n v="0.88000425894378242"/>
    <n v="0.9375"/>
    <n v="0.93867120954003458"/>
    <n v="0.94373865698729587"/>
    <n v="0.88586030664395277"/>
    <n v="39.08404718693285"/>
    <n v="8.5542951439553914"/>
    <s v="Medium"/>
    <s v="Normal"/>
  </r>
  <r>
    <n v="312"/>
    <d v="2026-01-06T00:00:00"/>
    <x v="2"/>
    <s v="Plant B"/>
    <x v="4"/>
    <x v="14"/>
    <x v="0"/>
    <x v="4"/>
    <s v="B260106-0312"/>
    <s v="OP120"/>
    <n v="726"/>
    <n v="728"/>
    <n v="671"/>
    <n v="57"/>
    <n v="13"/>
    <n v="26"/>
    <s v="Material Shortage"/>
    <n v="57"/>
    <n v="57"/>
    <n v="78.5"/>
    <n v="1.73"/>
    <n v="29.48"/>
    <n v="20908.689999999999"/>
    <n v="9.1"/>
    <s v="Completed"/>
    <n v="14"/>
    <n v="30961.9"/>
    <n v="0.92170329670329698"/>
    <n v="25269.01"/>
    <n v="373.369464285714"/>
    <n v="689.7"/>
    <n v="0.96230245034072803"/>
    <n v="5319.5205357142904"/>
    <n v="1.002754820936639"/>
    <n v="7.8296703296703296E-2"/>
    <n v="1.7857142857142856E-2"/>
    <n v="0.92170329670329665"/>
    <n v="0.43333333333333335"/>
    <n v="663.7"/>
    <n v="1.0968811209883984"/>
    <n v="1.0526315789473684"/>
    <n v="1.0420370649389785"/>
    <n v="0.92170329670329665"/>
    <n v="0.92424242424242453"/>
    <n v="34.710178571428571"/>
    <n v="7.3070337029042447"/>
    <s v="Low"/>
    <s v="Normal"/>
  </r>
  <r>
    <n v="313"/>
    <d v="2026-06-18T00:00:00"/>
    <x v="0"/>
    <s v="Plant A"/>
    <x v="0"/>
    <x v="0"/>
    <x v="0"/>
    <x v="0"/>
    <s v="B260618-0313"/>
    <s v="OP117"/>
    <n v="836"/>
    <n v="953"/>
    <n v="904"/>
    <n v="49"/>
    <n v="9"/>
    <n v="8"/>
    <s v="Operator Issue"/>
    <n v="42"/>
    <n v="40"/>
    <n v="70.599999999999994"/>
    <n v="1.54"/>
    <n v="32.47"/>
    <n v="17947.91"/>
    <n v="11.42"/>
    <s v="Completed"/>
    <n v="22"/>
    <n v="29525.67"/>
    <n v="0.94858342077649505"/>
    <n v="23379.14"/>
    <n v="169.497576075551"/>
    <n v="585.20000000000005"/>
    <n v="0.98632946001367106"/>
    <n v="5977.0324239244501"/>
    <n v="1.1399521531100478"/>
    <n v="5.1416579223504719E-2"/>
    <n v="9.4438614900314802E-3"/>
    <n v="0.94858342077649527"/>
    <n v="0.13333333333333333"/>
    <n v="577.20000000000005"/>
    <n v="1.6510741510741509"/>
    <n v="1.4285714285714286"/>
    <n v="1.1557519057519057"/>
    <n v="0.94858342077649527"/>
    <n v="1.0813397129186606"/>
    <n v="24.532151101783839"/>
    <n v="6.2718073703299577"/>
    <s v="Low"/>
    <s v="Normal"/>
  </r>
  <r>
    <n v="314"/>
    <d v="2026-04-15T00:00:00"/>
    <x v="5"/>
    <s v="Plant B"/>
    <x v="0"/>
    <x v="0"/>
    <x v="1"/>
    <x v="4"/>
    <s v="B260415-0314"/>
    <s v="OP134"/>
    <n v="714"/>
    <n v="631"/>
    <n v="605"/>
    <n v="26"/>
    <n v="10"/>
    <n v="19"/>
    <s v="Setup Time"/>
    <n v="57"/>
    <n v="59"/>
    <n v="70"/>
    <n v="2.46"/>
    <n v="25.71"/>
    <n v="16781.18"/>
    <n v="8.3699999999999992"/>
    <s v="Overdue"/>
    <n v="12"/>
    <n v="28526.3"/>
    <n v="0.95879556259904897"/>
    <n v="20779.07"/>
    <n v="265.94580031695699"/>
    <n v="678.3"/>
    <n v="0.97198879551820705"/>
    <n v="7481.2841996830402"/>
    <n v="0.88375350140056019"/>
    <n v="4.1204437400950873E-2"/>
    <n v="1.5847860538827259E-2"/>
    <n v="0.95879556259904908"/>
    <n v="0.31666666666666665"/>
    <n v="659.3"/>
    <n v="0.95707568633399065"/>
    <n v="1.0526315789473684"/>
    <n v="0.90922190201729114"/>
    <n v="0.95879556259904908"/>
    <n v="0.84733893557422946"/>
    <n v="32.930380348652932"/>
    <n v="11.856234864790872"/>
    <s v="High"/>
    <s v="Warning"/>
  </r>
  <r>
    <n v="315"/>
    <d v="2026-02-20T00:00:00"/>
    <x v="4"/>
    <s v="Plant A"/>
    <x v="4"/>
    <x v="13"/>
    <x v="0"/>
    <x v="4"/>
    <s v="B260220-0315"/>
    <s v="OP102"/>
    <n v="642"/>
    <n v="576"/>
    <n v="540"/>
    <n v="36"/>
    <n v="11"/>
    <n v="36"/>
    <s v="Setup Time"/>
    <n v="57"/>
    <n v="61"/>
    <n v="77.7"/>
    <n v="2.89"/>
    <n v="19.27"/>
    <n v="16030.01"/>
    <n v="7.76"/>
    <s v="Completed"/>
    <n v="45"/>
    <n v="24760.2"/>
    <n v="0.9375"/>
    <n v="19695.439999999999"/>
    <n v="306.12866319444402"/>
    <n v="609.9"/>
    <n v="0.94097393015248398"/>
    <n v="4758.6313368055498"/>
    <n v="0.89719626168224298"/>
    <n v="6.25E-2"/>
    <n v="1.9097222222222224E-2"/>
    <n v="0.9375"/>
    <n v="0.6"/>
    <n v="573.9"/>
    <n v="1.0036591740721381"/>
    <n v="1.0526315789473684"/>
    <n v="0.95347621536853122"/>
    <n v="0.9375"/>
    <n v="0.8411214953271029"/>
    <n v="34.193472222222219"/>
    <n v="8.2615127375096353"/>
    <s v="Medium"/>
    <s v="Warning"/>
  </r>
  <r>
    <n v="316"/>
    <d v="2026-02-01T00:00:00"/>
    <x v="4"/>
    <s v="Plant A"/>
    <x v="0"/>
    <x v="3"/>
    <x v="0"/>
    <x v="2"/>
    <s v="B260201-0316"/>
    <s v="OP105"/>
    <n v="650"/>
    <n v="584"/>
    <n v="559"/>
    <n v="25"/>
    <n v="6"/>
    <n v="34"/>
    <s v="Material Shortage"/>
    <n v="64"/>
    <n v="67"/>
    <n v="78.900000000000006"/>
    <n v="2.31"/>
    <n v="20.57"/>
    <n v="18651.39"/>
    <n v="7.16"/>
    <s v="Scheduled"/>
    <n v="18"/>
    <n v="29346.57"/>
    <n v="0.95719178082191803"/>
    <n v="22058.52"/>
    <n v="191.62386986301399"/>
    <n v="693.33333333333303"/>
    <n v="0.95096153846153797"/>
    <n v="7096.4261301369897"/>
    <n v="0.89846153846153842"/>
    <n v="4.2808219178082189E-2"/>
    <n v="1.0273972602739725E-2"/>
    <n v="0.9571917808219178"/>
    <n v="0.56666666666666665"/>
    <n v="659.33333333333303"/>
    <n v="0.88574317492416621"/>
    <n v="0.9375"/>
    <n v="0.94479271991911062"/>
    <n v="0.9571917808219178"/>
    <n v="0.86"/>
    <n v="37.771438356164381"/>
    <n v="12.151414606398955"/>
    <s v="Low"/>
    <s v="Normal"/>
  </r>
  <r>
    <n v="317"/>
    <d v="2026-01-03T00:00:00"/>
    <x v="2"/>
    <s v="Plant B"/>
    <x v="1"/>
    <x v="2"/>
    <x v="2"/>
    <x v="2"/>
    <s v="B260103-0317"/>
    <s v="OP107"/>
    <n v="536"/>
    <n v="508"/>
    <n v="474"/>
    <n v="34"/>
    <n v="13"/>
    <n v="17"/>
    <s v="Tool Change"/>
    <n v="64"/>
    <n v="69"/>
    <n v="72.5"/>
    <n v="1.92"/>
    <n v="16"/>
    <n v="15474.72"/>
    <n v="8.33"/>
    <s v="Pending"/>
    <n v="22"/>
    <n v="24183.52"/>
    <n v="0.93307086614173196"/>
    <n v="19367.22"/>
    <n v="396.006614173228"/>
    <n v="571.73333333333301"/>
    <n v="0.97026585820895495"/>
    <n v="4420.2933858267697"/>
    <n v="0.94776119402985071"/>
    <n v="6.6929133858267723E-2"/>
    <n v="2.5590551181102362E-2"/>
    <n v="0.93307086614173229"/>
    <n v="0.28333333333333333"/>
    <n v="554.73333333333301"/>
    <n v="0.91575531787044884"/>
    <n v="0.9375"/>
    <n v="0.97680567239514537"/>
    <n v="0.93307086614173229"/>
    <n v="0.8843283582089555"/>
    <n v="38.12444881889764"/>
    <n v="8.7013649327298612"/>
    <s v="Medium"/>
    <s v="Normal"/>
  </r>
  <r>
    <n v="318"/>
    <d v="2026-02-05T00:00:00"/>
    <x v="4"/>
    <s v="Plant A"/>
    <x v="0"/>
    <x v="3"/>
    <x v="0"/>
    <x v="3"/>
    <s v="B260205-0318"/>
    <s v="OP123"/>
    <n v="779"/>
    <n v="803"/>
    <n v="769"/>
    <n v="34"/>
    <n v="11"/>
    <n v="11"/>
    <s v="Power Failure"/>
    <n v="49"/>
    <n v="51"/>
    <n v="68.599999999999994"/>
    <n v="3.19"/>
    <n v="24.48"/>
    <n v="18342.64"/>
    <n v="9.32"/>
    <s v="Completed"/>
    <n v="8"/>
    <n v="28948.16"/>
    <n v="0.95765877957658796"/>
    <n v="22756.959999999999"/>
    <n v="251.26904109589"/>
    <n v="636.18333333333305"/>
    <n v="0.98270938670718599"/>
    <n v="5939.9309589041104"/>
    <n v="1.0308087291399231"/>
    <n v="4.2341220423412207E-2"/>
    <n v="1.3698630136986301E-2"/>
    <n v="0.95765877957658785"/>
    <n v="0.18333333333333332"/>
    <n v="625.18333333333305"/>
    <n v="1.2844232358508176"/>
    <n v="1.2244897959183674"/>
    <n v="1.0489456426115011"/>
    <n v="0.95765877957658785"/>
    <n v="0.98716302952503265"/>
    <n v="28.339925280199253"/>
    <n v="7.3971742950237989"/>
    <s v="Medium"/>
    <s v="Warning"/>
  </r>
  <r>
    <n v="319"/>
    <d v="2026-02-21T00:00:00"/>
    <x v="4"/>
    <s v="Plant A"/>
    <x v="0"/>
    <x v="1"/>
    <x v="0"/>
    <x v="4"/>
    <s v="B260221-0319"/>
    <s v="OP130"/>
    <n v="673"/>
    <n v="707"/>
    <n v="669"/>
    <n v="38"/>
    <n v="15"/>
    <n v="7"/>
    <s v="Material Shortage"/>
    <n v="57"/>
    <n v="57"/>
    <n v="74.099999999999994"/>
    <n v="2.78"/>
    <n v="26.11"/>
    <n v="19364.43"/>
    <n v="8.3000000000000007"/>
    <s v="Scheduled"/>
    <n v="33"/>
    <n v="31269.49"/>
    <n v="0.94625176803394595"/>
    <n v="23334.42"/>
    <n v="410.84363507779301"/>
    <n v="639.35"/>
    <n v="0.98905138030812501"/>
    <n v="7524.2263649222105"/>
    <n v="1.0505200594353641"/>
    <n v="5.3748231966053751E-2"/>
    <n v="2.1216407355021217E-2"/>
    <n v="0.94625176803394628"/>
    <n v="0.11666666666666667"/>
    <n v="632.35"/>
    <n v="1.1180517118684272"/>
    <n v="1.0526315789473684"/>
    <n v="1.062149126275006"/>
    <n v="0.94625176803394628"/>
    <n v="0.99405646359583921"/>
    <n v="33.004837340876939"/>
    <n v="10.642470105972009"/>
    <s v="Medium"/>
    <s v="Normal"/>
  </r>
  <r>
    <n v="320"/>
    <d v="2026-03-26T00:00:00"/>
    <x v="1"/>
    <s v="Plant B"/>
    <x v="3"/>
    <x v="7"/>
    <x v="0"/>
    <x v="2"/>
    <s v="B260326-0320"/>
    <s v="OP124"/>
    <n v="452"/>
    <n v="402"/>
    <n v="384"/>
    <n v="18"/>
    <n v="3"/>
    <n v="28"/>
    <s v="Material Shortage"/>
    <n v="64"/>
    <n v="63"/>
    <n v="64.7"/>
    <n v="1.66"/>
    <n v="15"/>
    <n v="13038.32"/>
    <n v="8.51"/>
    <s v="Completed"/>
    <n v="5"/>
    <n v="20033.3"/>
    <n v="0.95522388059701502"/>
    <n v="17002.82"/>
    <n v="97.300895522388103"/>
    <n v="482.13333333333298"/>
    <n v="0.94192477876106195"/>
    <n v="2933.1791044776101"/>
    <n v="0.88938053097345138"/>
    <n v="4.4776119402985072E-2"/>
    <n v="7.462686567164179E-3"/>
    <n v="0.95522388059701491"/>
    <n v="0.46666666666666667"/>
    <n v="454.13333333333298"/>
    <n v="0.88520258367586679"/>
    <n v="0.9375"/>
    <n v="0.94421608925425793"/>
    <n v="0.95522388059701491"/>
    <n v="0.84955752212389446"/>
    <n v="42.295572139303481"/>
    <n v="7.2964654340239052"/>
    <s v="Medium"/>
    <s v="Warning"/>
  </r>
  <r>
    <n v="321"/>
    <d v="2026-02-15T00:00:00"/>
    <x v="4"/>
    <s v="Plant A"/>
    <x v="0"/>
    <x v="3"/>
    <x v="2"/>
    <x v="2"/>
    <s v="B260215-0321"/>
    <s v="OP102"/>
    <n v="662"/>
    <n v="576"/>
    <n v="542"/>
    <n v="34"/>
    <n v="14"/>
    <n v="39"/>
    <s v="Machine Breakdown"/>
    <n v="64"/>
    <n v="72"/>
    <n v="75.5"/>
    <n v="2.2799999999999998"/>
    <n v="26.34"/>
    <n v="18666.78"/>
    <n v="6.45"/>
    <s v="Completed"/>
    <n v="8"/>
    <n v="28901.26"/>
    <n v="0.94097222222222199"/>
    <n v="21806.34"/>
    <n v="453.70645833333299"/>
    <n v="706.13333333333298"/>
    <n v="0.94476963746223597"/>
    <n v="6641.2135416666697"/>
    <n v="0.87009063444108758"/>
    <n v="5.9027777777777776E-2"/>
    <n v="2.4305555555555556E-2"/>
    <n v="0.94097222222222221"/>
    <n v="0.65"/>
    <n v="667.13333333333298"/>
    <n v="0.86339562306385575"/>
    <n v="0.9375"/>
    <n v="0.9209553312681128"/>
    <n v="0.94097222222222221"/>
    <n v="0.81873111782477415"/>
    <n v="37.858229166666668"/>
    <n v="11.52988462094908"/>
    <s v="Medium"/>
    <s v="Warning"/>
  </r>
  <r>
    <n v="322"/>
    <d v="2026-02-18T00:00:00"/>
    <x v="4"/>
    <s v="Plant A"/>
    <x v="2"/>
    <x v="10"/>
    <x v="1"/>
    <x v="3"/>
    <s v="B260218-0322"/>
    <s v="OP128"/>
    <n v="745"/>
    <n v="709"/>
    <n v="645"/>
    <n v="64"/>
    <n v="13"/>
    <n v="27"/>
    <s v="Material Shortage"/>
    <n v="49"/>
    <n v="50"/>
    <n v="72.099999999999994"/>
    <n v="2.78"/>
    <n v="26.11"/>
    <n v="15577.39"/>
    <n v="9.14"/>
    <s v="Scheduled"/>
    <n v="7"/>
    <n v="24937.94"/>
    <n v="0.90973201692524697"/>
    <n v="19925.38"/>
    <n v="285.62210155148102"/>
    <n v="608.41666666666697"/>
    <n v="0.95562251746336102"/>
    <n v="4726.9378984485202"/>
    <n v="0.95167785234899327"/>
    <n v="9.0267983074753172E-2"/>
    <n v="1.8335684062059238E-2"/>
    <n v="0.90973201692524686"/>
    <n v="0.45"/>
    <n v="581.41666666666697"/>
    <n v="1.2194352873727956"/>
    <n v="1.2244897959183674"/>
    <n v="0.99587215135444973"/>
    <n v="0.90973201692524686"/>
    <n v="0.86577181208053622"/>
    <n v="28.103497884344147"/>
    <n v="6.6670492220712552"/>
    <s v="Medium"/>
    <s v="Warning"/>
  </r>
  <r>
    <n v="323"/>
    <d v="2026-06-07T00:00:00"/>
    <x v="0"/>
    <s v="Plant A"/>
    <x v="3"/>
    <x v="11"/>
    <x v="0"/>
    <x v="2"/>
    <s v="B260607-0323"/>
    <s v="OP133"/>
    <n v="545"/>
    <n v="498"/>
    <n v="456"/>
    <n v="42"/>
    <n v="8"/>
    <n v="26"/>
    <s v="Quality Inspection"/>
    <n v="64"/>
    <n v="68"/>
    <n v="72.099999999999994"/>
    <n v="1.28"/>
    <n v="16.489999999999998"/>
    <n v="16110.79"/>
    <n v="7.77"/>
    <s v="Completed"/>
    <n v="13"/>
    <n v="24265.02"/>
    <n v="0.91566265060241003"/>
    <n v="19755.7"/>
    <n v="258.80787148594402"/>
    <n v="581.33333333333303"/>
    <n v="0.95527522935779796"/>
    <n v="4250.5121285140604"/>
    <n v="0.91376146788990831"/>
    <n v="8.4337349397590355E-2"/>
    <n v="1.6064257028112448E-2"/>
    <n v="0.91566265060240959"/>
    <n v="0.43333333333333335"/>
    <n v="555.33333333333303"/>
    <n v="0.89675870348139308"/>
    <n v="0.9375"/>
    <n v="0.95654261704681931"/>
    <n v="0.91566265060240959"/>
    <n v="0.83669724770642229"/>
    <n v="39.670080321285141"/>
    <n v="8.5351649166948995"/>
    <s v="Medium"/>
    <s v="Warning"/>
  </r>
  <r>
    <n v="324"/>
    <d v="2026-05-27T00:00:00"/>
    <x v="3"/>
    <s v="Plant A"/>
    <x v="4"/>
    <x v="13"/>
    <x v="1"/>
    <x v="0"/>
    <s v="B260527-0324"/>
    <s v="OP106"/>
    <n v="871"/>
    <n v="811"/>
    <n v="768"/>
    <n v="43"/>
    <n v="16"/>
    <n v="15"/>
    <s v="Power Failure"/>
    <n v="42"/>
    <n v="44"/>
    <n v="67"/>
    <n v="2.2999999999999998"/>
    <n v="26.8"/>
    <n v="14426.58"/>
    <n v="7.42"/>
    <s v="Pending"/>
    <n v="39"/>
    <n v="24368.22"/>
    <n v="0.94697903822441398"/>
    <n v="18006.78"/>
    <n v="284.61810110974102"/>
    <n v="609.70000000000005"/>
    <n v="0.97539773659176598"/>
    <n v="6076.8218988902599"/>
    <n v="0.93111366245694605"/>
    <n v="5.3020961775585698E-2"/>
    <n v="1.9728729963008632E-2"/>
    <n v="0.94697903822441432"/>
    <n v="0.25"/>
    <n v="594.70000000000005"/>
    <n v="1.3637127963679165"/>
    <n v="1.4285714285714286"/>
    <n v="0.95459895745754153"/>
    <n v="0.94697903822441432"/>
    <n v="0.88174512055109022"/>
    <n v="22.203181257706532"/>
    <n v="7.4929986422814547"/>
    <s v="Medium"/>
    <s v="Normal"/>
  </r>
  <r>
    <n v="325"/>
    <d v="2026-01-22T00:00:00"/>
    <x v="2"/>
    <s v="Plant B"/>
    <x v="2"/>
    <x v="9"/>
    <x v="1"/>
    <x v="0"/>
    <s v="B260122-0325"/>
    <s v="OP118"/>
    <n v="836"/>
    <n v="725"/>
    <n v="696"/>
    <n v="29"/>
    <n v="10"/>
    <n v="22"/>
    <s v="Machine Breakdown"/>
    <n v="42"/>
    <n v="41"/>
    <n v="75.7"/>
    <n v="2.33"/>
    <n v="31.35"/>
    <n v="13818.71"/>
    <n v="8.36"/>
    <s v="Overdue"/>
    <n v="27"/>
    <n v="21615.24"/>
    <n v="0.96"/>
    <n v="17862.86"/>
    <n v="190.602896551724"/>
    <n v="585.20000000000005"/>
    <n v="0.96240601503759404"/>
    <n v="3561.7771034482798"/>
    <n v="0.86722488038277512"/>
    <n v="0.04"/>
    <n v="1.3793103448275862E-2"/>
    <n v="0.96"/>
    <n v="0.36666666666666664"/>
    <n v="563.20000000000005"/>
    <n v="1.2872869318181817"/>
    <n v="1.4285714285714286"/>
    <n v="0.90110085227272718"/>
    <n v="0.96"/>
    <n v="0.83253588516746413"/>
    <n v="24.638427586206898"/>
    <n v="4.912796004756248"/>
    <s v="High"/>
    <s v="Warning"/>
  </r>
  <r>
    <n v="326"/>
    <d v="2026-03-18T00:00:00"/>
    <x v="1"/>
    <s v="Plant B"/>
    <x v="4"/>
    <x v="13"/>
    <x v="2"/>
    <x v="1"/>
    <s v="B260318-0326"/>
    <s v="OP101"/>
    <n v="921"/>
    <n v="709"/>
    <n v="668"/>
    <n v="41"/>
    <n v="13"/>
    <n v="61"/>
    <s v="Setup Time"/>
    <n v="45"/>
    <n v="46"/>
    <n v="71.400000000000006"/>
    <n v="1.77"/>
    <n v="28.22"/>
    <n v="15082.85"/>
    <n v="6.41"/>
    <s v="Completed"/>
    <n v="7"/>
    <n v="23865.09"/>
    <n v="0.94217207334273601"/>
    <n v="18221.330000000002"/>
    <n v="276.55437235543002"/>
    <n v="690.75"/>
    <n v="0.91169019182048505"/>
    <n v="5367.2056276445701"/>
    <n v="0.76981541802388709"/>
    <n v="5.7827926657263752E-2"/>
    <n v="1.8335684062059238E-2"/>
    <n v="0.94217207334273623"/>
    <n v="1.0166666666666666"/>
    <n v="629.75"/>
    <n v="1.1258435887256848"/>
    <n v="1.3333333333333333"/>
    <n v="0.8443826915442636"/>
    <n v="0.94217207334273623"/>
    <n v="0.72529858849077089"/>
    <n v="25.70004231311707"/>
    <n v="7.5701066680459377"/>
    <s v="High"/>
    <s v="Critical"/>
  </r>
  <r>
    <n v="327"/>
    <d v="2026-04-20T00:00:00"/>
    <x v="5"/>
    <s v="Plant B"/>
    <x v="3"/>
    <x v="7"/>
    <x v="1"/>
    <x v="4"/>
    <s v="B260420-0327"/>
    <s v="OP124"/>
    <n v="555"/>
    <n v="500"/>
    <n v="479"/>
    <n v="21"/>
    <n v="8"/>
    <n v="57"/>
    <s v="Machine Breakdown"/>
    <n v="57"/>
    <n v="61"/>
    <n v="68.099999999999994"/>
    <n v="1.46"/>
    <n v="20.23"/>
    <n v="12963.35"/>
    <n v="8.82"/>
    <s v="Overdue"/>
    <n v="43"/>
    <n v="21576.17"/>
    <n v="0.95799999999999996"/>
    <n v="17114.419999999998"/>
    <n v="207.4136"/>
    <n v="527.25"/>
    <n v="0.891891891891892"/>
    <n v="4254.3364000000001"/>
    <n v="0.90090090090090091"/>
    <n v="4.2000000000000003E-2"/>
    <n v="1.6E-2"/>
    <n v="0.95799999999999996"/>
    <n v="0.95"/>
    <n v="470.25"/>
    <n v="1.063264221158958"/>
    <n v="1.0526315789473684"/>
    <n v="1.0101010101010102"/>
    <n v="0.95799999999999996"/>
    <n v="0.86306306306306313"/>
    <n v="34.228839999999998"/>
    <n v="8.5086728000000011"/>
    <s v="High"/>
    <s v="Normal"/>
  </r>
  <r>
    <n v="328"/>
    <d v="2026-03-26T00:00:00"/>
    <x v="1"/>
    <s v="Plant B"/>
    <x v="1"/>
    <x v="5"/>
    <x v="2"/>
    <x v="0"/>
    <s v="B260326-0328"/>
    <s v="OP125"/>
    <n v="816"/>
    <n v="833"/>
    <n v="795"/>
    <n v="38"/>
    <n v="8"/>
    <n v="0"/>
    <s v="No Downtime"/>
    <n v="42"/>
    <n v="45"/>
    <n v="71"/>
    <n v="2.2999999999999998"/>
    <n v="32.270000000000003"/>
    <n v="14535.5"/>
    <n v="8.02"/>
    <s v="Overdue"/>
    <n v="32"/>
    <n v="25265.83"/>
    <n v="0.95438175270108005"/>
    <n v="18434.93"/>
    <n v="139.59663865546199"/>
    <n v="571.20000000000005"/>
    <n v="1"/>
    <n v="6691.3033613445396"/>
    <n v="1.0208333333333333"/>
    <n v="4.561824729891957E-2"/>
    <n v="9.6038415366146452E-3"/>
    <n v="0.95438175270108039"/>
    <n v="0"/>
    <n v="571.20000000000005"/>
    <n v="1.4583333333333333"/>
    <n v="1.4285714285714286"/>
    <n v="1.0208333333333333"/>
    <n v="0.95438175270108039"/>
    <n v="0.97426470588235281"/>
    <n v="22.130768307322928"/>
    <n v="8.0327771444712361"/>
    <s v="High"/>
    <s v="Normal"/>
  </r>
  <r>
    <n v="329"/>
    <d v="2026-02-22T00:00:00"/>
    <x v="4"/>
    <s v="Plant A"/>
    <x v="4"/>
    <x v="12"/>
    <x v="1"/>
    <x v="3"/>
    <s v="B260222-0329"/>
    <s v="OP124"/>
    <n v="885"/>
    <n v="663"/>
    <n v="577"/>
    <n v="86"/>
    <n v="30"/>
    <n v="58"/>
    <s v="Machine Breakdown"/>
    <n v="49"/>
    <n v="53"/>
    <n v="75.900000000000006"/>
    <n v="3.73"/>
    <n v="26.09"/>
    <n v="15354.66"/>
    <n v="6.85"/>
    <s v="Scheduled"/>
    <n v="28"/>
    <n v="22169.16"/>
    <n v="0.87028657616892902"/>
    <n v="18671.97"/>
    <n v="694.78099547511295"/>
    <n v="722.75"/>
    <n v="0.91975095122794903"/>
    <n v="2802.40900452489"/>
    <n v="0.74915254237288131"/>
    <n v="0.1297134238310709"/>
    <n v="4.5248868778280542E-2"/>
    <n v="0.87028657616892913"/>
    <n v="0.96666666666666667"/>
    <n v="664.75"/>
    <n v="0.99736743136517492"/>
    <n v="1.2244897959183674"/>
    <n v="0.8145167356148928"/>
    <n v="0.87028657616892913"/>
    <n v="0.65197740112994362"/>
    <n v="28.162850678733033"/>
    <n v="4.226861243627285"/>
    <s v="High"/>
    <s v="Critical"/>
  </r>
  <r>
    <n v="330"/>
    <d v="2026-03-12T00:00:00"/>
    <x v="1"/>
    <s v="Plant A"/>
    <x v="0"/>
    <x v="3"/>
    <x v="1"/>
    <x v="1"/>
    <s v="B260312-0330"/>
    <s v="OP116"/>
    <n v="949"/>
    <n v="909"/>
    <n v="875"/>
    <n v="34"/>
    <n v="14"/>
    <n v="0"/>
    <s v="No Downtime"/>
    <n v="45"/>
    <n v="46"/>
    <n v="74.099999999999994"/>
    <n v="2.08"/>
    <n v="29.55"/>
    <n v="19288.23"/>
    <n v="8.1300000000000008"/>
    <s v="Scheduled"/>
    <n v="17"/>
    <n v="31267.84"/>
    <n v="0.96259625962596296"/>
    <n v="23212.68"/>
    <n v="297.06844884488498"/>
    <n v="711.75"/>
    <n v="1"/>
    <n v="7758.0915511551202"/>
    <n v="0.95785036880927288"/>
    <n v="3.7403740374037403E-2"/>
    <n v="1.5401540154015401E-2"/>
    <n v="0.96259625962596262"/>
    <n v="0"/>
    <n v="711.75"/>
    <n v="1.2771338250790305"/>
    <n v="1.3333333333333333"/>
    <n v="0.95785036880927288"/>
    <n v="0.96259625962596262"/>
    <n v="0.92202318229715485"/>
    <n v="25.536501650165018"/>
    <n v="8.5347541816888004"/>
    <s v="Low"/>
    <s v="Normal"/>
  </r>
  <r>
    <n v="331"/>
    <d v="2026-04-17T00:00:00"/>
    <x v="5"/>
    <s v="Plant A"/>
    <x v="3"/>
    <x v="11"/>
    <x v="1"/>
    <x v="3"/>
    <s v="B260417-0331"/>
    <s v="OP112"/>
    <n v="668"/>
    <n v="591"/>
    <n v="548"/>
    <n v="43"/>
    <n v="13"/>
    <n v="21"/>
    <s v="Material Shortage"/>
    <n v="49"/>
    <n v="51"/>
    <n v="82.8"/>
    <n v="1.88"/>
    <n v="25.37"/>
    <n v="13774.81"/>
    <n v="6.59"/>
    <s v="Completed"/>
    <n v="32"/>
    <n v="21157.02"/>
    <n v="0.92724196277495796"/>
    <n v="16968.64"/>
    <n v="302.99920473773301"/>
    <n v="545.53333333333296"/>
    <n v="0.96150556030795598"/>
    <n v="3885.3807952622701"/>
    <n v="0.8847305389221557"/>
    <n v="7.2758037225042302E-2"/>
    <n v="2.1996615905245348E-2"/>
    <n v="0.92724196277495774"/>
    <n v="0.35"/>
    <n v="524.53333333333296"/>
    <n v="1.1267158108795128"/>
    <n v="1.2244897959183674"/>
    <n v="0.9201512455516021"/>
    <n v="0.92724196277495774"/>
    <n v="0.82035928143712677"/>
    <n v="28.711742808798647"/>
    <n v="6.574248384538528"/>
    <s v="Medium"/>
    <s v="Warning"/>
  </r>
  <r>
    <n v="332"/>
    <d v="2026-03-25T00:00:00"/>
    <x v="1"/>
    <s v="Plant B"/>
    <x v="1"/>
    <x v="5"/>
    <x v="0"/>
    <x v="4"/>
    <s v="B260325-0332"/>
    <s v="OP130"/>
    <n v="526"/>
    <n v="472"/>
    <n v="460"/>
    <n v="12"/>
    <n v="2"/>
    <n v="10"/>
    <s v="Material Shortage"/>
    <n v="57"/>
    <n v="61"/>
    <n v="75.099999999999994"/>
    <n v="1.68"/>
    <n v="19.32"/>
    <n v="13367.34"/>
    <n v="7.9"/>
    <s v="Completed"/>
    <n v="5"/>
    <n v="21221.48"/>
    <n v="0.97457627118644097"/>
    <n v="17096.22"/>
    <n v="56.641271186440697"/>
    <n v="499.7"/>
    <n v="0.97998799279567705"/>
    <n v="4068.6187288135602"/>
    <n v="0.89733840304182511"/>
    <n v="2.5423728813559324E-2"/>
    <n v="4.2372881355932203E-3"/>
    <n v="0.97457627118644063"/>
    <n v="0.16666666666666666"/>
    <n v="489.7"/>
    <n v="0.96385542168674698"/>
    <n v="1.0526315789473684"/>
    <n v="0.9156626506024097"/>
    <n v="0.97457627118644063"/>
    <n v="0.87452471482889704"/>
    <n v="36.220805084745763"/>
    <n v="8.6199549339270352"/>
    <s v="Low"/>
    <s v="Normal"/>
  </r>
  <r>
    <n v="333"/>
    <d v="2026-03-04T00:00:00"/>
    <x v="1"/>
    <s v="Plant B"/>
    <x v="3"/>
    <x v="7"/>
    <x v="2"/>
    <x v="1"/>
    <s v="B260304-0333"/>
    <s v="OP111"/>
    <n v="689"/>
    <n v="585"/>
    <n v="558"/>
    <n v="27"/>
    <n v="9"/>
    <n v="28"/>
    <s v="Quality Inspection"/>
    <n v="45"/>
    <n v="46"/>
    <n v="71.3"/>
    <n v="1.98"/>
    <n v="24.75"/>
    <n v="11909.12"/>
    <n v="6.25"/>
    <s v="Pending"/>
    <n v="26"/>
    <n v="19556.8"/>
    <n v="0.95384615384615401"/>
    <n v="14944.37"/>
    <n v="183.21723076923101"/>
    <n v="516.75"/>
    <n v="0.94581519109821"/>
    <n v="4429.2127692307704"/>
    <n v="0.84905660377358494"/>
    <n v="4.6153846153846156E-2"/>
    <n v="1.5384615384615385E-2"/>
    <n v="0.9538461538461539"/>
    <n v="0.46666666666666667"/>
    <n v="488.75"/>
    <n v="1.19693094629156"/>
    <n v="1.3333333333333333"/>
    <n v="0.89769820971867009"/>
    <n v="0.9538461538461539"/>
    <n v="0.80986937590711183"/>
    <n v="25.545931623931626"/>
    <n v="7.5713038790269582"/>
    <s v="Medium"/>
    <s v="Warning"/>
  </r>
  <r>
    <n v="334"/>
    <d v="2026-06-19T00:00:00"/>
    <x v="0"/>
    <s v="Plant A"/>
    <x v="1"/>
    <x v="6"/>
    <x v="0"/>
    <x v="0"/>
    <s v="B260619-0334"/>
    <s v="OP101"/>
    <n v="744"/>
    <n v="732"/>
    <n v="685"/>
    <n v="47"/>
    <n v="12"/>
    <n v="29"/>
    <s v="Material Shortage"/>
    <n v="42"/>
    <n v="42"/>
    <n v="76.400000000000006"/>
    <n v="2.33"/>
    <n v="24.12"/>
    <n v="13087.91"/>
    <n v="9.9499999999999993"/>
    <s v="Pending"/>
    <n v="36"/>
    <n v="22354.61"/>
    <n v="0.93579234972677605"/>
    <n v="17782.490000000002"/>
    <n v="214.555901639344"/>
    <n v="520.79999999999995"/>
    <n v="0.94431643625191997"/>
    <n v="4357.56409836065"/>
    <n v="0.9838709677419355"/>
    <n v="6.4207650273224046E-2"/>
    <n v="1.6393442622950821E-2"/>
    <n v="0.93579234972677594"/>
    <n v="0.48333333333333334"/>
    <n v="491.79999999999995"/>
    <n v="1.4884099227328182"/>
    <n v="1.4285714285714286"/>
    <n v="1.0418869459129727"/>
    <n v="0.93579234972677594"/>
    <n v="0.92069892473118253"/>
    <n v="24.293019125683063"/>
    <n v="5.9529564185254777"/>
    <s v="Medium"/>
    <s v="Normal"/>
  </r>
  <r>
    <n v="335"/>
    <d v="2026-02-12T00:00:00"/>
    <x v="4"/>
    <s v="Plant A"/>
    <x v="0"/>
    <x v="1"/>
    <x v="1"/>
    <x v="1"/>
    <s v="B260212-0335"/>
    <s v="OP121"/>
    <n v="777"/>
    <n v="789"/>
    <n v="753"/>
    <n v="36"/>
    <n v="8"/>
    <n v="18"/>
    <s v="Power Failure"/>
    <n v="45"/>
    <n v="45"/>
    <n v="74.7"/>
    <n v="2.72"/>
    <n v="25.45"/>
    <n v="15744.5"/>
    <n v="9.4"/>
    <s v="Completed"/>
    <n v="35"/>
    <n v="26964.53"/>
    <n v="0.95437262357414498"/>
    <n v="20203.55"/>
    <n v="159.640050697085"/>
    <n v="582.75"/>
    <n v="0.96911196911196895"/>
    <n v="6601.3399493029201"/>
    <n v="1.0154440154440154"/>
    <n v="4.5627376425855515E-2"/>
    <n v="1.0139416983523447E-2"/>
    <n v="0.95437262357414454"/>
    <n v="0.3"/>
    <n v="564.75"/>
    <n v="1.3970783532536521"/>
    <n v="1.3333333333333333"/>
    <n v="1.0478087649402392"/>
    <n v="0.95437262357414454"/>
    <n v="0.96911196911196917"/>
    <n v="25.606527249683143"/>
    <n v="8.3667172994967309"/>
    <s v="Medium"/>
    <s v="Normal"/>
  </r>
  <r>
    <n v="336"/>
    <d v="2026-04-16T00:00:00"/>
    <x v="5"/>
    <s v="Plant B"/>
    <x v="2"/>
    <x v="10"/>
    <x v="2"/>
    <x v="0"/>
    <s v="B260416-0336"/>
    <s v="OP135"/>
    <n v="807"/>
    <n v="663"/>
    <n v="599"/>
    <n v="64"/>
    <n v="23"/>
    <n v="37"/>
    <s v="Material Shortage"/>
    <n v="42"/>
    <n v="49"/>
    <n v="72.400000000000006"/>
    <n v="1.91"/>
    <n v="27.23"/>
    <n v="12510.37"/>
    <n v="6.1"/>
    <s v="Completed"/>
    <n v="25"/>
    <n v="19641.95"/>
    <n v="0.90346907993966796"/>
    <n v="15500.44"/>
    <n v="433.99473604826602"/>
    <n v="564.9"/>
    <n v="0.93450168171357795"/>
    <n v="3707.51526395173"/>
    <n v="0.82156133828996281"/>
    <n v="9.6530920060331829E-2"/>
    <n v="3.4690799396681751E-2"/>
    <n v="0.90346907993966818"/>
    <n v="0.6166666666666667"/>
    <n v="527.9"/>
    <n v="1.2559196817579088"/>
    <n v="1.4285714285714286"/>
    <n v="0.87914377723053616"/>
    <n v="0.90346907993966818"/>
    <n v="0.74225526641883544"/>
    <n v="23.379245852187029"/>
    <n v="5.592029055734133"/>
    <s v="High"/>
    <s v="Critical"/>
  </r>
  <r>
    <n v="337"/>
    <d v="2026-04-25T00:00:00"/>
    <x v="5"/>
    <s v="Plant B"/>
    <x v="2"/>
    <x v="9"/>
    <x v="1"/>
    <x v="4"/>
    <s v="B260425-0337"/>
    <s v="OP101"/>
    <n v="579"/>
    <n v="513"/>
    <n v="493"/>
    <n v="20"/>
    <n v="5"/>
    <n v="12"/>
    <s v="Machine Breakdown"/>
    <n v="57"/>
    <n v="58"/>
    <n v="74"/>
    <n v="2.4"/>
    <n v="19.18"/>
    <n v="14488.92"/>
    <n v="9.27"/>
    <s v="Scheduled"/>
    <n v="24"/>
    <n v="23191.43"/>
    <n v="0.96101364522417199"/>
    <n v="18833.04"/>
    <n v="141.217543859649"/>
    <n v="550.04999999999995"/>
    <n v="0.97818380147259298"/>
    <n v="4217.1724561403498"/>
    <n v="0.88601036269430056"/>
    <n v="3.8986354775828458E-2"/>
    <n v="9.7465886939571145E-3"/>
    <n v="0.96101364522417154"/>
    <n v="0.2"/>
    <n v="538.04999999999995"/>
    <n v="0.95344298856983556"/>
    <n v="1.0526315789473684"/>
    <n v="0.90577083914134382"/>
    <n v="0.96101364522417154"/>
    <n v="0.85146804835923984"/>
    <n v="36.711578947368423"/>
    <n v="8.220609076296979"/>
    <s v="Low"/>
    <s v="Normal"/>
  </r>
  <r>
    <n v="338"/>
    <d v="2026-02-04T00:00:00"/>
    <x v="4"/>
    <s v="Plant B"/>
    <x v="4"/>
    <x v="12"/>
    <x v="2"/>
    <x v="0"/>
    <s v="B260204-0338"/>
    <s v="OP127"/>
    <n v="867"/>
    <n v="684"/>
    <n v="580"/>
    <n v="104"/>
    <n v="30"/>
    <n v="46"/>
    <s v="Tool Change"/>
    <n v="42"/>
    <n v="49"/>
    <n v="81.599999999999994"/>
    <n v="3.61"/>
    <n v="22.42"/>
    <n v="12001.03"/>
    <n v="6.18"/>
    <s v="Overdue"/>
    <n v="46"/>
    <n v="18160.810000000001"/>
    <n v="0.84795321637426901"/>
    <n v="14983.81"/>
    <n v="526.36096491228102"/>
    <n v="606.9"/>
    <n v="0.92420497610809005"/>
    <n v="2650.63903508772"/>
    <n v="0.78892733564013839"/>
    <n v="0.15204678362573099"/>
    <n v="4.3859649122807015E-2"/>
    <n v="0.84795321637426901"/>
    <n v="0.76666666666666672"/>
    <n v="560.9"/>
    <n v="1.2194687110001783"/>
    <n v="1.4285714285714286"/>
    <n v="0.85362809770012482"/>
    <n v="0.84795321637426901"/>
    <n v="0.66897347174163768"/>
    <n v="21.906154970760234"/>
    <n v="3.8752032676721053"/>
    <s v="High"/>
    <s v="Critical"/>
  </r>
  <r>
    <n v="339"/>
    <d v="2026-02-22T00:00:00"/>
    <x v="4"/>
    <s v="Plant A"/>
    <x v="0"/>
    <x v="3"/>
    <x v="1"/>
    <x v="1"/>
    <s v="B260222-0339"/>
    <s v="OP114"/>
    <n v="800"/>
    <n v="731"/>
    <n v="699"/>
    <n v="32"/>
    <n v="7"/>
    <n v="27"/>
    <s v="Machine Breakdown"/>
    <n v="45"/>
    <n v="44"/>
    <n v="75.099999999999994"/>
    <n v="1.84"/>
    <n v="30.13"/>
    <n v="15796.54"/>
    <n v="7.66"/>
    <s v="Completed"/>
    <n v="11"/>
    <n v="24422.01"/>
    <n v="0.95622435020519803"/>
    <n v="19514.71"/>
    <n v="151.26645690834499"/>
    <n v="600"/>
    <n v="0.95499999999999996"/>
    <n v="4756.0335430916602"/>
    <n v="0.91374999999999995"/>
    <n v="4.3775649794801641E-2"/>
    <n v="9.575923392612859E-3"/>
    <n v="0.95622435020519836"/>
    <n v="0.45"/>
    <n v="573"/>
    <n v="1.2757417102966842"/>
    <n v="1.3333333333333333"/>
    <n v="0.95680628272251311"/>
    <n v="0.95622435020519836"/>
    <n v="0.87374999999999992"/>
    <n v="26.695909712722298"/>
    <n v="6.5062018373346922"/>
    <s v="Low"/>
    <s v="Normal"/>
  </r>
  <r>
    <n v="340"/>
    <d v="2026-04-19T00:00:00"/>
    <x v="5"/>
    <s v="Plant B"/>
    <x v="3"/>
    <x v="7"/>
    <x v="0"/>
    <x v="3"/>
    <s v="B260419-0340"/>
    <s v="OP106"/>
    <n v="773"/>
    <n v="768"/>
    <n v="732"/>
    <n v="36"/>
    <n v="7"/>
    <n v="41"/>
    <s v="Material Shortage"/>
    <n v="49"/>
    <n v="50"/>
    <n v="67.400000000000006"/>
    <n v="2.1800000000000002"/>
    <n v="25.07"/>
    <n v="16195.95"/>
    <n v="7.78"/>
    <s v="Completed"/>
    <n v="38"/>
    <n v="27817.17"/>
    <n v="0.953125"/>
    <n v="19922.580000000002"/>
    <n v="147.61933593750001"/>
    <n v="631.28333333333296"/>
    <n v="0.93505293449850801"/>
    <n v="7746.9706640625"/>
    <n v="0.99353169469598968"/>
    <n v="4.6875E-2"/>
    <n v="9.1145833333333339E-3"/>
    <n v="0.953125"/>
    <n v="0.68333333333333335"/>
    <n v="590.28333333333296"/>
    <n v="1.3010701075754589"/>
    <n v="1.2244897959183674"/>
    <n v="1.0625405878532914"/>
    <n v="0.953125"/>
    <n v="0.94695989650711532"/>
    <n v="25.940859375000002"/>
    <n v="10.087201385498046"/>
    <s v="Medium"/>
    <s v="Normal"/>
  </r>
  <r>
    <n v="341"/>
    <d v="2026-04-06T00:00:00"/>
    <x v="5"/>
    <s v="Plant B"/>
    <x v="1"/>
    <x v="2"/>
    <x v="2"/>
    <x v="2"/>
    <s v="B260406-0341"/>
    <s v="OP124"/>
    <n v="548"/>
    <n v="580"/>
    <n v="548"/>
    <n v="32"/>
    <n v="9"/>
    <n v="0"/>
    <s v="No Downtime"/>
    <n v="64"/>
    <n v="67"/>
    <n v="74.7"/>
    <n v="1.62"/>
    <n v="18.16"/>
    <n v="18459.52"/>
    <n v="9.4"/>
    <s v="Completed"/>
    <n v="13"/>
    <n v="28818.27"/>
    <n v="0.944827586206897"/>
    <n v="22852.959999999999"/>
    <n v="286.44082758620698"/>
    <n v="584.53333333333296"/>
    <n v="1"/>
    <n v="5678.8691724137898"/>
    <n v="1.0583941605839415"/>
    <n v="5.5172413793103448E-2"/>
    <n v="1.5517241379310345E-2"/>
    <n v="0.94482758620689655"/>
    <n v="0"/>
    <n v="584.53333333333296"/>
    <n v="0.99224452554744591"/>
    <n v="0.9375"/>
    <n v="1.0583941605839422"/>
    <n v="0.94482758620689655"/>
    <n v="1.0000000000000007"/>
    <n v="39.40165517241379"/>
    <n v="9.7911537455410169"/>
    <s v="Low"/>
    <s v="Normal"/>
  </r>
  <r>
    <n v="342"/>
    <d v="2026-06-28T00:00:00"/>
    <x v="0"/>
    <s v="Plant A"/>
    <x v="1"/>
    <x v="2"/>
    <x v="1"/>
    <x v="0"/>
    <s v="B260628-0342"/>
    <s v="OP103"/>
    <n v="905"/>
    <n v="895"/>
    <n v="859"/>
    <n v="36"/>
    <n v="12"/>
    <n v="12"/>
    <s v="Preventive Maintenance"/>
    <n v="42"/>
    <n v="42"/>
    <n v="64.7"/>
    <n v="2.2400000000000002"/>
    <n v="36.96"/>
    <n v="15588.56"/>
    <n v="9.64"/>
    <s v="Pending"/>
    <n v="34"/>
    <n v="28175.56"/>
    <n v="0.95977653631284898"/>
    <n v="20259.2"/>
    <n v="209.00862569832401"/>
    <n v="633.5"/>
    <n v="0.98105761641673195"/>
    <n v="7707.3513743016802"/>
    <n v="0.98895027624309395"/>
    <n v="4.0223463687150837E-2"/>
    <n v="1.3407821229050279E-2"/>
    <n v="0.9597765363128492"/>
    <n v="0.2"/>
    <n v="621.5"/>
    <n v="1.4400643604183427"/>
    <n v="1.4285714285714286"/>
    <n v="1.0080450522928399"/>
    <n v="0.9597765363128492"/>
    <n v="0.9491712707182316"/>
    <n v="22.635977653631286"/>
    <n v="8.6115657813426587"/>
    <s v="Medium"/>
    <s v="Normal"/>
  </r>
  <r>
    <n v="343"/>
    <d v="2026-04-12T00:00:00"/>
    <x v="5"/>
    <s v="Plant A"/>
    <x v="2"/>
    <x v="4"/>
    <x v="2"/>
    <x v="0"/>
    <s v="B260412-0343"/>
    <s v="OP128"/>
    <n v="849"/>
    <n v="753"/>
    <n v="703"/>
    <n v="50"/>
    <n v="16"/>
    <n v="22"/>
    <s v="Setup Time"/>
    <n v="42"/>
    <n v="45"/>
    <n v="63.7"/>
    <n v="2.9"/>
    <n v="30.38"/>
    <n v="13544.38"/>
    <n v="7"/>
    <s v="Scheduled"/>
    <n v="9"/>
    <n v="22764.61"/>
    <n v="0.93359893758300105"/>
    <n v="16967.8"/>
    <n v="287.79559096945599"/>
    <n v="594.29999999999995"/>
    <n v="0.96298165909473299"/>
    <n v="5509.0144090305503"/>
    <n v="0.88692579505300351"/>
    <n v="6.6401062416998669E-2"/>
    <n v="2.1248339973439574E-2"/>
    <n v="0.93359893758300128"/>
    <n v="0.36666666666666664"/>
    <n v="572.29999999999995"/>
    <n v="1.3157434911759567"/>
    <n v="1.4285714285714286"/>
    <n v="0.92102044382316961"/>
    <n v="0.93359893758300128"/>
    <n v="0.82803297997644254"/>
    <n v="22.533598937583001"/>
    <n v="7.3160881926036527"/>
    <s v="Medium"/>
    <s v="Warning"/>
  </r>
  <r>
    <n v="344"/>
    <d v="2026-01-02T00:00:00"/>
    <x v="2"/>
    <s v="Plant A"/>
    <x v="1"/>
    <x v="5"/>
    <x v="0"/>
    <x v="1"/>
    <s v="B260102-0344"/>
    <s v="OP127"/>
    <n v="948"/>
    <n v="1007"/>
    <n v="972"/>
    <n v="35"/>
    <n v="7"/>
    <n v="15"/>
    <s v="Machine Breakdown"/>
    <n v="45"/>
    <n v="44"/>
    <n v="75.8"/>
    <n v="2.42"/>
    <n v="36.270000000000003"/>
    <n v="19902.66"/>
    <n v="10.28"/>
    <s v="Scheduled"/>
    <n v="12"/>
    <n v="33391.08"/>
    <n v="0.96524329692154898"/>
    <n v="24855.09"/>
    <n v="138.35016881827201"/>
    <n v="711"/>
    <n v="0.97890295358649804"/>
    <n v="8397.6398311817302"/>
    <n v="1.0622362869198312"/>
    <n v="3.4756703078450843E-2"/>
    <n v="6.9513406156901684E-3"/>
    <n v="0.9652432969215492"/>
    <n v="0.25"/>
    <n v="696"/>
    <n v="1.4468390804597702"/>
    <n v="1.3333333333333333"/>
    <n v="1.0851293103448276"/>
    <n v="0.9652432969215492"/>
    <n v="1.0253164556962027"/>
    <n v="24.682313803376367"/>
    <n v="8.3392649763472999"/>
    <s v="Low"/>
    <s v="Normal"/>
  </r>
  <r>
    <n v="345"/>
    <d v="2026-04-15T00:00:00"/>
    <x v="5"/>
    <s v="Plant B"/>
    <x v="2"/>
    <x v="4"/>
    <x v="2"/>
    <x v="0"/>
    <s v="B260415-0345"/>
    <s v="OP119"/>
    <n v="763"/>
    <n v="621"/>
    <n v="582"/>
    <n v="39"/>
    <n v="12"/>
    <n v="37"/>
    <s v="Tool Change"/>
    <n v="42"/>
    <n v="44"/>
    <n v="70"/>
    <n v="2.79"/>
    <n v="26.8"/>
    <n v="11519.29"/>
    <n v="5.88"/>
    <s v="Pending"/>
    <n v="22"/>
    <n v="19168.080000000002"/>
    <n v="0.93719806763284996"/>
    <n v="14406.49"/>
    <n v="222.594975845411"/>
    <n v="534.1"/>
    <n v="0.93072458341134601"/>
    <n v="4538.9950241545903"/>
    <n v="0.81389252948885982"/>
    <n v="6.280193236714976E-2"/>
    <n v="1.932367149758454E-2"/>
    <n v="0.9371980676328503"/>
    <n v="0.6166666666666667"/>
    <n v="497.1"/>
    <n v="1.2492456246228123"/>
    <n v="1.4285714285714286"/>
    <n v="0.87447193723596861"/>
    <n v="0.9371980676328503"/>
    <n v="0.76277850589777185"/>
    <n v="23.198856682769726"/>
    <n v="7.3091707313278427"/>
    <s v="High"/>
    <s v="Warning"/>
  </r>
  <r>
    <n v="346"/>
    <d v="2026-03-10T00:00:00"/>
    <x v="1"/>
    <s v="Plant B"/>
    <x v="1"/>
    <x v="2"/>
    <x v="1"/>
    <x v="3"/>
    <s v="B260310-0346"/>
    <s v="OP122"/>
    <n v="781"/>
    <n v="774"/>
    <n v="745"/>
    <n v="29"/>
    <n v="8"/>
    <n v="43"/>
    <s v="Material Shortage"/>
    <n v="49"/>
    <n v="47"/>
    <n v="69.2"/>
    <n v="2.37"/>
    <n v="31.45"/>
    <n v="17820.759999999998"/>
    <n v="7.59"/>
    <s v="Pending"/>
    <n v="31"/>
    <n v="28936.79"/>
    <n v="0.96253229974160204"/>
    <n v="21519.31"/>
    <n v="184.19390180878599"/>
    <n v="637.81666666666695"/>
    <n v="0.93258250803522402"/>
    <n v="7233.2860981912199"/>
    <n v="0.99103713188220233"/>
    <n v="3.7467700258397935E-2"/>
    <n v="1.0335917312661499E-2"/>
    <n v="0.96253229974160204"/>
    <n v="0.71666666666666667"/>
    <n v="594.81666666666695"/>
    <n v="1.3012412788254077"/>
    <n v="1.2244897959183674"/>
    <n v="1.0626803777074163"/>
    <n v="0.96253229974160204"/>
    <n v="0.95390524967989665"/>
    <n v="27.802726098191215"/>
    <n v="9.3453308762160461"/>
    <s v="Medium"/>
    <s v="Normal"/>
  </r>
  <r>
    <n v="347"/>
    <d v="2026-03-13T00:00:00"/>
    <x v="1"/>
    <s v="Plant A"/>
    <x v="4"/>
    <x v="13"/>
    <x v="1"/>
    <x v="1"/>
    <s v="B260313-0347"/>
    <s v="OP131"/>
    <n v="943"/>
    <n v="781"/>
    <n v="740"/>
    <n v="41"/>
    <n v="12"/>
    <n v="70"/>
    <s v="Setup Time"/>
    <n v="45"/>
    <n v="48"/>
    <n v="72.5"/>
    <n v="2.86"/>
    <n v="31.6"/>
    <n v="16226.82"/>
    <n v="6.19"/>
    <s v="Scheduled"/>
    <n v="37"/>
    <n v="26570.53"/>
    <n v="0.94750320102432795"/>
    <n v="19296.72"/>
    <n v="249.323738796415"/>
    <n v="707.25"/>
    <n v="0.90102509720749402"/>
    <n v="7024.4862612035804"/>
    <n v="0.82820784729586427"/>
    <n v="5.2496798975672214E-2"/>
    <n v="1.5364916773367477E-2"/>
    <n v="0.94750320102432783"/>
    <n v="1.1666666666666667"/>
    <n v="637.25"/>
    <n v="1.2255786582973716"/>
    <n v="1.3333333333333333"/>
    <n v="0.91918399372302872"/>
    <n v="0.94750320102432783"/>
    <n v="0.78472958642629931"/>
    <n v="24.707708066581308"/>
    <n v="8.994220564921358"/>
    <s v="High"/>
    <s v="Warning"/>
  </r>
  <r>
    <n v="348"/>
    <d v="2026-05-02T00:00:00"/>
    <x v="3"/>
    <s v="Plant A"/>
    <x v="1"/>
    <x v="2"/>
    <x v="1"/>
    <x v="1"/>
    <s v="B260502-0348"/>
    <s v="OP134"/>
    <n v="938"/>
    <n v="872"/>
    <n v="827"/>
    <n v="45"/>
    <n v="18"/>
    <n v="14"/>
    <s v="Operator Issue"/>
    <n v="45"/>
    <n v="49"/>
    <n v="77.599999999999994"/>
    <n v="2.0099999999999998"/>
    <n v="30.67"/>
    <n v="17325.47"/>
    <n v="7.22"/>
    <s v="Overdue"/>
    <n v="30"/>
    <n v="29292.18"/>
    <n v="0.94839449541284404"/>
    <n v="20850.5"/>
    <n v="357.63584862385301"/>
    <n v="703.5"/>
    <n v="0.98009950248756195"/>
    <n v="8084.0441513761498"/>
    <n v="0.92963752665245203"/>
    <n v="5.1605504587155966E-2"/>
    <n v="2.0642201834862386E-2"/>
    <n v="0.94839449541284404"/>
    <n v="0.23333333333333334"/>
    <n v="689.5"/>
    <n v="1.2646845540246556"/>
    <n v="1.3333333333333333"/>
    <n v="0.94851341551849178"/>
    <n v="0.94839449541284404"/>
    <n v="0.88166311300639644"/>
    <n v="23.911123853211009"/>
    <n v="9.2706928341469599"/>
    <s v="High"/>
    <s v="Normal"/>
  </r>
  <r>
    <n v="349"/>
    <d v="2026-01-28T00:00:00"/>
    <x v="2"/>
    <s v="Plant B"/>
    <x v="0"/>
    <x v="3"/>
    <x v="2"/>
    <x v="3"/>
    <s v="B260128-0349"/>
    <s v="OP125"/>
    <n v="763"/>
    <n v="645"/>
    <n v="615"/>
    <n v="30"/>
    <n v="12"/>
    <n v="38"/>
    <s v="Setup Time"/>
    <n v="49"/>
    <n v="49"/>
    <n v="76.7"/>
    <n v="2.0099999999999998"/>
    <n v="28.37"/>
    <n v="14361.44"/>
    <n v="7.88"/>
    <s v="Scheduled"/>
    <n v="23"/>
    <n v="23674.9"/>
    <n v="0.95348837209302295"/>
    <n v="18162.77"/>
    <n v="267.18958139534902"/>
    <n v="623.11666666666702"/>
    <n v="0.93901623558991099"/>
    <n v="5244.9404186046504"/>
    <n v="0.84534731323722145"/>
    <n v="4.6511627906976744E-2"/>
    <n v="1.8604651162790697E-2"/>
    <n v="0.95348837209302328"/>
    <n v="0.6333333333333333"/>
    <n v="585.11666666666702"/>
    <n v="1.1023442618281247"/>
    <n v="1.2244897959183674"/>
    <n v="0.90024781382630181"/>
    <n v="0.95348837209302328"/>
    <n v="0.8060288335517688"/>
    <n v="28.159333333333333"/>
    <n v="8.1316905714800782"/>
    <s v="Medium"/>
    <s v="Warning"/>
  </r>
  <r>
    <n v="350"/>
    <d v="2026-04-08T00:00:00"/>
    <x v="5"/>
    <s v="Plant B"/>
    <x v="3"/>
    <x v="8"/>
    <x v="0"/>
    <x v="3"/>
    <s v="B260408-0350"/>
    <s v="OP108"/>
    <n v="665"/>
    <n v="622"/>
    <n v="583"/>
    <n v="39"/>
    <n v="14"/>
    <n v="14"/>
    <s v="Setup Time"/>
    <n v="49"/>
    <n v="51"/>
    <n v="75"/>
    <n v="2.37"/>
    <n v="20.75"/>
    <n v="13174.72"/>
    <n v="7.93"/>
    <s v="Completed"/>
    <n v="18"/>
    <n v="22514.6"/>
    <n v="0.93729903536977499"/>
    <n v="16929.97"/>
    <n v="296.53710610932501"/>
    <n v="543.08333333333303"/>
    <n v="0.97422126745435"/>
    <n v="5288.09289389067"/>
    <n v="0.93533834586466169"/>
    <n v="6.2700964630225078E-2"/>
    <n v="2.2508038585209004E-2"/>
    <n v="0.93729903536977488"/>
    <n v="0.23333333333333334"/>
    <n v="529.08333333333303"/>
    <n v="1.1756182075917474"/>
    <n v="1.2244897959183674"/>
    <n v="0.96008820286659369"/>
    <n v="0.93729903536977488"/>
    <n v="0.87669172932330863"/>
    <n v="27.218601286173634"/>
    <n v="8.5017570641329101"/>
    <s v="Low"/>
    <s v="Normal"/>
  </r>
  <r>
    <n v="351"/>
    <d v="2026-06-23T00:00:00"/>
    <x v="0"/>
    <s v="Plant A"/>
    <x v="2"/>
    <x v="9"/>
    <x v="1"/>
    <x v="0"/>
    <s v="B260623-0351"/>
    <s v="OP126"/>
    <n v="724"/>
    <n v="655"/>
    <n v="624"/>
    <n v="31"/>
    <n v="12"/>
    <n v="23"/>
    <s v="Setup Time"/>
    <n v="42"/>
    <n v="45"/>
    <n v="72"/>
    <n v="1.85"/>
    <n v="25.68"/>
    <n v="11839.61"/>
    <n v="9.4700000000000006"/>
    <s v="Completed"/>
    <n v="17"/>
    <n v="20563.259999999998"/>
    <n v="0.95267175572519103"/>
    <n v="16332.23"/>
    <n v="216.90888549618299"/>
    <n v="506.8"/>
    <n v="0.95461720599842204"/>
    <n v="4014.1211145038101"/>
    <n v="0.90469613259668513"/>
    <n v="4.732824427480916E-2"/>
    <n v="1.8320610687022901E-2"/>
    <n v="0.95267175572519081"/>
    <n v="0.38333333333333336"/>
    <n v="483.8"/>
    <n v="1.3538652335675898"/>
    <n v="1.4285714285714286"/>
    <n v="0.94770566349731289"/>
    <n v="0.95267175572519081"/>
    <n v="0.8618784530386745"/>
    <n v="24.934702290076334"/>
    <n v="6.1284291824485653"/>
    <s v="Low"/>
    <s v="Normal"/>
  </r>
  <r>
    <n v="352"/>
    <d v="2026-06-30T00:00:00"/>
    <x v="0"/>
    <s v="Plant B"/>
    <x v="3"/>
    <x v="7"/>
    <x v="0"/>
    <x v="2"/>
    <s v="B260630-0352"/>
    <s v="OP104"/>
    <n v="657"/>
    <n v="593"/>
    <n v="558"/>
    <n v="35"/>
    <n v="8"/>
    <n v="26"/>
    <s v="Quality Inspection"/>
    <n v="64"/>
    <n v="69"/>
    <n v="71.5"/>
    <n v="1.91"/>
    <n v="21.68"/>
    <n v="19451.54"/>
    <n v="8.4600000000000009"/>
    <s v="Scheduled"/>
    <n v="19"/>
    <n v="29870.92"/>
    <n v="0.94097807757166996"/>
    <n v="23453.66"/>
    <n v="262.41537942664399"/>
    <n v="700.8"/>
    <n v="0.96289954337899497"/>
    <n v="6154.8446205733499"/>
    <n v="0.9025875190258752"/>
    <n v="5.9021922428330521E-2"/>
    <n v="1.3490725126475547E-2"/>
    <n v="0.94097807757166951"/>
    <n v="0.43333333333333335"/>
    <n v="674.8"/>
    <n v="0.87877889745109672"/>
    <n v="0.9375"/>
    <n v="0.93736415728116984"/>
    <n v="0.94097807757166951"/>
    <n v="0.84931506849315042"/>
    <n v="39.550860033726813"/>
    <n v="10.37916462154022"/>
    <s v="Medium"/>
    <s v="Warning"/>
  </r>
  <r>
    <n v="353"/>
    <d v="2026-05-21T00:00:00"/>
    <x v="3"/>
    <s v="Plant B"/>
    <x v="4"/>
    <x v="13"/>
    <x v="1"/>
    <x v="2"/>
    <s v="B260521-0353"/>
    <s v="OP126"/>
    <n v="550"/>
    <n v="457"/>
    <n v="425"/>
    <n v="32"/>
    <n v="6"/>
    <n v="8"/>
    <s v="Setup Time"/>
    <n v="64"/>
    <n v="68"/>
    <n v="71.3"/>
    <n v="1.72"/>
    <n v="18.73"/>
    <n v="14429.88"/>
    <n v="7.57"/>
    <s v="Scheduled"/>
    <n v="22"/>
    <n v="22076.720000000001"/>
    <n v="0.92997811816192599"/>
    <n v="18004.95"/>
    <n v="189.45137855579901"/>
    <n v="586.66666666666697"/>
    <n v="0.986363636363636"/>
    <n v="3882.3186214442098"/>
    <n v="0.83090909090909093"/>
    <n v="7.0021881838074396E-2"/>
    <n v="1.3129102844638949E-2"/>
    <n v="0.92997811816192555"/>
    <n v="0.13333333333333333"/>
    <n v="578.66666666666697"/>
    <n v="0.78974654377880138"/>
    <n v="0.9375"/>
    <n v="0.84239631336405485"/>
    <n v="0.92997811816192555"/>
    <n v="0.77272727272727193"/>
    <n v="39.398140043763675"/>
    <n v="8.4952267427663237"/>
    <s v="High"/>
    <s v="Warning"/>
  </r>
  <r>
    <n v="354"/>
    <d v="2026-02-07T00:00:00"/>
    <x v="4"/>
    <s v="Plant A"/>
    <x v="3"/>
    <x v="11"/>
    <x v="0"/>
    <x v="1"/>
    <s v="B260207-0354"/>
    <s v="OP124"/>
    <n v="732"/>
    <n v="701"/>
    <n v="642"/>
    <n v="59"/>
    <n v="13"/>
    <n v="41"/>
    <s v="Power Failure"/>
    <n v="45"/>
    <n v="49"/>
    <n v="74"/>
    <n v="2.02"/>
    <n v="23.15"/>
    <n v="14629.34"/>
    <n v="8.77"/>
    <s v="Overdue"/>
    <n v="43"/>
    <n v="22641.18"/>
    <n v="0.91583452211127003"/>
    <n v="18784.189999999999"/>
    <n v="271.30017118402299"/>
    <n v="549"/>
    <n v="0.925318761384335"/>
    <n v="3585.68982881598"/>
    <n v="0.95765027322404372"/>
    <n v="8.4165477888730383E-2"/>
    <n v="1.8544935805991442E-2"/>
    <n v="0.91583452211126959"/>
    <n v="0.68333333333333335"/>
    <n v="508"/>
    <n v="1.3799212598425197"/>
    <n v="1.3333333333333333"/>
    <n v="1.0349409448818898"/>
    <n v="0.91583452211126959"/>
    <n v="0.87704918032786872"/>
    <n v="26.796276747503565"/>
    <n v="5.1151067458145221"/>
    <s v="High"/>
    <s v="Warning"/>
  </r>
  <r>
    <n v="355"/>
    <d v="2026-04-14T00:00:00"/>
    <x v="5"/>
    <s v="Plant A"/>
    <x v="0"/>
    <x v="3"/>
    <x v="0"/>
    <x v="4"/>
    <s v="B260414-0355"/>
    <s v="OP112"/>
    <n v="687"/>
    <n v="769"/>
    <n v="741"/>
    <n v="28"/>
    <n v="8"/>
    <n v="0"/>
    <s v="No Downtime"/>
    <n v="57"/>
    <n v="60"/>
    <n v="75"/>
    <n v="2.2200000000000002"/>
    <n v="21.65"/>
    <n v="20188.38"/>
    <n v="10.43"/>
    <s v="Overdue"/>
    <n v="29"/>
    <n v="33523.449999999997"/>
    <n v="0.96358907672301697"/>
    <n v="25076.73"/>
    <n v="210.02215864759401"/>
    <n v="652.65"/>
    <n v="1"/>
    <n v="8236.6978413523993"/>
    <n v="1.1193595342066958"/>
    <n v="3.6410923276983094E-2"/>
    <n v="1.0403120936280884E-2"/>
    <n v="0.96358907672301686"/>
    <n v="0"/>
    <n v="652.65"/>
    <n v="1.178273193901785"/>
    <n v="1.0526315789473684"/>
    <n v="1.1193595342066958"/>
    <n v="0.96358907672301686"/>
    <n v="1.0786026200873362"/>
    <n v="32.609531859557869"/>
    <n v="10.710920469899088"/>
    <s v="High"/>
    <s v="Normal"/>
  </r>
  <r>
    <n v="356"/>
    <d v="2026-05-31T00:00:00"/>
    <x v="3"/>
    <s v="Plant B"/>
    <x v="4"/>
    <x v="12"/>
    <x v="1"/>
    <x v="1"/>
    <s v="B260531-0356"/>
    <s v="OP112"/>
    <n v="876"/>
    <n v="748"/>
    <n v="663"/>
    <n v="85"/>
    <n v="32"/>
    <n v="29"/>
    <s v="Material Shortage"/>
    <n v="45"/>
    <n v="49"/>
    <n v="81.099999999999994"/>
    <n v="2.89"/>
    <n v="30.19"/>
    <n v="14531.6"/>
    <n v="8.51"/>
    <s v="Scheduled"/>
    <n v="38"/>
    <n v="23648.9"/>
    <n v="0.88636363636363602"/>
    <n v="18632.810000000001"/>
    <n v="621.672727272727"/>
    <n v="657"/>
    <n v="0.95585996955859998"/>
    <n v="4394.4172727272799"/>
    <n v="0.85388127853881279"/>
    <n v="0.11363636363636363"/>
    <n v="4.2780748663101602E-2"/>
    <n v="0.88636363636363635"/>
    <n v="0.48333333333333334"/>
    <n v="628"/>
    <n v="1.1910828025477707"/>
    <n v="1.3333333333333333"/>
    <n v="0.89331210191082799"/>
    <n v="0.88636363636363635"/>
    <n v="0.7568493150684934"/>
    <n v="24.910173796791444"/>
    <n v="5.8748894020418181"/>
    <s v="High"/>
    <s v="Warning"/>
  </r>
  <r>
    <n v="357"/>
    <d v="2026-06-16T00:00:00"/>
    <x v="0"/>
    <s v="Plant A"/>
    <x v="3"/>
    <x v="11"/>
    <x v="2"/>
    <x v="0"/>
    <s v="B260616-0357"/>
    <s v="OP112"/>
    <n v="722"/>
    <n v="575"/>
    <n v="522"/>
    <n v="53"/>
    <n v="14"/>
    <n v="15"/>
    <s v="Machine Breakdown"/>
    <n v="42"/>
    <n v="43"/>
    <n v="68.3"/>
    <n v="3.34"/>
    <n v="20.95"/>
    <n v="11205.83"/>
    <n v="5.73"/>
    <s v="Completed"/>
    <n v="25"/>
    <n v="17151.21"/>
    <n v="0.907826086956522"/>
    <n v="13972.88"/>
    <n v="272.83760000000001"/>
    <n v="505.4"/>
    <n v="0.97032053818757402"/>
    <n v="2905.4924000000001"/>
    <n v="0.79639889196675895"/>
    <n v="9.2173913043478259E-2"/>
    <n v="2.4347826086956521E-2"/>
    <n v="0.90782608695652178"/>
    <n v="0.25"/>
    <n v="490.4"/>
    <n v="1.1725122349102775"/>
    <n v="1.4285714285714286"/>
    <n v="0.82075856443719419"/>
    <n v="0.90782608695652178"/>
    <n v="0.7229916897506925"/>
    <n v="24.300660869565217"/>
    <n v="5.0530302608695656"/>
    <s v="High"/>
    <s v="Critical"/>
  </r>
  <r>
    <n v="358"/>
    <d v="2026-05-13T00:00:00"/>
    <x v="3"/>
    <s v="Plant B"/>
    <x v="2"/>
    <x v="10"/>
    <x v="0"/>
    <x v="4"/>
    <s v="B260513-0358"/>
    <s v="OP121"/>
    <n v="653"/>
    <n v="656"/>
    <n v="598"/>
    <n v="58"/>
    <n v="22"/>
    <n v="48"/>
    <s v="Preventive Maintenance"/>
    <n v="57"/>
    <n v="62"/>
    <n v="73.3"/>
    <n v="2.1800000000000002"/>
    <n v="22.14"/>
    <n v="18152.72"/>
    <n v="9.19"/>
    <s v="Completed"/>
    <n v="31"/>
    <n v="27886.13"/>
    <n v="0.91158536585365901"/>
    <n v="22487.48"/>
    <n v="608.780243902439"/>
    <n v="620.35"/>
    <n v="0.92262432497783498"/>
    <n v="4789.8697560975597"/>
    <n v="1.004594180704441"/>
    <n v="8.8414634146341459E-2"/>
    <n v="3.3536585365853661E-2"/>
    <n v="0.91158536585365857"/>
    <n v="0.8"/>
    <n v="572.35"/>
    <n v="1.1461518301738447"/>
    <n v="1.0526315789473684"/>
    <n v="1.0888442386651525"/>
    <n v="0.91158536585365857"/>
    <n v="0.91577335375191415"/>
    <n v="34.279695121951221"/>
    <n v="7.3016307257584749"/>
    <s v="Medium"/>
    <s v="Warning"/>
  </r>
  <r>
    <n v="359"/>
    <d v="2026-04-19T00:00:00"/>
    <x v="5"/>
    <s v="Plant A"/>
    <x v="2"/>
    <x v="10"/>
    <x v="0"/>
    <x v="4"/>
    <s v="B260419-0359"/>
    <s v="OP111"/>
    <n v="622"/>
    <n v="589"/>
    <n v="531"/>
    <n v="58"/>
    <n v="18"/>
    <n v="24"/>
    <s v="Machine Breakdown"/>
    <n v="57"/>
    <n v="59"/>
    <n v="69.099999999999994"/>
    <n v="1.71"/>
    <n v="22.78"/>
    <n v="15544.5"/>
    <n v="9.39"/>
    <s v="Completed"/>
    <n v="40"/>
    <n v="24847.759999999998"/>
    <n v="0.90152801358234302"/>
    <n v="19975.02"/>
    <n v="475.04414261460101"/>
    <n v="590.9"/>
    <n v="0.959383990522931"/>
    <n v="4397.6958573853999"/>
    <n v="0.94694533762057875"/>
    <n v="9.8471986417657045E-2"/>
    <n v="3.0560271646859084E-2"/>
    <n v="0.90152801358234291"/>
    <n v="0.4"/>
    <n v="566.9"/>
    <n v="1.0389839477862057"/>
    <n v="1.0526315789473684"/>
    <n v="0.98703475039689548"/>
    <n v="0.90152801358234291"/>
    <n v="0.85369774919614139"/>
    <n v="33.913446519524619"/>
    <n v="7.4663766678869266"/>
    <s v="Medium"/>
    <s v="Warning"/>
  </r>
  <r>
    <n v="360"/>
    <d v="2026-04-08T00:00:00"/>
    <x v="5"/>
    <s v="Plant A"/>
    <x v="2"/>
    <x v="4"/>
    <x v="0"/>
    <x v="0"/>
    <s v="B260408-0360"/>
    <s v="OP108"/>
    <n v="928"/>
    <n v="840"/>
    <n v="794"/>
    <n v="46"/>
    <n v="12"/>
    <n v="13"/>
    <s v="Material Shortage"/>
    <n v="42"/>
    <n v="42"/>
    <n v="74.400000000000006"/>
    <n v="1.85"/>
    <n v="34.75"/>
    <n v="14803.41"/>
    <n v="9.2799999999999994"/>
    <s v="Completed"/>
    <n v="11"/>
    <n v="25756.080000000002"/>
    <n v="0.94523809523809499"/>
    <n v="19292.16"/>
    <n v="211.47728571428601"/>
    <n v="649.6"/>
    <n v="0.97998768472906395"/>
    <n v="6252.4427142857203"/>
    <n v="0.90517241379310343"/>
    <n v="5.4761904761904762E-2"/>
    <n v="1.4285714285714285E-2"/>
    <n v="0.94523809523809521"/>
    <n v="0.21666666666666667"/>
    <n v="636.6"/>
    <n v="1.3195098963242224"/>
    <n v="1.4285714285714286"/>
    <n v="0.92365692742695571"/>
    <n v="0.94523809523809521"/>
    <n v="0.85560344827586188"/>
    <n v="22.966857142857144"/>
    <n v="7.4433841836734764"/>
    <s v="Low"/>
    <s v="Normal"/>
  </r>
  <r>
    <n v="361"/>
    <d v="2026-03-20T00:00:00"/>
    <x v="1"/>
    <s v="Plant B"/>
    <x v="0"/>
    <x v="0"/>
    <x v="0"/>
    <x v="4"/>
    <s v="B260320-0361"/>
    <s v="OP119"/>
    <n v="661"/>
    <n v="658"/>
    <n v="628"/>
    <n v="30"/>
    <n v="12"/>
    <n v="23"/>
    <s v="Material Shortage"/>
    <n v="57"/>
    <n v="61"/>
    <n v="80.2"/>
    <n v="1.71"/>
    <n v="23.22"/>
    <n v="17571.830000000002"/>
    <n v="9.42"/>
    <s v="Pending"/>
    <n v="27"/>
    <n v="29161.1"/>
    <n v="0.95440729483282705"/>
    <n v="22019.81"/>
    <n v="320.458905775076"/>
    <n v="627.95000000000005"/>
    <n v="0.96337288000637"/>
    <n v="6820.83109422492"/>
    <n v="0.9954614220877458"/>
    <n v="4.5592705167173252E-2"/>
    <n v="1.82370820668693E-2"/>
    <n v="0.95440729483282671"/>
    <n v="0.38333333333333336"/>
    <n v="604.95000000000005"/>
    <n v="1.0876931977849409"/>
    <n v="1.0526315789473684"/>
    <n v="1.0333085378956939"/>
    <n v="0.95440729483282671"/>
    <n v="0.9500756429652043"/>
    <n v="33.464756838905778"/>
    <n v="10.366004702469484"/>
    <s v="Medium"/>
    <s v="Warning"/>
  </r>
  <r>
    <n v="362"/>
    <d v="2026-02-06T00:00:00"/>
    <x v="4"/>
    <s v="Plant B"/>
    <x v="2"/>
    <x v="9"/>
    <x v="0"/>
    <x v="2"/>
    <s v="B260206-0362"/>
    <s v="OP124"/>
    <n v="631"/>
    <n v="632"/>
    <n v="601"/>
    <n v="31"/>
    <n v="13"/>
    <n v="13"/>
    <s v="Power Failure"/>
    <n v="64"/>
    <n v="65"/>
    <n v="68.599999999999994"/>
    <n v="2.46"/>
    <n v="22.8"/>
    <n v="20588.400000000001"/>
    <n v="7.97"/>
    <s v="Scheduled"/>
    <n v="4"/>
    <n v="30477.47"/>
    <n v="0.950949367088608"/>
    <n v="24380.1"/>
    <n v="423.49556962025298"/>
    <n v="673.06666666666695"/>
    <n v="0.98068541996830405"/>
    <n v="5673.8744303797503"/>
    <n v="1.0015847860538827"/>
    <n v="4.9050632911392403E-2"/>
    <n v="2.0569620253164556E-2"/>
    <n v="0.95094936708860756"/>
    <n v="0.21666666666666667"/>
    <n v="660.06666666666695"/>
    <n v="0.95747904252095706"/>
    <n v="0.9375"/>
    <n v="1.0213109786890209"/>
    <n v="0.95094936708860756"/>
    <n v="0.95245641838351747"/>
    <n v="38.576107594936708"/>
    <n v="8.977649415157833"/>
    <s v="Low"/>
    <s v="Normal"/>
  </r>
  <r>
    <n v="363"/>
    <d v="2026-03-20T00:00:00"/>
    <x v="1"/>
    <s v="Plant B"/>
    <x v="4"/>
    <x v="14"/>
    <x v="1"/>
    <x v="0"/>
    <s v="B260320-0363"/>
    <s v="OP116"/>
    <n v="767"/>
    <n v="672"/>
    <n v="612"/>
    <n v="60"/>
    <n v="18"/>
    <n v="42"/>
    <s v="Tool Change"/>
    <n v="42"/>
    <n v="43"/>
    <n v="62.9"/>
    <n v="1.65"/>
    <n v="26.46"/>
    <n v="13010.95"/>
    <n v="8.33"/>
    <s v="Pending"/>
    <n v="42"/>
    <n v="19720.64"/>
    <n v="0.91071428571428603"/>
    <n v="16997.59"/>
    <n v="348.507589285714"/>
    <n v="536.9"/>
    <n v="0.92177314211212502"/>
    <n v="2374.5424107142899"/>
    <n v="0.87614080834419816"/>
    <n v="8.9285714285714288E-2"/>
    <n v="2.6785714285714284E-2"/>
    <n v="0.9107142857142857"/>
    <n v="0.7"/>
    <n v="494.9"/>
    <n v="1.3578500707213579"/>
    <n v="1.4285714285714286"/>
    <n v="0.95049504950495045"/>
    <n v="0.9107142857142857"/>
    <n v="0.79791395045632318"/>
    <n v="25.29403273809524"/>
    <n v="3.5335452540391219"/>
    <s v="High"/>
    <s v="Warning"/>
  </r>
  <r>
    <n v="364"/>
    <d v="2026-01-02T00:00:00"/>
    <x v="2"/>
    <s v="Plant B"/>
    <x v="2"/>
    <x v="9"/>
    <x v="0"/>
    <x v="2"/>
    <s v="B260102-0364"/>
    <s v="OP134"/>
    <n v="625"/>
    <n v="603"/>
    <n v="574"/>
    <n v="29"/>
    <n v="6"/>
    <n v="0"/>
    <s v="No Downtime"/>
    <n v="64"/>
    <n v="67"/>
    <n v="76.5"/>
    <n v="1.68"/>
    <n v="23.46"/>
    <n v="19707.990000000002"/>
    <n v="8.2899999999999991"/>
    <s v="Scheduled"/>
    <n v="30"/>
    <n v="29621.07"/>
    <n v="0.95190713101160895"/>
    <n v="23649.63"/>
    <n v="196.09940298507499"/>
    <n v="666.66666666666697"/>
    <n v="1"/>
    <n v="5775.3405970149197"/>
    <n v="0.96479999999999999"/>
    <n v="4.809286898839138E-2"/>
    <n v="9.9502487562189053E-3"/>
    <n v="0.95190713101160862"/>
    <n v="0"/>
    <n v="666.66666666666697"/>
    <n v="0.90449999999999964"/>
    <n v="0.9375"/>
    <n v="0.96479999999999966"/>
    <n v="0.95190713101160862"/>
    <n v="0.91839999999999966"/>
    <n v="39.21995024875622"/>
    <n v="9.5776792653647096"/>
    <s v="Medium"/>
    <s v="Normal"/>
  </r>
  <r>
    <n v="365"/>
    <d v="2026-01-29T00:00:00"/>
    <x v="2"/>
    <s v="Plant B"/>
    <x v="3"/>
    <x v="11"/>
    <x v="2"/>
    <x v="2"/>
    <s v="B260129-0365"/>
    <s v="OP119"/>
    <n v="526"/>
    <n v="506"/>
    <n v="456"/>
    <n v="50"/>
    <n v="20"/>
    <n v="24"/>
    <s v="Material Shortage"/>
    <n v="64"/>
    <n v="72"/>
    <n v="66.599999999999994"/>
    <n v="1.1599999999999999"/>
    <n v="20.64"/>
    <n v="14755.93"/>
    <n v="8.39"/>
    <s v="Completed"/>
    <n v="23"/>
    <n v="23153.1"/>
    <n v="0.90118577075098805"/>
    <n v="18717.189999999999"/>
    <n v="583.23833992094899"/>
    <n v="561.06666666666695"/>
    <n v="0.95722433460076095"/>
    <n v="3852.6716600790501"/>
    <n v="0.96197718631178708"/>
    <n v="9.8814229249011856E-2"/>
    <n v="3.9525691699604744E-2"/>
    <n v="0.90118577075098816"/>
    <n v="0.4"/>
    <n v="537.06666666666695"/>
    <n v="0.94215491559086351"/>
    <n v="0.9375"/>
    <n v="1.0049652432969212"/>
    <n v="0.90118577075098816"/>
    <n v="0.86692015209125484"/>
    <n v="36.990494071146244"/>
    <n v="7.6139756128044471"/>
    <s v="Medium"/>
    <s v="Warning"/>
  </r>
  <r>
    <n v="366"/>
    <d v="2026-03-31T00:00:00"/>
    <x v="1"/>
    <s v="Plant A"/>
    <x v="1"/>
    <x v="2"/>
    <x v="0"/>
    <x v="3"/>
    <s v="B260331-0366"/>
    <s v="OP113"/>
    <n v="663"/>
    <n v="659"/>
    <n v="630"/>
    <n v="29"/>
    <n v="8"/>
    <n v="34"/>
    <s v="Setup Time"/>
    <n v="49"/>
    <n v="47"/>
    <n v="72.5"/>
    <n v="1.72"/>
    <n v="23.98"/>
    <n v="14561.37"/>
    <n v="8.0399999999999991"/>
    <s v="Overdue"/>
    <n v="21"/>
    <n v="24164.48"/>
    <n v="0.95599393019726897"/>
    <n v="18395.189999999999"/>
    <n v="176.769286798179"/>
    <n v="541.45000000000005"/>
    <n v="0.93720565149136603"/>
    <n v="5592.5207132018204"/>
    <n v="0.99396681749622928"/>
    <n v="4.4006069802731411E-2"/>
    <n v="1.2139605462822459E-2"/>
    <n v="0.95599393019726864"/>
    <n v="0.56666666666666665"/>
    <n v="507.45000000000005"/>
    <n v="1.2986501133116561"/>
    <n v="1.2244897959183674"/>
    <n v="1.0605642592045192"/>
    <n v="0.95599393019726864"/>
    <n v="0.95022624434389169"/>
    <n v="27.913793626707129"/>
    <n v="8.4863743751165703"/>
    <s v="High"/>
    <s v="Normal"/>
  </r>
  <r>
    <n v="367"/>
    <d v="2026-04-23T00:00:00"/>
    <x v="5"/>
    <s v="Plant A"/>
    <x v="3"/>
    <x v="7"/>
    <x v="1"/>
    <x v="0"/>
    <s v="B260423-0367"/>
    <s v="OP113"/>
    <n v="776"/>
    <n v="682"/>
    <n v="655"/>
    <n v="27"/>
    <n v="8"/>
    <n v="28"/>
    <s v="Quality Inspection"/>
    <n v="42"/>
    <n v="46"/>
    <n v="74.8"/>
    <n v="1.39"/>
    <n v="25.85"/>
    <n v="12941.49"/>
    <n v="7.27"/>
    <s v="Pending"/>
    <n v="35"/>
    <n v="21440.11"/>
    <n v="0.96041055718475099"/>
    <n v="16445.64"/>
    <n v="151.80633431084999"/>
    <n v="543.20000000000005"/>
    <n v="0.94845360824742297"/>
    <n v="4842.6636656891496"/>
    <n v="0.87886597938144329"/>
    <n v="3.9589442815249266E-2"/>
    <n v="1.1730205278592375E-2"/>
    <n v="0.96041055718475077"/>
    <n v="0.46666666666666667"/>
    <n v="515.20000000000005"/>
    <n v="1.3237577639751552"/>
    <n v="1.4285714285714286"/>
    <n v="0.92663043478260865"/>
    <n v="0.96041055718475077"/>
    <n v="0.84407216494845383"/>
    <n v="24.113841642228738"/>
    <n v="7.1006798617142959"/>
    <s v="Medium"/>
    <s v="Warning"/>
  </r>
  <r>
    <n v="368"/>
    <d v="2026-05-09T00:00:00"/>
    <x v="3"/>
    <s v="Plant B"/>
    <x v="3"/>
    <x v="8"/>
    <x v="2"/>
    <x v="1"/>
    <s v="B260509-0368"/>
    <s v="OP109"/>
    <n v="759"/>
    <n v="599"/>
    <n v="561"/>
    <n v="38"/>
    <n v="11"/>
    <n v="46"/>
    <s v="Machine Breakdown"/>
    <n v="45"/>
    <n v="50"/>
    <n v="65.900000000000006"/>
    <n v="2.35"/>
    <n v="20.73"/>
    <n v="12174.81"/>
    <n v="7.29"/>
    <s v="Pending"/>
    <n v="26"/>
    <n v="19266.09"/>
    <n v="0.93656093489148595"/>
    <n v="15641.88"/>
    <n v="223.577479131887"/>
    <n v="569.25"/>
    <n v="0.919191919191919"/>
    <n v="3400.6325208681101"/>
    <n v="0.7891963109354414"/>
    <n v="6.3439065108514187E-2"/>
    <n v="1.8363939899833055E-2"/>
    <n v="0.93656093489148584"/>
    <n v="0.76666666666666672"/>
    <n v="523.25"/>
    <n v="1.1447682752030579"/>
    <n v="1.3333333333333333"/>
    <n v="0.85857620640229348"/>
    <n v="0.93656093489148584"/>
    <n v="0.73913043478260865"/>
    <n v="26.113322203672787"/>
    <n v="5.6771828395127049"/>
    <s v="High"/>
    <s v="Critical"/>
  </r>
  <r>
    <n v="369"/>
    <d v="2026-03-13T00:00:00"/>
    <x v="1"/>
    <s v="Plant A"/>
    <x v="4"/>
    <x v="12"/>
    <x v="0"/>
    <x v="1"/>
    <s v="B260313-0369"/>
    <s v="OP113"/>
    <n v="922"/>
    <n v="881"/>
    <n v="759"/>
    <n v="122"/>
    <n v="47"/>
    <n v="19"/>
    <s v="Machine Breakdown"/>
    <n v="45"/>
    <n v="50"/>
    <n v="77"/>
    <n v="3.48"/>
    <n v="30.09"/>
    <n v="18494.3"/>
    <n v="9.9700000000000006"/>
    <s v="Scheduled"/>
    <n v="51"/>
    <n v="26447.17"/>
    <n v="0.86152099886492595"/>
    <n v="23251.61"/>
    <n v="986.64256526674205"/>
    <n v="691.5"/>
    <n v="0.97252349963846696"/>
    <n v="2208.9174347332601"/>
    <n v="0.95553145336225598"/>
    <n v="0.13847900113507378"/>
    <n v="5.3348467650397274E-2"/>
    <n v="0.86152099886492617"/>
    <n v="0.31666666666666665"/>
    <n v="672.5"/>
    <n v="1.3100371747211896"/>
    <n v="1.3333333333333333"/>
    <n v="0.98252788104089228"/>
    <n v="0.86152099886492617"/>
    <n v="0.82321041214750534"/>
    <n v="26.392292849035186"/>
    <n v="2.5072842618992737"/>
    <s v="High"/>
    <s v="Warning"/>
  </r>
  <r>
    <n v="370"/>
    <d v="2026-01-16T00:00:00"/>
    <x v="2"/>
    <s v="Plant B"/>
    <x v="0"/>
    <x v="1"/>
    <x v="0"/>
    <x v="3"/>
    <s v="B260116-0370"/>
    <s v="OP123"/>
    <n v="834"/>
    <n v="778"/>
    <n v="739"/>
    <n v="39"/>
    <n v="13"/>
    <n v="31"/>
    <s v="Machine Breakdown"/>
    <n v="49"/>
    <n v="52"/>
    <n v="70.2"/>
    <n v="2.4"/>
    <n v="27.54"/>
    <n v="17098.099999999999"/>
    <n v="7.75"/>
    <s v="Completed"/>
    <n v="32"/>
    <n v="28366.66"/>
    <n v="0.94987146529563005"/>
    <n v="20833.46"/>
    <n v="285.70089974293103"/>
    <n v="681.1"/>
    <n v="0.95448539127881404"/>
    <n v="7247.4991002570696"/>
    <n v="0.93285371702637887"/>
    <n v="5.0128534704370183E-2"/>
    <n v="1.6709511568123392E-2"/>
    <n v="0.94987146529562982"/>
    <n v="0.51666666666666672"/>
    <n v="650.1"/>
    <n v="1.1967389632364251"/>
    <n v="1.2244897959183674"/>
    <n v="0.97733681997641386"/>
    <n v="0.94987146529562982"/>
    <n v="0.88609112709832161"/>
    <n v="26.778226221079692"/>
    <n v="9.315551542746876"/>
    <s v="Medium"/>
    <s v="Normal"/>
  </r>
  <r>
    <n v="371"/>
    <d v="2026-06-24T00:00:00"/>
    <x v="0"/>
    <s v="Plant A"/>
    <x v="4"/>
    <x v="13"/>
    <x v="1"/>
    <x v="3"/>
    <s v="B260624-0371"/>
    <s v="OP134"/>
    <n v="810"/>
    <n v="639"/>
    <n v="595"/>
    <n v="44"/>
    <n v="17"/>
    <n v="42"/>
    <s v="Machine Breakdown"/>
    <n v="49"/>
    <n v="48"/>
    <n v="67.099999999999994"/>
    <n v="3.22"/>
    <n v="21.71"/>
    <n v="13380.92"/>
    <n v="8.1300000000000008"/>
    <s v="Pending"/>
    <n v="21"/>
    <n v="22340.68"/>
    <n v="0.93114241001565001"/>
    <n v="17234.810000000001"/>
    <n v="355.98691705790299"/>
    <n v="661.5"/>
    <n v="0.93650793650793696"/>
    <n v="4749.8830829421004"/>
    <n v="0.78888888888888886"/>
    <n v="6.8857589984350542E-2"/>
    <n v="2.6604068857589983E-2"/>
    <n v="0.93114241001564946"/>
    <n v="0.7"/>
    <n v="619.5"/>
    <n v="1.0314769975786926"/>
    <n v="1.2244897959183674"/>
    <n v="0.84237288135593225"/>
    <n v="0.93114241001564946"/>
    <n v="0.73456790123456828"/>
    <n v="26.971533646322381"/>
    <n v="7.4333068590643201"/>
    <s v="High"/>
    <s v="Critical"/>
  </r>
  <r>
    <n v="372"/>
    <d v="2026-05-02T00:00:00"/>
    <x v="3"/>
    <s v="Plant A"/>
    <x v="2"/>
    <x v="9"/>
    <x v="0"/>
    <x v="0"/>
    <s v="B260502-0372"/>
    <s v="OP127"/>
    <n v="849"/>
    <n v="831"/>
    <n v="800"/>
    <n v="31"/>
    <n v="9"/>
    <n v="24"/>
    <s v="Tool Change"/>
    <n v="42"/>
    <n v="42"/>
    <n v="67.3"/>
    <n v="2.5299999999999998"/>
    <n v="29.83"/>
    <n v="16208.18"/>
    <n v="9.6"/>
    <s v="Completed"/>
    <n v="32"/>
    <n v="25253.09"/>
    <n v="0.96269554753309305"/>
    <n v="20796.650000000001"/>
    <n v="175.539855595668"/>
    <n v="594.29999999999995"/>
    <n v="0.95961635537607304"/>
    <n v="4280.9001444043297"/>
    <n v="0.97879858657243812"/>
    <n v="3.7304452466907341E-2"/>
    <n v="1.0830324909747292E-2"/>
    <n v="0.96269554753309261"/>
    <n v="0.4"/>
    <n v="570.29999999999995"/>
    <n v="1.4571278274592321"/>
    <n v="1.4285714285714286"/>
    <n v="1.0199894792214623"/>
    <n v="0.96269554753309261"/>
    <n v="0.94228504122497081"/>
    <n v="25.026052948255117"/>
    <n v="5.1515043855647766"/>
    <s v="Medium"/>
    <s v="Normal"/>
  </r>
  <r>
    <n v="373"/>
    <d v="2026-02-03T00:00:00"/>
    <x v="4"/>
    <s v="Plant B"/>
    <x v="0"/>
    <x v="0"/>
    <x v="0"/>
    <x v="2"/>
    <s v="B260203-0373"/>
    <s v="OP113"/>
    <n v="639"/>
    <n v="645"/>
    <n v="610"/>
    <n v="35"/>
    <n v="8"/>
    <n v="21"/>
    <s v="Tool Change"/>
    <n v="64"/>
    <n v="62"/>
    <n v="74.3"/>
    <n v="1.64"/>
    <n v="19.309999999999999"/>
    <n v="20216.02"/>
    <n v="7.3"/>
    <s v="Pending"/>
    <n v="9"/>
    <n v="31744.35"/>
    <n v="0.94573643410852704"/>
    <n v="23674.81"/>
    <n v="250.74133333333299"/>
    <n v="681.6"/>
    <n v="0.96919014084507005"/>
    <n v="7818.7986666666602"/>
    <n v="1.0093896713615023"/>
    <n v="5.4263565891472867E-2"/>
    <n v="1.2403100775193798E-2"/>
    <n v="0.94573643410852715"/>
    <n v="0.35"/>
    <n v="660.6"/>
    <n v="0.97638510445049953"/>
    <n v="0.9375"/>
    <n v="1.0414774447471995"/>
    <n v="0.94573643410852715"/>
    <n v="0.954616588419405"/>
    <n v="36.705131782945742"/>
    <n v="12.122168475452186"/>
    <s v="Medium"/>
    <s v="Normal"/>
  </r>
  <r>
    <n v="374"/>
    <d v="2026-05-09T00:00:00"/>
    <x v="3"/>
    <s v="Plant B"/>
    <x v="4"/>
    <x v="14"/>
    <x v="0"/>
    <x v="3"/>
    <s v="B260509-0374"/>
    <s v="OP108"/>
    <n v="707"/>
    <n v="636"/>
    <n v="578"/>
    <n v="58"/>
    <n v="11"/>
    <n v="11"/>
    <s v="Preventive Maintenance"/>
    <n v="49"/>
    <n v="54"/>
    <n v="71.5"/>
    <n v="2.36"/>
    <n v="26.73"/>
    <n v="13505.03"/>
    <n v="6.82"/>
    <s v="Scheduled"/>
    <n v="19"/>
    <n v="22138.85"/>
    <n v="0.90880503144654101"/>
    <n v="16814.599999999999"/>
    <n v="233.57756289308199"/>
    <n v="577.38333333333298"/>
    <n v="0.98094853217100098"/>
    <n v="5090.6724371069204"/>
    <n v="0.89957567185289955"/>
    <n v="9.1194968553459113E-2"/>
    <n v="1.7295597484276729E-2"/>
    <n v="0.9088050314465409"/>
    <n v="0.18333333333333332"/>
    <n v="566.38333333333298"/>
    <n v="1.1229143983756591"/>
    <n v="1.2244897959183674"/>
    <n v="0.91704675867345486"/>
    <n v="0.9088050314465409"/>
    <n v="0.81753889674681768"/>
    <n v="26.438050314465407"/>
    <n v="8.0042019451366677"/>
    <s v="Medium"/>
    <s v="Warning"/>
  </r>
  <r>
    <n v="375"/>
    <d v="2026-04-05T00:00:00"/>
    <x v="5"/>
    <s v="Plant B"/>
    <x v="0"/>
    <x v="0"/>
    <x v="2"/>
    <x v="3"/>
    <s v="B260405-0375"/>
    <s v="OP109"/>
    <n v="829"/>
    <n v="694"/>
    <n v="664"/>
    <n v="30"/>
    <n v="10"/>
    <n v="65"/>
    <s v="Preventive Maintenance"/>
    <n v="49"/>
    <n v="49"/>
    <n v="78.400000000000006"/>
    <n v="1.99"/>
    <n v="31.98"/>
    <n v="15420.55"/>
    <n v="8.02"/>
    <s v="Scheduled"/>
    <n v="14"/>
    <n v="25906.69"/>
    <n v="0.95677233429394803"/>
    <n v="19317.37"/>
    <n v="222.19812680115299"/>
    <n v="677.01666666666699"/>
    <n v="0.90399054676152701"/>
    <n v="6367.1218731988502"/>
    <n v="0.8371531966224367"/>
    <n v="4.3227665706051875E-2"/>
    <n v="1.4409221902017291E-2"/>
    <n v="0.95677233429394815"/>
    <n v="1.0833333333333333"/>
    <n v="612.01666666666699"/>
    <n v="1.1339560469486119"/>
    <n v="1.2244897959183674"/>
    <n v="0.92606410500803304"/>
    <n v="0.95677233429394815"/>
    <n v="0.8009650180940886"/>
    <n v="27.834827089337175"/>
    <n v="9.1745271948110236"/>
    <s v="Medium"/>
    <s v="Warning"/>
  </r>
  <r>
    <n v="376"/>
    <d v="2026-03-07T00:00:00"/>
    <x v="1"/>
    <s v="Plant A"/>
    <x v="1"/>
    <x v="5"/>
    <x v="0"/>
    <x v="0"/>
    <s v="B260307-0376"/>
    <s v="OP126"/>
    <n v="799"/>
    <n v="794"/>
    <n v="762"/>
    <n v="32"/>
    <n v="7"/>
    <n v="19"/>
    <s v="Machine Breakdown"/>
    <n v="42"/>
    <n v="43"/>
    <n v="66.5"/>
    <n v="2.0499999999999998"/>
    <n v="29.49"/>
    <n v="14125.66"/>
    <n v="8.08"/>
    <s v="Completed"/>
    <n v="33"/>
    <n v="24947.64"/>
    <n v="0.95969773299748096"/>
    <n v="18027.07"/>
    <n v="124.53352644836301"/>
    <n v="559.29999999999995"/>
    <n v="0.96602896477739997"/>
    <n v="6796.0364735516396"/>
    <n v="0.99374217772215268"/>
    <n v="4.0302267002518891E-2"/>
    <n v="8.8161209068010078E-3"/>
    <n v="0.95969773299748107"/>
    <n v="0.31666666666666665"/>
    <n v="540.29999999999995"/>
    <n v="1.4695539515084213"/>
    <n v="1.4285714285714286"/>
    <n v="1.0286877660558948"/>
    <n v="0.95969773299748107"/>
    <n v="0.95369211514392949"/>
    <n v="22.704118387909318"/>
    <n v="8.5592398911229726"/>
    <s v="Medium"/>
    <s v="Normal"/>
  </r>
  <r>
    <n v="377"/>
    <d v="2026-04-11T00:00:00"/>
    <x v="5"/>
    <s v="Plant A"/>
    <x v="0"/>
    <x v="3"/>
    <x v="0"/>
    <x v="0"/>
    <s v="B260411-0377"/>
    <s v="OP126"/>
    <n v="771"/>
    <n v="763"/>
    <n v="729"/>
    <n v="34"/>
    <n v="7"/>
    <n v="45"/>
    <s v="Machine Breakdown"/>
    <n v="42"/>
    <n v="41"/>
    <n v="73.599999999999994"/>
    <n v="2.88"/>
    <n v="31.06"/>
    <n v="14858.42"/>
    <n v="9.08"/>
    <s v="Pending"/>
    <n v="37"/>
    <n v="22641.31"/>
    <n v="0.95543905635648796"/>
    <n v="19223.96"/>
    <n v="136.31577981651401"/>
    <n v="539.70000000000005"/>
    <n v="0.91662034463590902"/>
    <n v="3281.0342201834901"/>
    <n v="0.98962386511024647"/>
    <n v="4.456094364351245E-2"/>
    <n v="9.1743119266055051E-3"/>
    <n v="0.95543905635648751"/>
    <n v="0.75"/>
    <n v="494.70000000000005"/>
    <n v="1.5423488983222153"/>
    <n v="1.4285714285714286"/>
    <n v="1.0796442288255508"/>
    <n v="0.95543905635648751"/>
    <n v="0.94552529182879386"/>
    <n v="25.195229357798166"/>
    <n v="4.3001759111185978"/>
    <s v="Medium"/>
    <s v="Normal"/>
  </r>
  <r>
    <n v="378"/>
    <d v="2026-01-28T00:00:00"/>
    <x v="2"/>
    <s v="Plant B"/>
    <x v="0"/>
    <x v="3"/>
    <x v="0"/>
    <x v="1"/>
    <s v="B260128-0378"/>
    <s v="OP129"/>
    <n v="763"/>
    <n v="762"/>
    <n v="742"/>
    <n v="20"/>
    <n v="6"/>
    <n v="8"/>
    <s v="Tool Change"/>
    <n v="45"/>
    <n v="45"/>
    <n v="71"/>
    <n v="2.0099999999999998"/>
    <n v="22.92"/>
    <n v="15462.2"/>
    <n v="7.19"/>
    <s v="Completed"/>
    <n v="25"/>
    <n v="25544.11"/>
    <n v="0.97375328083989499"/>
    <n v="18903.98"/>
    <n v="121.749606299213"/>
    <n v="572.25"/>
    <n v="0.98602009611183905"/>
    <n v="6518.3803937007897"/>
    <n v="0.9986893840104849"/>
    <n v="2.6246719160104987E-2"/>
    <n v="7.874015748031496E-3"/>
    <n v="0.97375328083989499"/>
    <n v="0.13333333333333333"/>
    <n v="564.25"/>
    <n v="1.3504652193176783"/>
    <n v="1.3333333333333333"/>
    <n v="1.0128489144882589"/>
    <n v="0.97375328083989499"/>
    <n v="0.97247706422018343"/>
    <n v="24.808372703412072"/>
    <n v="8.5543049786099594"/>
    <s v="Low"/>
    <s v="Normal"/>
  </r>
  <r>
    <n v="379"/>
    <d v="2026-04-09T00:00:00"/>
    <x v="5"/>
    <s v="Plant A"/>
    <x v="4"/>
    <x v="12"/>
    <x v="0"/>
    <x v="2"/>
    <s v="B260409-0379"/>
    <s v="OP125"/>
    <n v="625"/>
    <n v="614"/>
    <n v="544"/>
    <n v="70"/>
    <n v="15"/>
    <n v="24"/>
    <s v="Machine Breakdown"/>
    <n v="64"/>
    <n v="73"/>
    <n v="81.599999999999994"/>
    <n v="2.54"/>
    <n v="21.77"/>
    <n v="18306.21"/>
    <n v="8.4499999999999993"/>
    <s v="Overdue"/>
    <n v="36"/>
    <n v="28605.66"/>
    <n v="0.88599348534202005"/>
    <n v="22304.639999999999"/>
    <n v="447.22011400651502"/>
    <n v="666.66666666666697"/>
    <n v="0.96399999999999997"/>
    <n v="5853.7998859934896"/>
    <n v="0.98240000000000005"/>
    <n v="0.11400651465798045"/>
    <n v="2.4429967426710098E-2"/>
    <n v="0.88599348534201949"/>
    <n v="0.4"/>
    <n v="642.66666666666697"/>
    <n v="0.9553941908713689"/>
    <n v="0.9375"/>
    <n v="1.0190871369294601"/>
    <n v="0.88599348534201949"/>
    <n v="0.87039999999999951"/>
    <n v="36.326775244299675"/>
    <n v="9.5338760358200165"/>
    <s v="High"/>
    <s v="Warning"/>
  </r>
  <r>
    <n v="380"/>
    <d v="2026-06-09T00:00:00"/>
    <x v="0"/>
    <s v="Plant B"/>
    <x v="4"/>
    <x v="14"/>
    <x v="0"/>
    <x v="4"/>
    <s v="B260609-0380"/>
    <s v="OP124"/>
    <n v="758"/>
    <n v="615"/>
    <n v="567"/>
    <n v="48"/>
    <n v="10"/>
    <n v="50"/>
    <s v="Operator Issue"/>
    <n v="57"/>
    <n v="62"/>
    <n v="80.599999999999994"/>
    <n v="2.02"/>
    <n v="24.14"/>
    <n v="17879.23"/>
    <n v="8.02"/>
    <s v="Completed"/>
    <n v="33"/>
    <n v="25968.47"/>
    <n v="0.92195121951219505"/>
    <n v="21705.49"/>
    <n v="290.71918699187"/>
    <n v="720.1"/>
    <n v="0.93056519927787795"/>
    <n v="3972.2608130081298"/>
    <n v="0.81134564643799467"/>
    <n v="7.8048780487804878E-2"/>
    <n v="1.6260162601626018E-2"/>
    <n v="0.92195121951219516"/>
    <n v="0.83333333333333337"/>
    <n v="670.1"/>
    <n v="0.91777346664676906"/>
    <n v="1.0526315789473684"/>
    <n v="0.87188479331443069"/>
    <n v="0.92195121951219516"/>
    <n v="0.74802110817941947"/>
    <n v="35.29347967479675"/>
    <n v="6.4589606715579349"/>
    <s v="High"/>
    <s v="Critical"/>
  </r>
  <r>
    <n v="381"/>
    <d v="2026-03-13T00:00:00"/>
    <x v="1"/>
    <s v="Plant A"/>
    <x v="0"/>
    <x v="1"/>
    <x v="2"/>
    <x v="0"/>
    <s v="B260313-0381"/>
    <s v="OP125"/>
    <n v="900"/>
    <n v="729"/>
    <n v="685"/>
    <n v="44"/>
    <n v="13"/>
    <n v="33"/>
    <s v="Power Failure"/>
    <n v="42"/>
    <n v="46"/>
    <n v="79.8"/>
    <n v="1.88"/>
    <n v="27.33"/>
    <n v="14006.65"/>
    <n v="6.86"/>
    <s v="Scheduled"/>
    <n v="7"/>
    <n v="21817.200000000001"/>
    <n v="0.93964334705075503"/>
    <n v="17339.62"/>
    <n v="249.775651577503"/>
    <n v="630"/>
    <n v="0.94761904761904803"/>
    <n v="4227.80434842249"/>
    <n v="0.81"/>
    <n v="6.035665294924554E-2"/>
    <n v="1.7832647462277092E-2"/>
    <n v="0.93964334705075447"/>
    <n v="0.55000000000000004"/>
    <n v="597"/>
    <n v="1.221105527638191"/>
    <n v="1.4285714285714286"/>
    <n v="0.85477386934673372"/>
    <n v="0.93964334705075447"/>
    <n v="0.76111111111111152"/>
    <n v="23.785486968449931"/>
    <n v="5.7994572680692595"/>
    <s v="High"/>
    <s v="Warning"/>
  </r>
  <r>
    <n v="382"/>
    <d v="2026-05-28T00:00:00"/>
    <x v="3"/>
    <s v="Plant A"/>
    <x v="0"/>
    <x v="3"/>
    <x v="0"/>
    <x v="0"/>
    <s v="B260528-0382"/>
    <s v="OP102"/>
    <n v="905"/>
    <n v="852"/>
    <n v="817"/>
    <n v="35"/>
    <n v="9"/>
    <n v="54"/>
    <s v="Machine Breakdown"/>
    <n v="42"/>
    <n v="42"/>
    <n v="77.8"/>
    <n v="1.3"/>
    <n v="29.19"/>
    <n v="16654.419999999998"/>
    <n v="9.61"/>
    <s v="Completed"/>
    <n v="16"/>
    <n v="26658.23"/>
    <n v="0.95892018779342703"/>
    <n v="21241.63"/>
    <n v="175.92697183098599"/>
    <n v="633.5"/>
    <n v="0.91475927387529599"/>
    <n v="5240.6730281690197"/>
    <n v="0.94143646408839776"/>
    <n v="4.1079812206572773E-2"/>
    <n v="1.0563380281690141E-2"/>
    <n v="0.95892018779342725"/>
    <n v="0.9"/>
    <n v="579.5"/>
    <n v="1.4702329594477999"/>
    <n v="1.4285714285714286"/>
    <n v="1.0291630716134599"/>
    <n v="0.95892018779342725"/>
    <n v="0.90276243093922648"/>
    <n v="24.931490610328641"/>
    <n v="6.1510246809495541"/>
    <s v="Low"/>
    <s v="Normal"/>
  </r>
  <r>
    <n v="383"/>
    <d v="2026-01-15T00:00:00"/>
    <x v="2"/>
    <s v="Plant A"/>
    <x v="0"/>
    <x v="0"/>
    <x v="1"/>
    <x v="3"/>
    <s v="B260115-0383"/>
    <s v="OP102"/>
    <n v="837"/>
    <n v="849"/>
    <n v="818"/>
    <n v="31"/>
    <n v="6"/>
    <n v="0"/>
    <s v="No Downtime"/>
    <n v="49"/>
    <n v="48"/>
    <n v="63.4"/>
    <n v="2.48"/>
    <n v="30.05"/>
    <n v="17892.89"/>
    <n v="7.91"/>
    <s v="Scheduled"/>
    <n v="18"/>
    <n v="31546.73"/>
    <n v="0.96348645465253202"/>
    <n v="21722.84"/>
    <n v="126.45151943462901"/>
    <n v="683.55"/>
    <n v="1"/>
    <n v="9697.4384805653699"/>
    <n v="1.0143369175627239"/>
    <n v="3.6513545347467612E-2"/>
    <n v="7.0671378091872791E-3"/>
    <n v="0.96348645465253235"/>
    <n v="0"/>
    <n v="683.55"/>
    <n v="1.2420452051788458"/>
    <n v="1.2244897959183674"/>
    <n v="1.0143369175627239"/>
    <n v="0.96348645465253235"/>
    <n v="0.97729988052568684"/>
    <n v="25.586383981154299"/>
    <n v="11.422189023045194"/>
    <s v="Low"/>
    <s v="Normal"/>
  </r>
  <r>
    <n v="384"/>
    <d v="2026-06-28T00:00:00"/>
    <x v="0"/>
    <s v="Plant B"/>
    <x v="1"/>
    <x v="2"/>
    <x v="1"/>
    <x v="3"/>
    <s v="B260628-0384"/>
    <s v="OP101"/>
    <n v="766"/>
    <n v="701"/>
    <n v="671"/>
    <n v="30"/>
    <n v="12"/>
    <n v="42"/>
    <s v="Preventive Maintenance"/>
    <n v="49"/>
    <n v="48"/>
    <n v="74.7"/>
    <n v="2.44"/>
    <n v="26.43"/>
    <n v="14974.25"/>
    <n v="8.32"/>
    <s v="Completed"/>
    <n v="26"/>
    <n v="25080.82"/>
    <n v="0.95720399429386605"/>
    <n v="18956.12"/>
    <n v="256.33523537803097"/>
    <n v="625.56666666666695"/>
    <n v="0.93286087280865404"/>
    <n v="5868.3647646219697"/>
    <n v="0.91514360313315923"/>
    <n v="4.2796005706134094E-2"/>
    <n v="1.7118402282453638E-2"/>
    <n v="0.95720399429386593"/>
    <n v="0.7"/>
    <n v="583.56666666666695"/>
    <n v="1.2012337921974061"/>
    <n v="1.2244897959183674"/>
    <n v="0.98100759696121498"/>
    <n v="0.95720399429386593"/>
    <n v="0.87597911227154057"/>
    <n v="27.04154065620542"/>
    <n v="8.3714190650812697"/>
    <s v="Low"/>
    <s v="Normal"/>
  </r>
  <r>
    <n v="385"/>
    <d v="2026-02-10T00:00:00"/>
    <x v="4"/>
    <s v="Plant B"/>
    <x v="0"/>
    <x v="0"/>
    <x v="0"/>
    <x v="2"/>
    <s v="B260210-0385"/>
    <s v="OP114"/>
    <n v="552"/>
    <n v="586"/>
    <n v="554"/>
    <n v="32"/>
    <n v="12"/>
    <n v="30"/>
    <s v="Quality Inspection"/>
    <n v="64"/>
    <n v="66"/>
    <n v="64.3"/>
    <n v="1.67"/>
    <n v="19.68"/>
    <n v="18485.68"/>
    <n v="8.33"/>
    <s v="Completed"/>
    <n v="25"/>
    <n v="28078.25"/>
    <n v="0.94539249146757698"/>
    <n v="22411.3"/>
    <n v="378.54634812286702"/>
    <n v="588.79999999999995"/>
    <n v="0.94904891304347805"/>
    <n v="5288.40365187713"/>
    <n v="1.0615942028985508"/>
    <n v="5.4607508532423209E-2"/>
    <n v="2.0477815699658702E-2"/>
    <n v="0.94539249146757676"/>
    <n v="0.5"/>
    <n v="558.79999999999995"/>
    <n v="1.0486757337151038"/>
    <n v="0.9375"/>
    <n v="1.1185874492961108"/>
    <n v="0.94539249146757676"/>
    <n v="1.0036231884057969"/>
    <n v="38.244539249146754"/>
    <n v="9.0245796107118252"/>
    <s v="Low"/>
    <s v="Normal"/>
  </r>
  <r>
    <n v="386"/>
    <d v="2026-06-04T00:00:00"/>
    <x v="0"/>
    <s v="Plant B"/>
    <x v="0"/>
    <x v="3"/>
    <x v="0"/>
    <x v="4"/>
    <s v="B260604-0386"/>
    <s v="OP105"/>
    <n v="574"/>
    <n v="563"/>
    <n v="538"/>
    <n v="25"/>
    <n v="8"/>
    <n v="20"/>
    <s v="Tool Change"/>
    <n v="57"/>
    <n v="60"/>
    <n v="75.900000000000006"/>
    <n v="2.11"/>
    <n v="21.22"/>
    <n v="14638.42"/>
    <n v="8.08"/>
    <s v="Overdue"/>
    <n v="26"/>
    <n v="24018.15"/>
    <n v="0.95559502664298401"/>
    <n v="18465.400000000001"/>
    <n v="208.00596802841901"/>
    <n v="545.29999999999995"/>
    <n v="0.96332294150009201"/>
    <n v="5344.7440319715797"/>
    <n v="0.98083623693379796"/>
    <n v="4.4404973357015987E-2"/>
    <n v="1.4209591474245116E-2"/>
    <n v="0.95559502664298401"/>
    <n v="0.33333333333333331"/>
    <n v="525.29999999999995"/>
    <n v="1.071768513230535"/>
    <n v="1.0526315789473684"/>
    <n v="1.0181800875690084"/>
    <n v="0.95559502664298401"/>
    <n v="0.93728222996515731"/>
    <n v="32.798223801065724"/>
    <n v="9.4933286535907282"/>
    <s v="High"/>
    <s v="Normal"/>
  </r>
  <r>
    <n v="387"/>
    <d v="2026-04-02T00:00:00"/>
    <x v="5"/>
    <s v="Plant B"/>
    <x v="1"/>
    <x v="6"/>
    <x v="0"/>
    <x v="1"/>
    <s v="B260402-0387"/>
    <s v="OP123"/>
    <n v="746"/>
    <n v="790"/>
    <n v="746"/>
    <n v="44"/>
    <n v="17"/>
    <n v="33"/>
    <s v="Quality Inspection"/>
    <n v="45"/>
    <n v="44"/>
    <n v="69.3"/>
    <n v="1.7"/>
    <n v="26.45"/>
    <n v="16123.3"/>
    <n v="10.72"/>
    <s v="Completed"/>
    <n v="34"/>
    <n v="26452.240000000002"/>
    <n v="0.94430379746835502"/>
    <n v="21185.35"/>
    <n v="346.95708860759498"/>
    <n v="559.5"/>
    <n v="0.94101876675603202"/>
    <n v="4919.9329113924096"/>
    <n v="1.0589812332439679"/>
    <n v="5.5696202531645568E-2"/>
    <n v="2.1518987341772152E-2"/>
    <n v="0.94430379746835447"/>
    <n v="0.55000000000000004"/>
    <n v="526.5"/>
    <n v="1.500474833808167"/>
    <n v="1.3333333333333333"/>
    <n v="1.1253561253561253"/>
    <n v="0.94430379746835447"/>
    <n v="0.99999999999999989"/>
    <n v="26.816898734177212"/>
    <n v="6.2277631789777335"/>
    <s v="Medium"/>
    <s v="Normal"/>
  </r>
  <r>
    <n v="388"/>
    <d v="2026-02-25T00:00:00"/>
    <x v="4"/>
    <s v="Plant A"/>
    <x v="3"/>
    <x v="11"/>
    <x v="1"/>
    <x v="1"/>
    <s v="B260225-0388"/>
    <s v="OP134"/>
    <n v="854"/>
    <n v="784"/>
    <n v="729"/>
    <n v="55"/>
    <n v="23"/>
    <n v="32"/>
    <s v="Setup Time"/>
    <n v="45"/>
    <n v="43"/>
    <n v="70.2"/>
    <n v="1.44"/>
    <n v="30.48"/>
    <n v="16201.03"/>
    <n v="9.6199999999999992"/>
    <s v="Completed"/>
    <n v="17"/>
    <n v="24772.42"/>
    <n v="0.92984693877550995"/>
    <n v="20804.349999999999"/>
    <n v="475.28531887755099"/>
    <n v="640.5"/>
    <n v="0.95003903200624495"/>
    <n v="3492.7846811224499"/>
    <n v="0.91803278688524592"/>
    <n v="7.0153061224489791E-2"/>
    <n v="2.9336734693877552E-2"/>
    <n v="0.92984693877551017"/>
    <n v="0.53333333333333333"/>
    <n v="608.5"/>
    <n v="1.2884141331142154"/>
    <n v="1.3333333333333333"/>
    <n v="0.96631059983566159"/>
    <n v="0.92984693877551017"/>
    <n v="0.85362997658079609"/>
    <n v="26.536160714285714"/>
    <n v="4.4550825014316962"/>
    <s v="Low"/>
    <s v="Normal"/>
  </r>
  <r>
    <n v="389"/>
    <d v="2026-03-21T00:00:00"/>
    <x v="1"/>
    <s v="Plant A"/>
    <x v="1"/>
    <x v="5"/>
    <x v="1"/>
    <x v="0"/>
    <s v="B260321-0389"/>
    <s v="OP119"/>
    <n v="802"/>
    <n v="674"/>
    <n v="651"/>
    <n v="23"/>
    <n v="9"/>
    <n v="12"/>
    <s v="Machine Breakdown"/>
    <n v="42"/>
    <n v="44"/>
    <n v="75.599999999999994"/>
    <n v="2.79"/>
    <n v="27.99"/>
    <n v="12451.43"/>
    <n v="7.06"/>
    <s v="Completed"/>
    <n v="14"/>
    <n v="20718.3"/>
    <n v="0.96587537091988096"/>
    <n v="15880.34"/>
    <n v="166.26538575667701"/>
    <n v="561.4"/>
    <n v="0.97862486640541502"/>
    <n v="4671.6946142433198"/>
    <n v="0.84039900249376553"/>
    <n v="3.4124629080118693E-2"/>
    <n v="1.3353115727002967E-2"/>
    <n v="0.96587537091988129"/>
    <n v="0.2"/>
    <n v="549.4"/>
    <n v="1.2267928649435749"/>
    <n v="1.4285714285714286"/>
    <n v="0.85875500546050243"/>
    <n v="0.96587537091988129"/>
    <n v="0.8117206982543641"/>
    <n v="23.561335311572702"/>
    <n v="6.9312976472452821"/>
    <s v="Medium"/>
    <s v="Warning"/>
  </r>
  <r>
    <n v="390"/>
    <d v="2026-06-08T00:00:00"/>
    <x v="0"/>
    <s v="Plant A"/>
    <x v="1"/>
    <x v="2"/>
    <x v="1"/>
    <x v="4"/>
    <s v="B260608-0390"/>
    <s v="OP121"/>
    <n v="615"/>
    <n v="602"/>
    <n v="572"/>
    <n v="30"/>
    <n v="11"/>
    <n v="5"/>
    <s v="Setup Time"/>
    <n v="57"/>
    <n v="63"/>
    <n v="85.3"/>
    <n v="2.38"/>
    <n v="22.62"/>
    <n v="15868.75"/>
    <n v="7.39"/>
    <s v="Scheduled"/>
    <n v="21"/>
    <n v="26422.720000000001"/>
    <n v="0.95016611295681097"/>
    <n v="19397.830000000002"/>
    <n v="289.960548172757"/>
    <n v="584.25"/>
    <n v="0.99144201968335499"/>
    <n v="6734.92945182724"/>
    <n v="0.9788617886178862"/>
    <n v="4.9833887043189369E-2"/>
    <n v="1.8272425249169437E-2"/>
    <n v="0.95016611295681064"/>
    <n v="8.3333333333333329E-2"/>
    <n v="579.25"/>
    <n v="1.0392749244712991"/>
    <n v="1.0526315789473684"/>
    <n v="0.98731117824773418"/>
    <n v="0.95016611295681064"/>
    <n v="0.93008130081300844"/>
    <n v="32.222308970099668"/>
    <n v="11.187590451540265"/>
    <s v="High"/>
    <s v="Warning"/>
  </r>
  <r>
    <n v="391"/>
    <d v="2026-01-19T00:00:00"/>
    <x v="2"/>
    <s v="Plant A"/>
    <x v="1"/>
    <x v="2"/>
    <x v="1"/>
    <x v="3"/>
    <s v="B260119-0391"/>
    <s v="OP130"/>
    <n v="893"/>
    <n v="988"/>
    <n v="947"/>
    <n v="41"/>
    <n v="17"/>
    <n v="22"/>
    <s v="Quality Inspection"/>
    <n v="49"/>
    <n v="53"/>
    <n v="68"/>
    <n v="2.1800000000000002"/>
    <n v="35.299999999999997"/>
    <n v="21673.97"/>
    <n v="8.98"/>
    <s v="Completed"/>
    <n v="19"/>
    <n v="35242.69"/>
    <n v="0.958502024291498"/>
    <n v="26032.67"/>
    <n v="372.93268218623501"/>
    <n v="729.28333333333296"/>
    <n v="0.96983339808487801"/>
    <n v="8837.0873178137699"/>
    <n v="1.1063829787234043"/>
    <n v="4.1497975708502027E-2"/>
    <n v="1.7206477732793522E-2"/>
    <n v="0.958502024291498"/>
    <n v="0.36666666666666664"/>
    <n v="707.28333333333296"/>
    <n v="1.3968942196668008"/>
    <n v="1.2244897959183674"/>
    <n v="1.1407969460612206"/>
    <n v="0.958502024291498"/>
    <n v="1.0604703247480409"/>
    <n v="26.348856275303643"/>
    <n v="8.9444203621596863"/>
    <s v="Low"/>
    <s v="Normal"/>
  </r>
  <r>
    <n v="392"/>
    <d v="2026-05-01T00:00:00"/>
    <x v="3"/>
    <s v="Plant A"/>
    <x v="3"/>
    <x v="7"/>
    <x v="1"/>
    <x v="2"/>
    <s v="B260501-0392"/>
    <s v="OP125"/>
    <n v="465"/>
    <n v="491"/>
    <n v="464"/>
    <n v="27"/>
    <n v="7"/>
    <n v="12"/>
    <s v="Tool Change"/>
    <n v="64"/>
    <n v="62"/>
    <n v="80.3"/>
    <n v="1.23"/>
    <n v="18.27"/>
    <n v="14434.24"/>
    <n v="9.01"/>
    <s v="Completed"/>
    <n v="34"/>
    <n v="24435.21"/>
    <n v="0.94501018329938902"/>
    <n v="18653.169999999998"/>
    <n v="205.783462321792"/>
    <n v="496"/>
    <n v="0.97580645161290303"/>
    <n v="5576.2565376782104"/>
    <n v="1.0559139784946237"/>
    <n v="5.4989816700610997E-2"/>
    <n v="1.4256619144602852E-2"/>
    <n v="0.94501018329938902"/>
    <n v="0.2"/>
    <n v="484"/>
    <n v="1.0144628099173554"/>
    <n v="0.9375"/>
    <n v="1.0820936639118457"/>
    <n v="0.94501018329938902"/>
    <n v="0.99784946236559124"/>
    <n v="37.99016293279022"/>
    <n v="11.356937958611427"/>
    <s v="Medium"/>
    <s v="Warning"/>
  </r>
  <r>
    <n v="393"/>
    <d v="2026-04-18T00:00:00"/>
    <x v="5"/>
    <s v="Plant A"/>
    <x v="4"/>
    <x v="14"/>
    <x v="2"/>
    <x v="0"/>
    <s v="B260418-0393"/>
    <s v="OP128"/>
    <n v="895"/>
    <n v="724"/>
    <n v="651"/>
    <n v="73"/>
    <n v="23"/>
    <n v="34"/>
    <s v="Setup Time"/>
    <n v="42"/>
    <n v="44"/>
    <n v="70.099999999999994"/>
    <n v="2.6"/>
    <n v="29.97"/>
    <n v="14026.91"/>
    <n v="6.35"/>
    <s v="Pending"/>
    <n v="21"/>
    <n v="20930.11"/>
    <n v="0.899171270718232"/>
    <n v="17154.14"/>
    <n v="445.60625690607702"/>
    <n v="626.5"/>
    <n v="0.94573024740622502"/>
    <n v="3330.3637430939202"/>
    <n v="0.80893854748603355"/>
    <n v="0.10082872928176796"/>
    <n v="3.1767955801104975E-2"/>
    <n v="0.899171270718232"/>
    <n v="0.56666666666666665"/>
    <n v="592.5"/>
    <n v="1.2219409282700422"/>
    <n v="1.4285714285714286"/>
    <n v="0.85535864978902953"/>
    <n v="0.899171270718232"/>
    <n v="0.7273743016759775"/>
    <n v="23.693563535911601"/>
    <n v="4.5999499214004427"/>
    <s v="High"/>
    <s v="Critical"/>
  </r>
  <r>
    <n v="394"/>
    <d v="2026-02-07T00:00:00"/>
    <x v="4"/>
    <s v="Plant B"/>
    <x v="4"/>
    <x v="14"/>
    <x v="0"/>
    <x v="3"/>
    <s v="B260207-0394"/>
    <s v="OP110"/>
    <n v="875"/>
    <n v="863"/>
    <n v="785"/>
    <n v="78"/>
    <n v="16"/>
    <n v="56"/>
    <s v="Power Failure"/>
    <n v="49"/>
    <n v="51"/>
    <n v="77.5"/>
    <n v="2.14"/>
    <n v="33.340000000000003"/>
    <n v="18068.849999999999"/>
    <n v="7.81"/>
    <s v="Overdue"/>
    <n v="21"/>
    <n v="29687.13"/>
    <n v="0.90961761297798405"/>
    <n v="21883.41"/>
    <n v="334.996060254925"/>
    <n v="714.58333333333303"/>
    <n v="0.92163265306122499"/>
    <n v="7468.7239397450803"/>
    <n v="0.98628571428571432"/>
    <n v="9.0382387022016217E-2"/>
    <n v="1.8539976825028968E-2"/>
    <n v="0.90961761297798382"/>
    <n v="0.93333333333333335"/>
    <n v="658.58333333333303"/>
    <n v="1.3103884600784519"/>
    <n v="1.2244897959183674"/>
    <n v="1.0701505757307357"/>
    <n v="0.90961761297798382"/>
    <n v="0.89714285714285813"/>
    <n v="25.357369640787947"/>
    <n v="8.6543730472133031"/>
    <s v="High"/>
    <s v="Warning"/>
  </r>
  <r>
    <n v="395"/>
    <d v="2026-05-20T00:00:00"/>
    <x v="3"/>
    <s v="Plant A"/>
    <x v="2"/>
    <x v="10"/>
    <x v="0"/>
    <x v="0"/>
    <s v="B260520-0395"/>
    <s v="OP113"/>
    <n v="727"/>
    <n v="579"/>
    <n v="521"/>
    <n v="58"/>
    <n v="16"/>
    <n v="35"/>
    <s v="Operator Issue"/>
    <n v="42"/>
    <n v="43"/>
    <n v="72.099999999999994"/>
    <n v="1.78"/>
    <n v="25.24"/>
    <n v="11259.52"/>
    <n v="6.94"/>
    <s v="Completed"/>
    <n v="17"/>
    <n v="16724.77"/>
    <n v="0.89982728842832505"/>
    <n v="14609.68"/>
    <n v="311.14390328152001"/>
    <n v="508.9"/>
    <n v="0.93122420907840397"/>
    <n v="1803.94609671848"/>
    <n v="0.796423658872077"/>
    <n v="0.1001727115716753"/>
    <n v="2.7633851468048358E-2"/>
    <n v="0.89982728842832471"/>
    <n v="0.58333333333333337"/>
    <n v="473.9"/>
    <n v="1.2217767461489766"/>
    <n v="1.4285714285714286"/>
    <n v="0.85524372230428358"/>
    <n v="0.89982728842832471"/>
    <n v="0.71664374140302578"/>
    <n v="25.232607944732298"/>
    <n v="3.1156236558177546"/>
    <s v="High"/>
    <s v="Critical"/>
  </r>
  <r>
    <n v="396"/>
    <d v="2026-02-11T00:00:00"/>
    <x v="4"/>
    <s v="Plant B"/>
    <x v="1"/>
    <x v="2"/>
    <x v="2"/>
    <x v="1"/>
    <s v="B260211-0396"/>
    <s v="OP128"/>
    <n v="825"/>
    <n v="711"/>
    <n v="680"/>
    <n v="31"/>
    <n v="13"/>
    <n v="53"/>
    <s v="Machine Breakdown"/>
    <n v="45"/>
    <n v="45"/>
    <n v="73.099999999999994"/>
    <n v="1.89"/>
    <n v="24.31"/>
    <n v="14792.08"/>
    <n v="7.75"/>
    <s v="Pending"/>
    <n v="29"/>
    <n v="23804.799999999999"/>
    <n v="0.95639943741209599"/>
    <n v="18498.37"/>
    <n v="270.45997187060499"/>
    <n v="618.75"/>
    <n v="0.91434343434343401"/>
    <n v="5035.9700281293899"/>
    <n v="0.86181818181818182"/>
    <n v="4.360056258790436E-2"/>
    <n v="1.8284106891701828E-2"/>
    <n v="0.95639943741209565"/>
    <n v="0.8833333333333333"/>
    <n v="565.75"/>
    <n v="1.2567388422448078"/>
    <n v="1.3333333333333333"/>
    <n v="0.94255413168360591"/>
    <n v="0.95639943741209565"/>
    <n v="0.824242424242424"/>
    <n v="26.017398030942335"/>
    <n v="7.0829395613634176"/>
    <s v="Medium"/>
    <s v="Warning"/>
  </r>
  <r>
    <n v="397"/>
    <d v="2026-01-09T00:00:00"/>
    <x v="2"/>
    <s v="Plant B"/>
    <x v="1"/>
    <x v="5"/>
    <x v="0"/>
    <x v="3"/>
    <s v="B260109-0397"/>
    <s v="OP125"/>
    <n v="678"/>
    <n v="623"/>
    <n v="607"/>
    <n v="16"/>
    <n v="4"/>
    <n v="21"/>
    <s v="Setup Time"/>
    <n v="49"/>
    <n v="53"/>
    <n v="76.8"/>
    <n v="1.82"/>
    <n v="20.23"/>
    <n v="14330.35"/>
    <n v="7.42"/>
    <s v="Scheduled"/>
    <n v="17"/>
    <n v="23474.46"/>
    <n v="0.97431781701444597"/>
    <n v="17851.419999999998"/>
    <n v="92.008667736757602"/>
    <n v="553.70000000000005"/>
    <n v="0.96207332490518305"/>
    <n v="5531.0313322632401"/>
    <n v="0.91887905604719766"/>
    <n v="2.5682182985553772E-2"/>
    <n v="6.420545746388443E-3"/>
    <n v="0.9743178170144462"/>
    <n v="0.35"/>
    <n v="532.70000000000005"/>
    <n v="1.169513797634691"/>
    <n v="1.2244897959183674"/>
    <n v="0.95510293473499763"/>
    <n v="0.9743178170144462"/>
    <n v="0.89528023598820017"/>
    <n v="28.653964686998393"/>
    <n v="8.8780599233759876"/>
    <s v="Low"/>
    <s v="Normal"/>
  </r>
  <r>
    <n v="398"/>
    <d v="2026-04-17T00:00:00"/>
    <x v="5"/>
    <s v="Plant A"/>
    <x v="0"/>
    <x v="1"/>
    <x v="0"/>
    <x v="0"/>
    <s v="B260417-0398"/>
    <s v="OP124"/>
    <n v="882"/>
    <n v="768"/>
    <n v="721"/>
    <n v="47"/>
    <n v="17"/>
    <n v="70"/>
    <s v="Material Shortage"/>
    <n v="42"/>
    <n v="46"/>
    <n v="74.5"/>
    <n v="2.68"/>
    <n v="30.08"/>
    <n v="14440.34"/>
    <n v="9.08"/>
    <s v="Completed"/>
    <n v="5"/>
    <n v="23631.5"/>
    <n v="0.93880208333333304"/>
    <n v="18797.060000000001"/>
    <n v="319.64294270833301"/>
    <n v="617.4"/>
    <n v="0.88662131519274401"/>
    <n v="4514.7970572916702"/>
    <n v="0.87074829931972786"/>
    <n v="6.1197916666666664E-2"/>
    <n v="2.2135416666666668E-2"/>
    <n v="0.93880208333333337"/>
    <n v="1.1666666666666667"/>
    <n v="547.4"/>
    <n v="1.4029959810010961"/>
    <n v="1.4285714285714286"/>
    <n v="0.98209718670076729"/>
    <n v="0.93880208333333337"/>
    <n v="0.81746031746031778"/>
    <n v="24.47533854166667"/>
    <n v="5.8786420016818619"/>
    <s v="Medium"/>
    <s v="Warning"/>
  </r>
  <r>
    <n v="399"/>
    <d v="2026-05-13T00:00:00"/>
    <x v="3"/>
    <s v="Plant A"/>
    <x v="1"/>
    <x v="5"/>
    <x v="0"/>
    <x v="1"/>
    <s v="B260513-0399"/>
    <s v="OP133"/>
    <n v="740"/>
    <n v="807"/>
    <n v="785"/>
    <n v="22"/>
    <n v="6"/>
    <n v="0"/>
    <s v="No Downtime"/>
    <n v="45"/>
    <n v="47"/>
    <n v="78.3"/>
    <n v="2.3199999999999998"/>
    <n v="29.19"/>
    <n v="15606.12"/>
    <n v="10.4"/>
    <s v="Overdue"/>
    <n v="28"/>
    <n v="26780.61"/>
    <n v="0.97273853779429997"/>
    <n v="20548.830000000002"/>
    <n v="116.03063197026"/>
    <n v="555"/>
    <n v="1"/>
    <n v="6115.7493680297403"/>
    <n v="1.0905405405405406"/>
    <n v="2.7261462205700124E-2"/>
    <n v="7.4349442379182153E-3"/>
    <n v="0.97273853779429986"/>
    <n v="0"/>
    <n v="555"/>
    <n v="1.4540540540540541"/>
    <n v="1.3333333333333333"/>
    <n v="1.0905405405405406"/>
    <n v="0.97273853779429986"/>
    <n v="1.060810810810811"/>
    <n v="25.463234200743496"/>
    <n v="7.5783759207307808"/>
    <s v="High"/>
    <s v="Normal"/>
  </r>
  <r>
    <n v="400"/>
    <d v="2026-04-08T00:00:00"/>
    <x v="5"/>
    <s v="Plant A"/>
    <x v="3"/>
    <x v="7"/>
    <x v="1"/>
    <x v="1"/>
    <s v="B260408-0400"/>
    <s v="OP112"/>
    <n v="802"/>
    <n v="777"/>
    <n v="746"/>
    <n v="31"/>
    <n v="6"/>
    <n v="22"/>
    <s v="Operator Issue"/>
    <n v="45"/>
    <n v="48"/>
    <n v="73.7"/>
    <n v="1.64"/>
    <n v="23.49"/>
    <n v="15017.02"/>
    <n v="10.119999999999999"/>
    <s v="Overdue"/>
    <n v="21"/>
    <n v="25500.49"/>
    <n v="0.96010296010296003"/>
    <n v="19782.43"/>
    <n v="115.961544401544"/>
    <n v="601.5"/>
    <n v="0.96342477140482097"/>
    <n v="5602.0984555984596"/>
    <n v="0.96882793017456359"/>
    <n v="3.9897039897039896E-2"/>
    <n v="7.7220077220077222E-3"/>
    <n v="0.96010296010296015"/>
    <n v="0.36666666666666664"/>
    <n v="579.5"/>
    <n v="1.3408110440034513"/>
    <n v="1.3333333333333333"/>
    <n v="1.0056082830025885"/>
    <n v="0.96010296010296015"/>
    <n v="0.93017456359102224"/>
    <n v="25.460012870012871"/>
    <n v="7.2099079222631399"/>
    <s v="High"/>
    <s v="Normal"/>
  </r>
  <r>
    <n v="401"/>
    <d v="2026-06-02T00:00:00"/>
    <x v="0"/>
    <s v="Plant A"/>
    <x v="0"/>
    <x v="3"/>
    <x v="0"/>
    <x v="2"/>
    <s v="B260602-0401"/>
    <s v="OP106"/>
    <n v="469"/>
    <n v="465"/>
    <n v="444"/>
    <n v="21"/>
    <n v="6"/>
    <n v="43"/>
    <s v="Material Shortage"/>
    <n v="64"/>
    <n v="66"/>
    <n v="72.3"/>
    <n v="2.21"/>
    <n v="17.98"/>
    <n v="14948.73"/>
    <n v="7.73"/>
    <s v="Completed"/>
    <n v="9"/>
    <n v="22642.880000000001"/>
    <n v="0.95483870967741902"/>
    <n v="18589.05"/>
    <n v="192.88683870967699"/>
    <n v="500.26666666666699"/>
    <n v="0.91404584221748397"/>
    <n v="3860.9431612903199"/>
    <n v="0.99147121535181237"/>
    <n v="4.5161290322580643E-2"/>
    <n v="1.2903225806451613E-2"/>
    <n v="0.95483870967741935"/>
    <n v="0.71666666666666667"/>
    <n v="457.26666666666699"/>
    <n v="1.016912086309957"/>
    <n v="0.9375"/>
    <n v="1.0847062253972874"/>
    <n v="0.95483870967741935"/>
    <n v="0.9466950959488265"/>
    <n v="39.976451612903226"/>
    <n v="8.3031035726673554"/>
    <s v="Low"/>
    <s v="Normal"/>
  </r>
  <r>
    <n v="402"/>
    <d v="2026-05-26T00:00:00"/>
    <x v="3"/>
    <s v="Plant A"/>
    <x v="0"/>
    <x v="1"/>
    <x v="2"/>
    <x v="4"/>
    <s v="B260526-0402"/>
    <s v="OP135"/>
    <n v="521"/>
    <n v="373"/>
    <n v="352"/>
    <n v="21"/>
    <n v="8"/>
    <n v="19"/>
    <s v="Machine Breakdown"/>
    <n v="57"/>
    <n v="57"/>
    <n v="77.900000000000006"/>
    <n v="2.15"/>
    <n v="15"/>
    <n v="10045.219999999999"/>
    <n v="5.67"/>
    <s v="Pending"/>
    <n v="22"/>
    <n v="16619.32"/>
    <n v="0.943699731903485"/>
    <n v="12731.72"/>
    <n v="215.447077747989"/>
    <n v="494.95"/>
    <n v="0.96161228406909804"/>
    <n v="3672.1529222520098"/>
    <n v="0.71593090211132437"/>
    <n v="5.6300268096514748E-2"/>
    <n v="2.1447721179624665E-2"/>
    <n v="0.94369973190348522"/>
    <n v="0.31666666666666665"/>
    <n v="475.95"/>
    <n v="0.78369576636201288"/>
    <n v="1.0526315789473684"/>
    <n v="0.74451097804391231"/>
    <n v="0.94369973190348522"/>
    <n v="0.67562380038387737"/>
    <n v="34.133297587131366"/>
    <n v="9.8449140006756295"/>
    <s v="High"/>
    <s v="Critical"/>
  </r>
  <r>
    <n v="403"/>
    <d v="2026-03-10T00:00:00"/>
    <x v="1"/>
    <s v="Plant B"/>
    <x v="1"/>
    <x v="5"/>
    <x v="2"/>
    <x v="3"/>
    <s v="B260310-0403"/>
    <s v="OP119"/>
    <n v="859"/>
    <n v="837"/>
    <n v="803"/>
    <n v="34"/>
    <n v="11"/>
    <n v="20"/>
    <s v="Material Shortage"/>
    <n v="49"/>
    <n v="50"/>
    <n v="78.7"/>
    <n v="2.31"/>
    <n v="32.72"/>
    <n v="19063.87"/>
    <n v="10.08"/>
    <s v="Completed"/>
    <n v="9"/>
    <n v="31214.95"/>
    <n v="0.95937873357228198"/>
    <n v="23894.35"/>
    <n v="250.54070489844699"/>
    <n v="701.51666666666699"/>
    <n v="0.97149034235347198"/>
    <n v="7070.0592951015597"/>
    <n v="0.97438882421420259"/>
    <n v="4.0621266427718038E-2"/>
    <n v="1.3142174432497013E-2"/>
    <n v="0.95937873357228198"/>
    <n v="0.33333333333333331"/>
    <n v="681.51666666666699"/>
    <n v="1.2281431121762729"/>
    <n v="1.2244897959183674"/>
    <n v="1.0029835416106228"/>
    <n v="0.95937873357228198"/>
    <n v="0.93480791618160575"/>
    <n v="28.547610513739546"/>
    <n v="8.4469047731201421"/>
    <s v="Low"/>
    <s v="Normal"/>
  </r>
  <r>
    <n v="404"/>
    <d v="2026-04-19T00:00:00"/>
    <x v="5"/>
    <s v="Plant B"/>
    <x v="4"/>
    <x v="12"/>
    <x v="0"/>
    <x v="3"/>
    <s v="B260419-0404"/>
    <s v="OP113"/>
    <n v="800"/>
    <n v="673"/>
    <n v="583"/>
    <n v="90"/>
    <n v="25"/>
    <n v="43"/>
    <s v="Setup Time"/>
    <n v="49"/>
    <n v="51"/>
    <n v="73.599999999999994"/>
    <n v="3.86"/>
    <n v="22.74"/>
    <n v="14680.54"/>
    <n v="6.57"/>
    <s v="Scheduled"/>
    <n v="42"/>
    <n v="21775.41"/>
    <n v="0.866270430906389"/>
    <n v="17841.7"/>
    <n v="545.33952451708797"/>
    <n v="653.33333333333303"/>
    <n v="0.93418367346938802"/>
    <n v="3388.37047548291"/>
    <n v="0.84125000000000005"/>
    <n v="0.1337295690936107"/>
    <n v="3.7147102526002972E-2"/>
    <n v="0.86627043090638933"/>
    <n v="0.71666666666666667"/>
    <n v="610.33333333333303"/>
    <n v="1.1026761332605139"/>
    <n v="1.2244897959183674"/>
    <n v="0.90051884216275302"/>
    <n v="0.86627043090638933"/>
    <n v="0.72875000000000056"/>
    <n v="26.510698365527489"/>
    <n v="5.0347258179538041"/>
    <s v="High"/>
    <s v="Critical"/>
  </r>
  <r>
    <n v="405"/>
    <d v="2026-04-06T00:00:00"/>
    <x v="5"/>
    <s v="Plant B"/>
    <x v="3"/>
    <x v="7"/>
    <x v="0"/>
    <x v="3"/>
    <s v="B260406-0405"/>
    <s v="OP101"/>
    <n v="788"/>
    <n v="727"/>
    <n v="692"/>
    <n v="35"/>
    <n v="14"/>
    <n v="15"/>
    <s v="Machine Breakdown"/>
    <n v="49"/>
    <n v="47"/>
    <n v="75.400000000000006"/>
    <n v="2.17"/>
    <n v="28.91"/>
    <n v="16135.93"/>
    <n v="8.61"/>
    <s v="Scheduled"/>
    <n v="14"/>
    <n v="26193.77"/>
    <n v="0.95185694635488305"/>
    <n v="20270.62"/>
    <n v="310.73317744154099"/>
    <n v="643.53333333333296"/>
    <n v="0.97669118408784805"/>
    <n v="5612.4168225584599"/>
    <n v="0.92258883248730961"/>
    <n v="4.8143053645116916E-2"/>
    <n v="1.9257221458046769E-2"/>
    <n v="0.95185694635488305"/>
    <n v="0.25"/>
    <n v="628.53333333333296"/>
    <n v="1.1566610097581678"/>
    <n v="1.2244897959183674"/>
    <n v="0.94460649130250363"/>
    <n v="0.95185694635488305"/>
    <n v="0.8781725888324875"/>
    <n v="27.882558459422281"/>
    <n v="7.7199681190625311"/>
    <s v="Low"/>
    <s v="Normal"/>
  </r>
  <r>
    <n v="406"/>
    <d v="2026-03-23T00:00:00"/>
    <x v="1"/>
    <s v="Plant A"/>
    <x v="3"/>
    <x v="8"/>
    <x v="2"/>
    <x v="4"/>
    <s v="B260323-0406"/>
    <s v="OP118"/>
    <n v="627"/>
    <n v="523"/>
    <n v="482"/>
    <n v="41"/>
    <n v="13"/>
    <n v="8"/>
    <s v="Preventive Maintenance"/>
    <n v="57"/>
    <n v="58"/>
    <n v="72.900000000000006"/>
    <n v="2.1"/>
    <n v="15.1"/>
    <n v="13745.74"/>
    <n v="8.67"/>
    <s v="Completed"/>
    <n v="39"/>
    <n v="22216.52"/>
    <n v="0.92160611854684504"/>
    <n v="17783.14"/>
    <n v="341.672313575526"/>
    <n v="595.65"/>
    <n v="0.98656929404851901"/>
    <n v="4091.70768642448"/>
    <n v="0.8341307814992025"/>
    <n v="7.8393881453154873E-2"/>
    <n v="2.4856596558317401E-2"/>
    <n v="0.92160611854684515"/>
    <n v="0.13333333333333333"/>
    <n v="587.65"/>
    <n v="0.88998553560792992"/>
    <n v="1.0526315789473684"/>
    <n v="0.84548625882753348"/>
    <n v="0.92160611854684515"/>
    <n v="0.76874003189792728"/>
    <n v="34.002179732313571"/>
    <n v="7.823532861232275"/>
    <s v="High"/>
    <s v="Warning"/>
  </r>
  <r>
    <n v="407"/>
    <d v="2026-05-16T00:00:00"/>
    <x v="3"/>
    <s v="Plant A"/>
    <x v="4"/>
    <x v="12"/>
    <x v="0"/>
    <x v="3"/>
    <s v="B260516-0407"/>
    <s v="OP127"/>
    <n v="774"/>
    <n v="669"/>
    <n v="549"/>
    <n v="120"/>
    <n v="45"/>
    <n v="22"/>
    <s v="Tool Change"/>
    <n v="49"/>
    <n v="49"/>
    <n v="100"/>
    <n v="3.1"/>
    <n v="21.58"/>
    <n v="15356.27"/>
    <n v="8.2899999999999991"/>
    <s v="Scheduled"/>
    <n v="46"/>
    <n v="20346.310000000001"/>
    <n v="0.820627802690583"/>
    <n v="19280.990000000002"/>
    <n v="1032.9329596412599"/>
    <n v="632.1"/>
    <n v="0.96519538047777298"/>
    <n v="32.387040358744102"/>
    <n v="0.86434108527131781"/>
    <n v="0.17937219730941703"/>
    <n v="6.726457399103139E-2"/>
    <n v="0.820627802690583"/>
    <n v="0.36666666666666664"/>
    <n v="610.1"/>
    <n v="1.096541550565481"/>
    <n v="1.2244897959183674"/>
    <n v="0.89550893296180945"/>
    <n v="0.820627802690583"/>
    <n v="0.70930232558139561"/>
    <n v="28.820612855007475"/>
    <n v="4.8411121612472498E-2"/>
    <s v="High"/>
    <s v="Critical"/>
  </r>
  <r>
    <n v="408"/>
    <d v="2026-04-05T00:00:00"/>
    <x v="5"/>
    <s v="Plant A"/>
    <x v="0"/>
    <x v="1"/>
    <x v="2"/>
    <x v="0"/>
    <s v="B260405-0408"/>
    <s v="OP104"/>
    <n v="875"/>
    <n v="768"/>
    <n v="721"/>
    <n v="47"/>
    <n v="10"/>
    <n v="11"/>
    <s v="Operator Issue"/>
    <n v="42"/>
    <n v="43"/>
    <n v="73.3"/>
    <n v="2.29"/>
    <n v="30.83"/>
    <n v="14869.18"/>
    <n v="9.1199999999999992"/>
    <s v="Scheduled"/>
    <n v="24"/>
    <n v="22998.33"/>
    <n v="0.93880208333333304"/>
    <n v="19250.650000000001"/>
    <n v="193.609114583333"/>
    <n v="612.5"/>
    <n v="0.98204081632653095"/>
    <n v="3554.0708854166701"/>
    <n v="0.87771428571428567"/>
    <n v="6.1197916666666664E-2"/>
    <n v="1.3020833333333334E-2"/>
    <n v="0.93880208333333337"/>
    <n v="0.18333333333333332"/>
    <n v="601.5"/>
    <n v="1.2768079800498753"/>
    <n v="1.4285714285714286"/>
    <n v="0.89376558603491263"/>
    <n v="0.93880208333333337"/>
    <n v="0.82400000000000018"/>
    <n v="25.065950520833336"/>
    <n v="4.6276964653862889"/>
    <s v="Medium"/>
    <s v="Warning"/>
  </r>
  <r>
    <n v="409"/>
    <d v="2026-02-01T00:00:00"/>
    <x v="4"/>
    <s v="Plant A"/>
    <x v="2"/>
    <x v="10"/>
    <x v="1"/>
    <x v="2"/>
    <s v="B260201-0409"/>
    <s v="OP121"/>
    <n v="647"/>
    <n v="646"/>
    <n v="585"/>
    <n v="61"/>
    <n v="25"/>
    <n v="37"/>
    <s v="Machine Breakdown"/>
    <n v="64"/>
    <n v="69"/>
    <n v="66.7"/>
    <n v="2.12"/>
    <n v="19.91"/>
    <n v="19343.84"/>
    <n v="9.89"/>
    <s v="Completed"/>
    <n v="25"/>
    <n v="29698.2"/>
    <n v="0.90557275541795701"/>
    <n v="23973.53"/>
    <n v="748.60061919504597"/>
    <n v="690.13333333333298"/>
    <n v="0.94638717156105101"/>
    <n v="4976.06938080496"/>
    <n v="0.99845440494590421"/>
    <n v="9.4427244582043338E-2"/>
    <n v="3.8699690402476783E-2"/>
    <n v="0.90557275541795668"/>
    <n v="0.6166666666666667"/>
    <n v="653.13333333333298"/>
    <n v="0.98907828927222674"/>
    <n v="0.9375"/>
    <n v="1.0550168418903751"/>
    <n v="0.90557275541795668"/>
    <n v="0.90417310664605921"/>
    <n v="37.110727554179562"/>
    <n v="7.7028937783358513"/>
    <s v="Medium"/>
    <s v="Warning"/>
  </r>
  <r>
    <n v="410"/>
    <d v="2026-02-23T00:00:00"/>
    <x v="4"/>
    <s v="Plant B"/>
    <x v="4"/>
    <x v="12"/>
    <x v="1"/>
    <x v="0"/>
    <s v="B260223-0410"/>
    <s v="OP133"/>
    <n v="774"/>
    <n v="701"/>
    <n v="607"/>
    <n v="94"/>
    <n v="30"/>
    <n v="41"/>
    <s v="Preventive Maintenance"/>
    <n v="42"/>
    <n v="43"/>
    <n v="75.599999999999994"/>
    <n v="3.4"/>
    <n v="22.75"/>
    <n v="12357.18"/>
    <n v="6.85"/>
    <s v="Completed"/>
    <n v="27"/>
    <n v="19378.37"/>
    <n v="0.86590584878744703"/>
    <n v="15644.43"/>
    <n v="528.83794579172604"/>
    <n v="541.79999999999995"/>
    <n v="0.92432631967515699"/>
    <n v="3205.1020542082701"/>
    <n v="0.90568475452196384"/>
    <n v="0.1340941512125535"/>
    <n v="4.2796005706134094E-2"/>
    <n v="0.86590584878744647"/>
    <n v="0.68333333333333335"/>
    <n v="500.79999999999995"/>
    <n v="1.3997603833865815"/>
    <n v="1.4285714285714286"/>
    <n v="0.979832268370607"/>
    <n v="0.86590584878744647"/>
    <n v="0.78423772609819131"/>
    <n v="22.317303851640514"/>
    <n v="4.5721855266879743"/>
    <s v="High"/>
    <s v="Warning"/>
  </r>
  <r>
    <n v="411"/>
    <d v="2026-03-10T00:00:00"/>
    <x v="1"/>
    <s v="Plant A"/>
    <x v="1"/>
    <x v="6"/>
    <x v="1"/>
    <x v="3"/>
    <s v="B260310-0411"/>
    <s v="OP108"/>
    <n v="663"/>
    <n v="601"/>
    <n v="563"/>
    <n v="38"/>
    <n v="9"/>
    <n v="37"/>
    <s v="Power Failure"/>
    <n v="49"/>
    <n v="49"/>
    <n v="73.7"/>
    <n v="2.4900000000000002"/>
    <n v="19.86"/>
    <n v="12866.47"/>
    <n v="8.34"/>
    <s v="Scheduled"/>
    <n v="26"/>
    <n v="20892.330000000002"/>
    <n v="0.93677204658901803"/>
    <n v="16798.21"/>
    <n v="192.67592346089799"/>
    <n v="541.45000000000005"/>
    <n v="0.93166497368178003"/>
    <n v="3901.4440765391"/>
    <n v="0.90648567119155354"/>
    <n v="6.3227953410981697E-2"/>
    <n v="1.4975041597337771E-2"/>
    <n v="0.93677204658901825"/>
    <n v="0.6166666666666667"/>
    <n v="504.45000000000005"/>
    <n v="1.191396570522351"/>
    <n v="1.2244897959183674"/>
    <n v="0.97297386592658663"/>
    <n v="0.93677204658901825"/>
    <n v="0.84917043740573106"/>
    <n v="27.95043261231281"/>
    <n v="6.4915874817622292"/>
    <s v="Medium"/>
    <s v="Warning"/>
  </r>
  <r>
    <n v="412"/>
    <d v="2026-01-13T00:00:00"/>
    <x v="2"/>
    <s v="Plant A"/>
    <x v="0"/>
    <x v="3"/>
    <x v="0"/>
    <x v="2"/>
    <s v="B260113-0412"/>
    <s v="OP118"/>
    <n v="511"/>
    <n v="482"/>
    <n v="459"/>
    <n v="23"/>
    <n v="9"/>
    <n v="29"/>
    <s v="Preventive Maintenance"/>
    <n v="64"/>
    <n v="68"/>
    <n v="70.2"/>
    <n v="2.17"/>
    <n v="16.43"/>
    <n v="15454.32"/>
    <n v="7.87"/>
    <s v="Completed"/>
    <n v="27"/>
    <n v="24005.93"/>
    <n v="0.95228215767634905"/>
    <n v="19143.689999999999"/>
    <n v="288.56614107883797"/>
    <n v="545.06666666666695"/>
    <n v="0.94679549902152604"/>
    <n v="4573.67385892116"/>
    <n v="0.94324853228962813"/>
    <n v="4.7717842323651449E-2"/>
    <n v="1.8672199170124481E-2"/>
    <n v="0.9522821576763485"/>
    <n v="0.48333333333333334"/>
    <n v="516.06666666666695"/>
    <n v="0.93398785686603747"/>
    <n v="0.9375"/>
    <n v="0.99625371399043994"/>
    <n v="0.9522821576763485"/>
    <n v="0.89823874755381505"/>
    <n v="39.717199170124481"/>
    <n v="9.4889499147741905"/>
    <s v="Low"/>
    <s v="Normal"/>
  </r>
  <r>
    <n v="413"/>
    <d v="2026-01-01T00:00:00"/>
    <x v="2"/>
    <s v="Plant A"/>
    <x v="3"/>
    <x v="11"/>
    <x v="2"/>
    <x v="4"/>
    <s v="B260101-0413"/>
    <s v="OP120"/>
    <n v="738"/>
    <n v="596"/>
    <n v="541"/>
    <n v="55"/>
    <n v="22"/>
    <n v="113"/>
    <s v="Material Shortage"/>
    <n v="57"/>
    <n v="60"/>
    <n v="70.3"/>
    <n v="2.02"/>
    <n v="25.4"/>
    <n v="15425.74"/>
    <n v="6.75"/>
    <s v="Scheduled"/>
    <n v="24"/>
    <n v="24140.92"/>
    <n v="0.90771812080536896"/>
    <n v="18691.84"/>
    <n v="569.40651006711403"/>
    <n v="701.1"/>
    <n v="0.83882470403651399"/>
    <n v="4879.6734899328903"/>
    <n v="0.80758807588075876"/>
    <n v="9.2281879194630878E-2"/>
    <n v="3.6912751677852351E-2"/>
    <n v="0.90771812080536918"/>
    <n v="1.8833333333333333"/>
    <n v="588.1"/>
    <n v="1.0134330896106103"/>
    <n v="1.0526315789473684"/>
    <n v="0.96276143513007983"/>
    <n v="0.90771812080536918"/>
    <n v="0.73306233062330617"/>
    <n v="31.362147651006712"/>
    <n v="8.187371627404179"/>
    <s v="High"/>
    <s v="Critical"/>
  </r>
  <r>
    <n v="414"/>
    <d v="2026-03-05T00:00:00"/>
    <x v="1"/>
    <s v="Plant B"/>
    <x v="0"/>
    <x v="3"/>
    <x v="2"/>
    <x v="4"/>
    <s v="B260305-0414"/>
    <s v="OP119"/>
    <n v="733"/>
    <n v="644"/>
    <n v="619"/>
    <n v="25"/>
    <n v="7"/>
    <n v="0"/>
    <s v="No Downtime"/>
    <n v="57"/>
    <n v="63"/>
    <n v="79.3"/>
    <n v="2.5099999999999998"/>
    <n v="20.97"/>
    <n v="18057.28"/>
    <n v="7.06"/>
    <s v="Scheduled"/>
    <n v="25"/>
    <n v="29033.94"/>
    <n v="0.96118012422360199"/>
    <n v="21423.01"/>
    <n v="196.274782608696"/>
    <n v="696.35"/>
    <n v="1"/>
    <n v="7414.6552173913096"/>
    <n v="0.87858117326057295"/>
    <n v="3.8819875776397512E-2"/>
    <n v="1.0869565217391304E-2"/>
    <n v="0.96118012422360244"/>
    <n v="0"/>
    <n v="696.35"/>
    <n v="0.92482228764270835"/>
    <n v="1.0526315789473684"/>
    <n v="0.87858117326057295"/>
    <n v="0.96118012422360244"/>
    <n v="0.84447476125511589"/>
    <n v="33.265543478260867"/>
    <n v="11.513439778557935"/>
    <s v="Medium"/>
    <s v="Warning"/>
  </r>
  <r>
    <n v="415"/>
    <d v="2026-03-19T00:00:00"/>
    <x v="1"/>
    <s v="Plant B"/>
    <x v="2"/>
    <x v="9"/>
    <x v="2"/>
    <x v="2"/>
    <s v="B260319-0415"/>
    <s v="OP131"/>
    <n v="478"/>
    <n v="417"/>
    <n v="382"/>
    <n v="35"/>
    <n v="12"/>
    <n v="18"/>
    <s v="Machine Breakdown"/>
    <n v="64"/>
    <n v="67"/>
    <n v="87.7"/>
    <n v="1.98"/>
    <n v="15"/>
    <n v="12289.87"/>
    <n v="8.93"/>
    <s v="Completed"/>
    <n v="6"/>
    <n v="19396.72"/>
    <n v="0.91606714628297403"/>
    <n v="16443.37"/>
    <n v="353.665323741007"/>
    <n v="509.86666666666702"/>
    <n v="0.96469665271966498"/>
    <n v="2599.6846762589898"/>
    <n v="0.87238493723849375"/>
    <n v="8.3932853717026384E-2"/>
    <n v="2.8776978417266189E-2"/>
    <n v="0.91606714628297359"/>
    <n v="0.3"/>
    <n v="491.86666666666702"/>
    <n v="0.84779072919490317"/>
    <n v="0.9375"/>
    <n v="0.90431011114123006"/>
    <n v="0.91606714628297359"/>
    <n v="0.79916317991631713"/>
    <n v="39.432541966426854"/>
    <n v="6.2342558183668819"/>
    <s v="High"/>
    <s v="Warning"/>
  </r>
  <r>
    <n v="416"/>
    <d v="2026-03-12T00:00:00"/>
    <x v="1"/>
    <s v="Plant B"/>
    <x v="2"/>
    <x v="4"/>
    <x v="0"/>
    <x v="1"/>
    <s v="B260312-0416"/>
    <s v="OP122"/>
    <n v="880"/>
    <n v="852"/>
    <n v="803"/>
    <n v="49"/>
    <n v="18"/>
    <n v="34"/>
    <s v="Machine Breakdown"/>
    <n v="45"/>
    <n v="47"/>
    <n v="69.2"/>
    <n v="1.28"/>
    <n v="32.4"/>
    <n v="17145.32"/>
    <n v="7.32"/>
    <s v="Completed"/>
    <n v="26"/>
    <n v="28825.439999999999"/>
    <n v="0.94248826291079801"/>
    <n v="20730.919999999998"/>
    <n v="362.225070422535"/>
    <n v="660"/>
    <n v="0.94848484848484904"/>
    <n v="7732.2949295774697"/>
    <n v="0.96818181818181814"/>
    <n v="5.7511737089201875E-2"/>
    <n v="2.1126760563380281E-2"/>
    <n v="0.94248826291079812"/>
    <n v="0.56666666666666665"/>
    <n v="626"/>
    <n v="1.3610223642172523"/>
    <n v="1.3333333333333333"/>
    <n v="1.0207667731629393"/>
    <n v="0.94248826291079812"/>
    <n v="0.91250000000000053"/>
    <n v="24.332065727699529"/>
    <n v="9.0754635323679214"/>
    <s v="Low"/>
    <s v="Normal"/>
  </r>
  <r>
    <n v="417"/>
    <d v="2026-02-07T00:00:00"/>
    <x v="4"/>
    <s v="Plant B"/>
    <x v="3"/>
    <x v="11"/>
    <x v="2"/>
    <x v="4"/>
    <s v="B260207-0417"/>
    <s v="OP111"/>
    <n v="597"/>
    <n v="518"/>
    <n v="472"/>
    <n v="46"/>
    <n v="9"/>
    <n v="31"/>
    <s v="Machine Breakdown"/>
    <n v="57"/>
    <n v="63"/>
    <n v="76.099999999999994"/>
    <n v="2.5299999999999998"/>
    <n v="17.61"/>
    <n v="14732.63"/>
    <n v="7.68"/>
    <s v="Overdue"/>
    <n v="33"/>
    <n v="21791.14"/>
    <n v="0.91119691119691104"/>
    <n v="18347.12"/>
    <n v="255.972335907336"/>
    <n v="567.15"/>
    <n v="0.94534073878162705"/>
    <n v="3188.0476640926599"/>
    <n v="0.86767169179229475"/>
    <n v="8.8803088803088806E-2"/>
    <n v="1.7374517374517374E-2"/>
    <n v="0.91119691119691115"/>
    <n v="0.51666666666666672"/>
    <n v="536.15"/>
    <n v="0.9661475333395505"/>
    <n v="1.0526315789473684"/>
    <n v="0.91784015667257302"/>
    <n v="0.91119691119691115"/>
    <n v="0.79061976549413704"/>
    <n v="35.419150579150575"/>
    <n v="6.1545321700630504"/>
    <s v="High"/>
    <s v="Warning"/>
  </r>
  <r>
    <n v="418"/>
    <d v="2026-01-23T00:00:00"/>
    <x v="2"/>
    <s v="Plant B"/>
    <x v="3"/>
    <x v="11"/>
    <x v="0"/>
    <x v="4"/>
    <s v="B260123-0418"/>
    <s v="OP106"/>
    <n v="594"/>
    <n v="563"/>
    <n v="524"/>
    <n v="39"/>
    <n v="10"/>
    <n v="8"/>
    <s v="Preventive Maintenance"/>
    <n v="57"/>
    <n v="58"/>
    <n v="74.2"/>
    <n v="2.0699999999999998"/>
    <n v="18.5"/>
    <n v="15814.92"/>
    <n v="7.83"/>
    <s v="Scheduled"/>
    <n v="24"/>
    <n v="24369.13"/>
    <n v="0.930728241563055"/>
    <n v="19504.919999999998"/>
    <n v="280.904440497336"/>
    <n v="564.29999999999995"/>
    <n v="0.98582314371788105"/>
    <n v="4583.3055595026699"/>
    <n v="0.94781144781144777"/>
    <n v="6.9271758436944941E-2"/>
    <n v="1.7761989342806393E-2"/>
    <n v="0.93072824156305511"/>
    <n v="0.13333333333333333"/>
    <n v="556.29999999999995"/>
    <n v="1.0120438612259572"/>
    <n v="1.0526315789473684"/>
    <n v="0.96144166816465948"/>
    <n v="0.93072824156305511"/>
    <n v="0.8821548821548828"/>
    <n v="34.644618117229129"/>
    <n v="8.1408624502711717"/>
    <s v="Low"/>
    <s v="Normal"/>
  </r>
  <r>
    <n v="419"/>
    <d v="2026-02-21T00:00:00"/>
    <x v="4"/>
    <s v="Plant B"/>
    <x v="3"/>
    <x v="7"/>
    <x v="1"/>
    <x v="3"/>
    <s v="B260221-0419"/>
    <s v="OP106"/>
    <n v="772"/>
    <n v="727"/>
    <n v="689"/>
    <n v="38"/>
    <n v="13"/>
    <n v="6"/>
    <s v="Material Shortage"/>
    <n v="49"/>
    <n v="53"/>
    <n v="73.099999999999994"/>
    <n v="1.69"/>
    <n v="25.1"/>
    <n v="15841.43"/>
    <n v="8.06"/>
    <s v="Completed"/>
    <n v="13"/>
    <n v="26274.54"/>
    <n v="0.94773039889958699"/>
    <n v="19694.330000000002"/>
    <n v="283.27178817056398"/>
    <n v="630.46666666666704"/>
    <n v="0.99048323992809595"/>
    <n v="6296.9382118294398"/>
    <n v="0.94170984455958551"/>
    <n v="5.2269601100412656E-2"/>
    <n v="1.7881705639614855E-2"/>
    <n v="0.94773039889958732"/>
    <n v="0.1"/>
    <n v="624.46666666666704"/>
    <n v="1.1641934450731284"/>
    <n v="1.2244897959183674"/>
    <n v="0.95075798014305479"/>
    <n v="0.94773039889958732"/>
    <n v="0.89248704663212408"/>
    <n v="27.08986244841816"/>
    <n v="8.6615381180597524"/>
    <s v="Low"/>
    <s v="Normal"/>
  </r>
  <r>
    <n v="420"/>
    <d v="2026-04-18T00:00:00"/>
    <x v="5"/>
    <s v="Plant A"/>
    <x v="3"/>
    <x v="11"/>
    <x v="2"/>
    <x v="1"/>
    <s v="B260418-0420"/>
    <s v="OP133"/>
    <n v="871"/>
    <n v="714"/>
    <n v="662"/>
    <n v="52"/>
    <n v="19"/>
    <n v="0"/>
    <s v="No Downtime"/>
    <n v="45"/>
    <n v="49"/>
    <n v="68"/>
    <n v="2.39"/>
    <n v="28.11"/>
    <n v="13854.24"/>
    <n v="6.05"/>
    <s v="Pending"/>
    <n v="27"/>
    <n v="23378.36"/>
    <n v="0.92717086834733897"/>
    <n v="16829.73"/>
    <n v="368.67025210084"/>
    <n v="653.25"/>
    <n v="1"/>
    <n v="6179.95974789916"/>
    <n v="0.81974741676234208"/>
    <n v="7.2829131652661069E-2"/>
    <n v="2.661064425770308E-2"/>
    <n v="0.92717086834733897"/>
    <n v="0"/>
    <n v="653.25"/>
    <n v="1.0929965556831229"/>
    <n v="1.3333333333333333"/>
    <n v="0.8197474167623422"/>
    <n v="0.92717086834733897"/>
    <n v="0.76004592422502881"/>
    <n v="23.571050420168067"/>
    <n v="8.655405809382577"/>
    <s v="High"/>
    <s v="Warning"/>
  </r>
  <r>
    <n v="421"/>
    <d v="2026-03-27T00:00:00"/>
    <x v="1"/>
    <s v="Plant A"/>
    <x v="4"/>
    <x v="12"/>
    <x v="1"/>
    <x v="3"/>
    <s v="B260327-0421"/>
    <s v="OP104"/>
    <n v="682"/>
    <n v="591"/>
    <n v="515"/>
    <n v="76"/>
    <n v="27"/>
    <n v="0"/>
    <s v="No Downtime"/>
    <n v="49"/>
    <n v="53"/>
    <n v="73.2"/>
    <n v="3.44"/>
    <n v="23.74"/>
    <n v="13194.95"/>
    <n v="6.81"/>
    <s v="Completed"/>
    <n v="21"/>
    <n v="19162.580000000002"/>
    <n v="0.87140439932318103"/>
    <n v="16473.11"/>
    <n v="602.81497461928905"/>
    <n v="556.96666666666704"/>
    <n v="1"/>
    <n v="2086.65502538071"/>
    <n v="0.86656891495601174"/>
    <n v="0.12859560067681894"/>
    <n v="4.5685279187817257E-2"/>
    <n v="0.87140439932318103"/>
    <n v="0"/>
    <n v="556.96666666666704"/>
    <n v="1.0611047938236871"/>
    <n v="1.2244897959183674"/>
    <n v="0.86656891495601107"/>
    <n v="0.87140439932318103"/>
    <n v="0.7551319648093836"/>
    <n v="27.873282571912014"/>
    <n v="3.5307191630807275"/>
    <s v="High"/>
    <s v="Warning"/>
  </r>
  <r>
    <n v="422"/>
    <d v="2026-01-31T00:00:00"/>
    <x v="2"/>
    <s v="Plant A"/>
    <x v="3"/>
    <x v="8"/>
    <x v="0"/>
    <x v="0"/>
    <s v="B260131-0422"/>
    <s v="OP133"/>
    <n v="947"/>
    <n v="850"/>
    <n v="797"/>
    <n v="53"/>
    <n v="17"/>
    <n v="43"/>
    <s v="Tool Change"/>
    <n v="42"/>
    <n v="41"/>
    <n v="72.900000000000006"/>
    <n v="2.96"/>
    <n v="31.29"/>
    <n v="15013.97"/>
    <n v="6.9"/>
    <s v="Completed"/>
    <n v="43"/>
    <n v="24955.69"/>
    <n v="0.93764705882352894"/>
    <n v="18400.580000000002"/>
    <n v="300.27940000000001"/>
    <n v="662.9"/>
    <n v="0.93513350429929099"/>
    <n v="6254.8306000000002"/>
    <n v="0.89757127771911294"/>
    <n v="6.235294117647059E-2"/>
    <n v="0.02"/>
    <n v="0.93764705882352939"/>
    <n v="0.71666666666666667"/>
    <n v="619.9"/>
    <n v="1.3711889014357155"/>
    <n v="1.4285714285714286"/>
    <n v="0.95983223100500081"/>
    <n v="0.93764705882352939"/>
    <n v="0.84160506863780349"/>
    <n v="21.647741176470589"/>
    <n v="7.3586242352941182"/>
    <s v="Medium"/>
    <s v="Warning"/>
  </r>
  <r>
    <n v="423"/>
    <d v="2026-06-18T00:00:00"/>
    <x v="0"/>
    <s v="Plant A"/>
    <x v="3"/>
    <x v="11"/>
    <x v="1"/>
    <x v="4"/>
    <s v="B260618-0423"/>
    <s v="OP131"/>
    <n v="642"/>
    <n v="562"/>
    <n v="521"/>
    <n v="41"/>
    <n v="8"/>
    <n v="0"/>
    <s v="No Downtime"/>
    <n v="57"/>
    <n v="60"/>
    <n v="76.900000000000006"/>
    <n v="2.4700000000000002"/>
    <n v="19.079999999999998"/>
    <n v="14548.14"/>
    <n v="7.18"/>
    <s v="Scheduled"/>
    <n v="8"/>
    <n v="24531.439999999999"/>
    <n v="0.92704626334519602"/>
    <n v="17950.86"/>
    <n v="207.090960854093"/>
    <n v="609.9"/>
    <n v="1"/>
    <n v="6373.4890391459103"/>
    <n v="0.87538940809968846"/>
    <n v="7.2953736654804271E-2"/>
    <n v="1.4234875444839857E-2"/>
    <n v="0.92704626334519569"/>
    <n v="0"/>
    <n v="609.9"/>
    <n v="0.92146253484177743"/>
    <n v="1.0526315789473684"/>
    <n v="0.87538940809968857"/>
    <n v="0.92704626334519569"/>
    <n v="0.81152647975077885"/>
    <n v="31.941032028469753"/>
    <n v="11.340727827661762"/>
    <s v="Medium"/>
    <s v="Warning"/>
  </r>
  <r>
    <n v="424"/>
    <d v="2026-06-08T00:00:00"/>
    <x v="0"/>
    <s v="Plant B"/>
    <x v="0"/>
    <x v="1"/>
    <x v="2"/>
    <x v="3"/>
    <s v="B260608-0424"/>
    <s v="OP130"/>
    <n v="761"/>
    <n v="632"/>
    <n v="592"/>
    <n v="40"/>
    <n v="9"/>
    <n v="32"/>
    <s v="Setup Time"/>
    <n v="49"/>
    <n v="50"/>
    <n v="77"/>
    <n v="1.76"/>
    <n v="20.9"/>
    <n v="14009.36"/>
    <n v="7.24"/>
    <s v="Overdue"/>
    <n v="31"/>
    <n v="22010.14"/>
    <n v="0.936708860759494"/>
    <n v="17455.46"/>
    <n v="199.50037974683499"/>
    <n v="621.48333333333301"/>
    <n v="0.94851028453431296"/>
    <n v="4355.1796202531696"/>
    <n v="0.83048620236530879"/>
    <n v="6.3291139240506333E-2"/>
    <n v="1.4240506329113924E-2"/>
    <n v="0.93670886075949367"/>
    <n v="0.53333333333333333"/>
    <n v="589.48333333333301"/>
    <n v="1.0721253074726462"/>
    <n v="1.2244897959183674"/>
    <n v="0.87556900110266112"/>
    <n v="0.93670886075949367"/>
    <n v="0.77792378449408717"/>
    <n v="27.619398734177214"/>
    <n v="6.8911069940714711"/>
    <s v="High"/>
    <s v="Warning"/>
  </r>
  <r>
    <n v="425"/>
    <d v="2026-06-18T00:00:00"/>
    <x v="0"/>
    <s v="Plant B"/>
    <x v="1"/>
    <x v="5"/>
    <x v="2"/>
    <x v="4"/>
    <s v="B260618-0425"/>
    <s v="OP125"/>
    <n v="640"/>
    <n v="568"/>
    <n v="543"/>
    <n v="25"/>
    <n v="9"/>
    <n v="43"/>
    <s v="Tool Change"/>
    <n v="57"/>
    <n v="62"/>
    <n v="79.7"/>
    <n v="1.53"/>
    <n v="17.96"/>
    <n v="16056.51"/>
    <n v="7.07"/>
    <s v="Pending"/>
    <n v="31"/>
    <n v="24977.15"/>
    <n v="0.95598591549295797"/>
    <n v="19399.650000000001"/>
    <n v="254.416531690141"/>
    <n v="608"/>
    <n v="0.92927631578947401"/>
    <n v="5323.0834683098601"/>
    <n v="0.88749999999999996"/>
    <n v="4.401408450704225E-2"/>
    <n v="1.5845070422535211E-2"/>
    <n v="0.95598591549295775"/>
    <n v="0.71666666666666667"/>
    <n v="565"/>
    <n v="1.0053097345132744"/>
    <n v="1.0526315789473684"/>
    <n v="0.95504424778761077"/>
    <n v="0.95598591549295775"/>
    <n v="0.8484375000000004"/>
    <n v="34.154313380281693"/>
    <n v="9.3716258244891897"/>
    <s v="Medium"/>
    <s v="Warning"/>
  </r>
  <r>
    <n v="426"/>
    <d v="2026-06-23T00:00:00"/>
    <x v="0"/>
    <s v="Plant B"/>
    <x v="4"/>
    <x v="14"/>
    <x v="2"/>
    <x v="1"/>
    <s v="B260623-0426"/>
    <s v="OP116"/>
    <n v="733"/>
    <n v="671"/>
    <n v="614"/>
    <n v="57"/>
    <n v="22"/>
    <n v="40"/>
    <s v="Quality Inspection"/>
    <n v="45"/>
    <n v="47"/>
    <n v="78.3"/>
    <n v="2.37"/>
    <n v="22.05"/>
    <n v="13931.35"/>
    <n v="9.1300000000000008"/>
    <s v="Pending"/>
    <n v="15"/>
    <n v="21259.4"/>
    <n v="0.91505216095380004"/>
    <n v="18238.3"/>
    <n v="456.76557377049198"/>
    <n v="549.75"/>
    <n v="0.92723965438835798"/>
    <n v="2564.33442622951"/>
    <n v="0.91541609822646652"/>
    <n v="8.4947839046199708E-2"/>
    <n v="3.2786885245901641E-2"/>
    <n v="0.91505216095380026"/>
    <n v="0.66666666666666663"/>
    <n v="509.75"/>
    <n v="1.316331535066209"/>
    <n v="1.3333333333333333"/>
    <n v="0.98724865129965678"/>
    <n v="0.91505216095380026"/>
    <n v="0.8376534788540243"/>
    <n v="27.180774962742174"/>
    <n v="3.8216608438591804"/>
    <s v="Medium"/>
    <s v="Warning"/>
  </r>
  <r>
    <n v="427"/>
    <d v="2026-06-28T00:00:00"/>
    <x v="0"/>
    <s v="Plant B"/>
    <x v="1"/>
    <x v="5"/>
    <x v="2"/>
    <x v="4"/>
    <s v="B260628-0427"/>
    <s v="OP113"/>
    <n v="570"/>
    <n v="516"/>
    <n v="493"/>
    <n v="23"/>
    <n v="8"/>
    <n v="24"/>
    <s v="Machine Breakdown"/>
    <n v="57"/>
    <n v="58"/>
    <n v="63.6"/>
    <n v="2.25"/>
    <n v="17.43"/>
    <n v="14859.7"/>
    <n v="7.59"/>
    <s v="Completed"/>
    <n v="14"/>
    <n v="22741.38"/>
    <n v="0.95542635658914699"/>
    <n v="18432.07"/>
    <n v="230.38294573643401"/>
    <n v="541.5"/>
    <n v="0.955678670360111"/>
    <n v="4078.92705426357"/>
    <n v="0.90526315789473688"/>
    <n v="4.4573643410852716E-2"/>
    <n v="1.5503875968992248E-2"/>
    <n v="0.95542635658914732"/>
    <n v="0.4"/>
    <n v="517.5"/>
    <n v="0.99710144927536237"/>
    <n v="1.0526315789473684"/>
    <n v="0.94724637681159429"/>
    <n v="0.95542635658914732"/>
    <n v="0.86491228070175463"/>
    <n v="35.721065891472868"/>
    <n v="7.9048973919836625"/>
    <s v="Low"/>
    <s v="Normal"/>
  </r>
  <r>
    <n v="428"/>
    <d v="2026-01-19T00:00:00"/>
    <x v="2"/>
    <s v="Plant B"/>
    <x v="3"/>
    <x v="11"/>
    <x v="1"/>
    <x v="2"/>
    <s v="B260119-0428"/>
    <s v="OP134"/>
    <n v="577"/>
    <n v="542"/>
    <n v="498"/>
    <n v="44"/>
    <n v="15"/>
    <n v="37"/>
    <s v="Material Shortage"/>
    <n v="64"/>
    <n v="70"/>
    <n v="77.400000000000006"/>
    <n v="1.46"/>
    <n v="23.47"/>
    <n v="16050.33"/>
    <n v="8.3699999999999992"/>
    <s v="Completed"/>
    <n v="38"/>
    <n v="25894"/>
    <n v="0.91881918819188202"/>
    <n v="20028.060000000001"/>
    <n v="444.19732472324699"/>
    <n v="615.46666666666704"/>
    <n v="0.93988301559791998"/>
    <n v="5421.7426752767597"/>
    <n v="0.93934142114384744"/>
    <n v="8.1180811808118078E-2"/>
    <n v="2.7675276752767528E-2"/>
    <n v="0.91881918819188191"/>
    <n v="0.6166666666666667"/>
    <n v="578.46666666666704"/>
    <n v="0.93695977872536529"/>
    <n v="0.9375"/>
    <n v="0.99942376397372301"/>
    <n v="0.91881918819188191"/>
    <n v="0.86308492201039777"/>
    <n v="36.952140221402217"/>
    <n v="10.003215268038302"/>
    <s v="Medium"/>
    <s v="Warning"/>
  </r>
  <r>
    <n v="429"/>
    <d v="2026-01-14T00:00:00"/>
    <x v="2"/>
    <s v="Plant B"/>
    <x v="0"/>
    <x v="3"/>
    <x v="2"/>
    <x v="3"/>
    <s v="B260114-0429"/>
    <s v="OP117"/>
    <n v="819"/>
    <n v="669"/>
    <n v="625"/>
    <n v="44"/>
    <n v="9"/>
    <n v="44"/>
    <s v="Setup Time"/>
    <n v="49"/>
    <n v="49"/>
    <n v="71.5"/>
    <n v="2.86"/>
    <n v="25.98"/>
    <n v="14299.51"/>
    <n v="5.96"/>
    <s v="Pending"/>
    <n v="46"/>
    <n v="23409.26"/>
    <n v="0.93423019431987997"/>
    <n v="17215.330000000002"/>
    <n v="192.37008968609899"/>
    <n v="668.85"/>
    <n v="0.93421544441952598"/>
    <n v="6001.5599103139002"/>
    <n v="0.81684981684981683"/>
    <n v="6.5769805680119586E-2"/>
    <n v="1.3452914798206279E-2"/>
    <n v="0.93423019431988041"/>
    <n v="0.73333333333333328"/>
    <n v="624.85"/>
    <n v="1.0706569576698408"/>
    <n v="1.2244897959183674"/>
    <n v="0.87436984876370327"/>
    <n v="0.93423019431988041"/>
    <n v="0.76312576312576297"/>
    <n v="25.73292974588939"/>
    <n v="8.9709415699759347"/>
    <s v="High"/>
    <s v="Warning"/>
  </r>
  <r>
    <n v="430"/>
    <d v="2026-03-27T00:00:00"/>
    <x v="1"/>
    <s v="Plant A"/>
    <x v="3"/>
    <x v="8"/>
    <x v="1"/>
    <x v="1"/>
    <s v="B260327-0430"/>
    <s v="OP104"/>
    <n v="800"/>
    <n v="695"/>
    <n v="656"/>
    <n v="39"/>
    <n v="11"/>
    <n v="29"/>
    <s v="Preventive Maintenance"/>
    <n v="45"/>
    <n v="48"/>
    <n v="73.599999999999994"/>
    <n v="1.7"/>
    <n v="28.23"/>
    <n v="14910.04"/>
    <n v="7.63"/>
    <s v="Completed"/>
    <n v="18"/>
    <n v="23267.66"/>
    <n v="0.94388489208633097"/>
    <n v="18597.61"/>
    <n v="235.98624460431699"/>
    <n v="600"/>
    <n v="0.95166666666666699"/>
    <n v="4434.0637553956803"/>
    <n v="0.86875000000000002"/>
    <n v="5.6115107913669061E-2"/>
    <n v="1.5827338129496403E-2"/>
    <n v="0.94388489208633097"/>
    <n v="0.48333333333333334"/>
    <n v="571"/>
    <n v="1.2171628721541157"/>
    <n v="1.3333333333333333"/>
    <n v="0.91287215411558675"/>
    <n v="0.94388489208633097"/>
    <n v="0.8200000000000004"/>
    <n v="26.759151079136693"/>
    <n v="6.3799478494901871"/>
    <s v="Medium"/>
    <s v="Warning"/>
  </r>
  <r>
    <n v="431"/>
    <d v="2026-01-27T00:00:00"/>
    <x v="2"/>
    <s v="Plant A"/>
    <x v="1"/>
    <x v="6"/>
    <x v="0"/>
    <x v="3"/>
    <s v="B260127-0431"/>
    <s v="OP131"/>
    <n v="775"/>
    <n v="854"/>
    <n v="804"/>
    <n v="50"/>
    <n v="9"/>
    <n v="13"/>
    <s v="Setup Time"/>
    <n v="49"/>
    <n v="47"/>
    <n v="68.8"/>
    <n v="1.73"/>
    <n v="29.92"/>
    <n v="18511.2"/>
    <n v="8.39"/>
    <s v="Pending"/>
    <n v="30"/>
    <n v="30642.82"/>
    <n v="0.94145199063231899"/>
    <n v="22555.98"/>
    <n v="195.08290398126499"/>
    <n v="632.91666666666697"/>
    <n v="0.97946017116523998"/>
    <n v="7891.7570960187404"/>
    <n v="1.1019354838709678"/>
    <n v="5.8548009367681501E-2"/>
    <n v="1.0538641686182669E-2"/>
    <n v="0.94145199063231855"/>
    <n v="0.21666666666666667"/>
    <n v="619.91666666666697"/>
    <n v="1.3776045167361197"/>
    <n v="1.2244897959183674"/>
    <n v="1.125043688667831"/>
    <n v="0.94145199063231855"/>
    <n v="1.0374193548387087"/>
    <n v="26.412154566744729"/>
    <n v="9.2409333677034429"/>
    <s v="Medium"/>
    <s v="Normal"/>
  </r>
  <r>
    <n v="432"/>
    <d v="2026-01-30T00:00:00"/>
    <x v="2"/>
    <s v="Plant B"/>
    <x v="0"/>
    <x v="0"/>
    <x v="2"/>
    <x v="3"/>
    <s v="B260130-0432"/>
    <s v="OP113"/>
    <n v="795"/>
    <n v="690"/>
    <n v="650"/>
    <n v="40"/>
    <n v="13"/>
    <n v="31"/>
    <s v="Tool Change"/>
    <n v="49"/>
    <n v="50"/>
    <n v="71.8"/>
    <n v="1.1100000000000001"/>
    <n v="29.31"/>
    <n v="15580.44"/>
    <n v="8.58"/>
    <s v="Completed"/>
    <n v="16"/>
    <n v="24146.79"/>
    <n v="0.94202898550724601"/>
    <n v="19705.23"/>
    <n v="293.54452173913"/>
    <n v="649.25"/>
    <n v="0.95225259915286897"/>
    <n v="4148.0154782608697"/>
    <n v="0.86792452830188682"/>
    <n v="5.7971014492753624E-2"/>
    <n v="1.8840579710144929E-2"/>
    <n v="0.94202898550724634"/>
    <n v="0.51666666666666672"/>
    <n v="618.25"/>
    <n v="1.1160533764658309"/>
    <n v="1.2244897959183674"/>
    <n v="0.91144359078042858"/>
    <n v="0.94202898550724634"/>
    <n v="0.81761006289308191"/>
    <n v="28.558304347826088"/>
    <n v="6.0116166351606806"/>
    <s v="Medium"/>
    <s v="Warning"/>
  </r>
  <r>
    <n v="433"/>
    <d v="2026-02-16T00:00:00"/>
    <x v="4"/>
    <s v="Plant B"/>
    <x v="0"/>
    <x v="1"/>
    <x v="0"/>
    <x v="1"/>
    <s v="B260216-0433"/>
    <s v="OP116"/>
    <n v="829"/>
    <n v="780"/>
    <n v="732"/>
    <n v="48"/>
    <n v="19"/>
    <n v="35"/>
    <s v="Preventive Maintenance"/>
    <n v="45"/>
    <n v="44"/>
    <n v="70.7"/>
    <n v="1.84"/>
    <n v="27.99"/>
    <n v="15734.67"/>
    <n v="8.49"/>
    <s v="Pending"/>
    <n v="9"/>
    <n v="25226.79"/>
    <n v="0.93846153846153901"/>
    <n v="19807.080000000002"/>
    <n v="383.280423076923"/>
    <n v="621.75"/>
    <n v="0.94370727784479302"/>
    <n v="5036.4295769230803"/>
    <n v="0.94089264173703258"/>
    <n v="6.1538461538461542E-2"/>
    <n v="2.4358974358974359E-2"/>
    <n v="0.93846153846153846"/>
    <n v="0.58333333333333337"/>
    <n v="586.75"/>
    <n v="1.3293566254793354"/>
    <n v="1.3333333333333333"/>
    <n v="0.99701746910950162"/>
    <n v="0.93846153846153846"/>
    <n v="0.8829915560916769"/>
    <n v="25.393692307692309"/>
    <n v="6.4569609960552308"/>
    <s v="Medium"/>
    <s v="Normal"/>
  </r>
  <r>
    <n v="434"/>
    <d v="2026-03-10T00:00:00"/>
    <x v="1"/>
    <s v="Plant B"/>
    <x v="2"/>
    <x v="9"/>
    <x v="0"/>
    <x v="3"/>
    <s v="B260310-0434"/>
    <s v="OP127"/>
    <n v="868"/>
    <n v="835"/>
    <n v="800"/>
    <n v="35"/>
    <n v="13"/>
    <n v="23"/>
    <s v="Setup Time"/>
    <n v="49"/>
    <n v="49"/>
    <n v="71.8"/>
    <n v="1.74"/>
    <n v="26.63"/>
    <n v="18807.22"/>
    <n v="8.99"/>
    <s v="Completed"/>
    <n v="2"/>
    <n v="29696.37"/>
    <n v="0.95808383233532901"/>
    <n v="23092.39"/>
    <n v="292.80701796407197"/>
    <n v="708.86666666666702"/>
    <n v="0.96755384181322301"/>
    <n v="6311.1729820359296"/>
    <n v="0.96198156682027647"/>
    <n v="4.1916167664670656E-2"/>
    <n v="1.5568862275449102E-2"/>
    <n v="0.95808383233532934"/>
    <n v="0.38333333333333336"/>
    <n v="685.86666666666702"/>
    <n v="1.2174377916018657"/>
    <n v="1.2244897959183674"/>
    <n v="0.9942408631415236"/>
    <n v="0.95808383233532934"/>
    <n v="0.92165898617511477"/>
    <n v="27.655556886227544"/>
    <n v="7.5582909964502152"/>
    <s v="Low"/>
    <s v="Normal"/>
  </r>
  <r>
    <n v="435"/>
    <d v="2026-05-08T00:00:00"/>
    <x v="3"/>
    <s v="Plant A"/>
    <x v="4"/>
    <x v="13"/>
    <x v="1"/>
    <x v="3"/>
    <s v="B260508-0435"/>
    <s v="OP106"/>
    <n v="650"/>
    <n v="592"/>
    <n v="565"/>
    <n v="27"/>
    <n v="7"/>
    <n v="9"/>
    <s v="Setup Time"/>
    <n v="49"/>
    <n v="50"/>
    <n v="72.900000000000006"/>
    <n v="2.2599999999999998"/>
    <n v="21.18"/>
    <n v="12283.18"/>
    <n v="8.39"/>
    <s v="Pending"/>
    <n v="13"/>
    <n v="22014.52"/>
    <n v="0.954391891891892"/>
    <n v="16249.3"/>
    <n v="145.24030405405401"/>
    <n v="530.83333333333303"/>
    <n v="0.98304552590266903"/>
    <n v="5619.97969594595"/>
    <n v="0.91076923076923078"/>
    <n v="4.5608108108108107E-2"/>
    <n v="1.1824324324324325E-2"/>
    <n v="0.95439189189189189"/>
    <n v="0.15"/>
    <n v="521.83333333333303"/>
    <n v="1.1344618332801029"/>
    <n v="1.2244897959183674"/>
    <n v="0.92647716384541734"/>
    <n v="0.95439189189189189"/>
    <n v="0.86923076923076992"/>
    <n v="27.44814189189189"/>
    <n v="9.4932089458546454"/>
    <s v="Medium"/>
    <s v="Normal"/>
  </r>
  <r>
    <n v="436"/>
    <d v="2026-03-09T00:00:00"/>
    <x v="1"/>
    <s v="Plant A"/>
    <x v="0"/>
    <x v="1"/>
    <x v="1"/>
    <x v="4"/>
    <s v="B260309-0436"/>
    <s v="OP128"/>
    <n v="720"/>
    <n v="708"/>
    <n v="665"/>
    <n v="43"/>
    <n v="17"/>
    <n v="24"/>
    <s v="Machine Breakdown"/>
    <n v="57"/>
    <n v="58"/>
    <n v="70.599999999999994"/>
    <n v="1.41"/>
    <n v="25.48"/>
    <n v="19629.580000000002"/>
    <n v="8.76"/>
    <s v="Completed"/>
    <n v="35"/>
    <n v="30372.12"/>
    <n v="0.93926553672316404"/>
    <n v="23800.9"/>
    <n v="471.33172316384201"/>
    <n v="684"/>
    <n v="0.96491228070175405"/>
    <n v="6099.88827683616"/>
    <n v="0.98333333333333328"/>
    <n v="6.0734463276836161E-2"/>
    <n v="2.4011299435028249E-2"/>
    <n v="0.93926553672316382"/>
    <n v="0.4"/>
    <n v="660"/>
    <n v="1.0727272727272728"/>
    <n v="1.0526315789473684"/>
    <n v="1.0190909090909093"/>
    <n v="0.93926553672316382"/>
    <n v="0.92361111111111094"/>
    <n v="33.617090395480226"/>
    <n v="8.6156614079606779"/>
    <s v="Medium"/>
    <s v="Normal"/>
  </r>
  <r>
    <n v="437"/>
    <d v="2026-03-02T00:00:00"/>
    <x v="1"/>
    <s v="Plant A"/>
    <x v="0"/>
    <x v="1"/>
    <x v="2"/>
    <x v="2"/>
    <s v="B260302-0437"/>
    <s v="OP106"/>
    <n v="513"/>
    <n v="455"/>
    <n v="427"/>
    <n v="28"/>
    <n v="7"/>
    <n v="41"/>
    <s v="Machine Breakdown"/>
    <n v="64"/>
    <n v="66"/>
    <n v="75.8"/>
    <n v="1.63"/>
    <n v="19.45"/>
    <n v="14693.34"/>
    <n v="7.68"/>
    <s v="Completed"/>
    <n v="19"/>
    <n v="21549.7"/>
    <n v="0.93846153846153901"/>
    <n v="18324.39"/>
    <n v="226.05138461538499"/>
    <n v="547.20000000000005"/>
    <n v="0.92507309941520499"/>
    <n v="2999.25861538462"/>
    <n v="0.88693957115009747"/>
    <n v="6.1538461538461542E-2"/>
    <n v="1.5384615384615385E-2"/>
    <n v="0.93846153846153846"/>
    <n v="0.68333333333333335"/>
    <n v="506.20000000000005"/>
    <n v="0.89885420782299474"/>
    <n v="0.9375"/>
    <n v="0.95877782167786108"/>
    <n v="0.93846153846153846"/>
    <n v="0.83235867446393785"/>
    <n v="40.273384615384614"/>
    <n v="6.5917771766694946"/>
    <s v="Medium"/>
    <s v="Warning"/>
  </r>
  <r>
    <n v="438"/>
    <d v="2026-01-10T00:00:00"/>
    <x v="2"/>
    <s v="Plant B"/>
    <x v="1"/>
    <x v="6"/>
    <x v="2"/>
    <x v="0"/>
    <s v="B260110-0438"/>
    <s v="OP104"/>
    <n v="760"/>
    <n v="665"/>
    <n v="619"/>
    <n v="46"/>
    <n v="10"/>
    <n v="11"/>
    <s v="Machine Breakdown"/>
    <n v="42"/>
    <n v="43"/>
    <n v="72.400000000000006"/>
    <n v="1.71"/>
    <n v="24.52"/>
    <n v="12476.63"/>
    <n v="6.44"/>
    <s v="Completed"/>
    <n v="7"/>
    <n v="19259.52"/>
    <n v="0.930827067669173"/>
    <n v="15595.31"/>
    <n v="187.61849624060201"/>
    <n v="532"/>
    <n v="0.97932330827067704"/>
    <n v="3476.5915037594"/>
    <n v="0.875"/>
    <n v="6.9172932330827067E-2"/>
    <n v="1.5037593984962405E-2"/>
    <n v="0.93082706766917289"/>
    <n v="0.18333333333333332"/>
    <n v="521"/>
    <n v="1.2763915547024951"/>
    <n v="1.4285714285714286"/>
    <n v="0.89347408829174657"/>
    <n v="0.93082706766917289"/>
    <n v="0.81447368421052646"/>
    <n v="23.451593984962404"/>
    <n v="5.2279571485103755"/>
    <s v="Medium"/>
    <s v="Warning"/>
  </r>
  <r>
    <n v="439"/>
    <d v="2026-06-25T00:00:00"/>
    <x v="0"/>
    <s v="Plant B"/>
    <x v="2"/>
    <x v="10"/>
    <x v="0"/>
    <x v="1"/>
    <s v="B260625-0439"/>
    <s v="OP104"/>
    <n v="812"/>
    <n v="838"/>
    <n v="743"/>
    <n v="95"/>
    <n v="36"/>
    <n v="40"/>
    <s v="Tool Change"/>
    <n v="45"/>
    <n v="45"/>
    <n v="76.8"/>
    <n v="2.39"/>
    <n v="32.4"/>
    <n v="17027.43"/>
    <n v="8.39"/>
    <s v="Completed"/>
    <n v="47"/>
    <n v="26171.9"/>
    <n v="0.88663484486873501"/>
    <n v="21094.53"/>
    <n v="731.488639618138"/>
    <n v="609"/>
    <n v="0.93431855500821004"/>
    <n v="4345.8813603818598"/>
    <n v="1.0320197044334976"/>
    <n v="0.11336515513126491"/>
    <n v="4.2959427207637228E-2"/>
    <n v="0.88663484486873512"/>
    <n v="0.66666666666666663"/>
    <n v="569"/>
    <n v="1.4727592267135325"/>
    <n v="1.3333333333333333"/>
    <n v="1.1045694200351495"/>
    <n v="0.88663484486873512"/>
    <n v="0.915024630541872"/>
    <n v="25.172470167064439"/>
    <n v="5.1860159431764439"/>
    <s v="Medium"/>
    <s v="Warning"/>
  </r>
  <r>
    <n v="440"/>
    <d v="2026-04-03T00:00:00"/>
    <x v="5"/>
    <s v="Plant B"/>
    <x v="1"/>
    <x v="6"/>
    <x v="0"/>
    <x v="2"/>
    <s v="B260403-0440"/>
    <s v="OP119"/>
    <n v="609"/>
    <n v="608"/>
    <n v="572"/>
    <n v="36"/>
    <n v="13"/>
    <n v="12"/>
    <s v="Machine Breakdown"/>
    <n v="64"/>
    <n v="67"/>
    <n v="74.7"/>
    <n v="2.2599999999999998"/>
    <n v="23.69"/>
    <n v="19329.39"/>
    <n v="10.28"/>
    <s v="Scheduled"/>
    <n v="23"/>
    <n v="29891.57"/>
    <n v="0.94078947368421095"/>
    <n v="24168.6"/>
    <n v="413.292878289474"/>
    <n v="649.6"/>
    <n v="0.98152709359605905"/>
    <n v="5309.6771217105297"/>
    <n v="0.99835796387520526"/>
    <n v="5.921052631578947E-2"/>
    <n v="2.1381578947368422E-2"/>
    <n v="0.94078947368421051"/>
    <n v="0.2"/>
    <n v="637.6"/>
    <n v="0.95357590966122963"/>
    <n v="0.9375"/>
    <n v="1.0171476369719783"/>
    <n v="0.94078947368421051"/>
    <n v="0.93924466338259438"/>
    <n v="39.750986842105263"/>
    <n v="8.7330215817607399"/>
    <s v="Low"/>
    <s v="Normal"/>
  </r>
  <r>
    <n v="441"/>
    <d v="2026-06-18T00:00:00"/>
    <x v="0"/>
    <s v="Plant A"/>
    <x v="1"/>
    <x v="6"/>
    <x v="0"/>
    <x v="0"/>
    <s v="B260618-0441"/>
    <s v="OP115"/>
    <n v="977"/>
    <n v="1172"/>
    <n v="1105"/>
    <n v="67"/>
    <n v="20"/>
    <n v="0"/>
    <s v="No Downtime"/>
    <n v="42"/>
    <n v="43"/>
    <n v="79.099999999999994"/>
    <n v="2.2599999999999998"/>
    <n v="37.64"/>
    <n v="21877.77"/>
    <n v="12.24"/>
    <s v="Completed"/>
    <n v="10"/>
    <n v="35994.370000000003"/>
    <n v="0.94283276450511899"/>
    <n v="27724.53"/>
    <n v="373.34078498293502"/>
    <n v="683.9"/>
    <n v="1"/>
    <n v="7896.4992150170701"/>
    <n v="1.1995905834186285"/>
    <n v="5.7167235494880543E-2"/>
    <n v="1.7064846416382253E-2"/>
    <n v="0.94283276450511944"/>
    <n v="0"/>
    <n v="683.9"/>
    <n v="1.7137008334551835"/>
    <n v="1.4285714285714286"/>
    <n v="1.1995905834186285"/>
    <n v="0.94283276450511944"/>
    <n v="1.1310133060388945"/>
    <n v="23.655742320819112"/>
    <n v="6.7376273165674663"/>
    <s v="Low"/>
    <s v="Normal"/>
  </r>
  <r>
    <n v="442"/>
    <d v="2026-04-03T00:00:00"/>
    <x v="5"/>
    <s v="Plant A"/>
    <x v="1"/>
    <x v="2"/>
    <x v="1"/>
    <x v="0"/>
    <s v="B260403-0442"/>
    <s v="OP116"/>
    <n v="947"/>
    <n v="945"/>
    <n v="901"/>
    <n v="44"/>
    <n v="13"/>
    <n v="31"/>
    <s v="Material Shortage"/>
    <n v="42"/>
    <n v="43"/>
    <n v="78.3"/>
    <n v="1.72"/>
    <n v="33.4"/>
    <n v="18168.060000000001"/>
    <n v="7.6"/>
    <s v="Completed"/>
    <n v="8"/>
    <n v="29310.23"/>
    <n v="0.95343915343915298"/>
    <n v="21888.66"/>
    <n v="249.93098412698399"/>
    <n v="662.9"/>
    <n v="0.95323578216925597"/>
    <n v="7171.6390158730201"/>
    <n v="0.99788806758183735"/>
    <n v="4.656084656084656E-2"/>
    <n v="1.3756613756613757E-2"/>
    <n v="0.95343915343915342"/>
    <n v="0.51666666666666672"/>
    <n v="631.9"/>
    <n v="1.4954897926887165"/>
    <n v="1.4285714285714286"/>
    <n v="1.0468428548821016"/>
    <n v="0.95343915343915342"/>
    <n v="0.9514255543822594"/>
    <n v="23.162603174603174"/>
    <n v="7.589035995632825"/>
    <s v="Low"/>
    <s v="Normal"/>
  </r>
  <r>
    <n v="443"/>
    <d v="2026-04-15T00:00:00"/>
    <x v="5"/>
    <s v="Plant A"/>
    <x v="2"/>
    <x v="10"/>
    <x v="2"/>
    <x v="3"/>
    <s v="B260415-0443"/>
    <s v="OP108"/>
    <n v="661"/>
    <n v="573"/>
    <n v="511"/>
    <n v="62"/>
    <n v="22"/>
    <n v="25"/>
    <s v="Setup Time"/>
    <n v="49"/>
    <n v="52"/>
    <n v="77"/>
    <n v="2.38"/>
    <n v="20.52"/>
    <n v="13164.89"/>
    <n v="8.6300000000000008"/>
    <s v="Completed"/>
    <n v="17"/>
    <n v="19029.95"/>
    <n v="0.89179755671902305"/>
    <n v="17233.07"/>
    <n v="505.45825479930198"/>
    <n v="539.81666666666695"/>
    <n v="0.95368798048720305"/>
    <n v="1291.4217452006999"/>
    <n v="0.86686838124054466"/>
    <n v="0.10820244328097731"/>
    <n v="3.8394415357766144E-2"/>
    <n v="0.89179755671902272"/>
    <n v="0.41666666666666669"/>
    <n v="514.81666666666695"/>
    <n v="1.113017579073456"/>
    <n v="1.2244897959183674"/>
    <n v="0.90896435624332239"/>
    <n v="0.89179755671902272"/>
    <n v="0.7730711043872921"/>
    <n v="30.075165794066319"/>
    <n v="2.2537901312403141"/>
    <s v="High"/>
    <s v="Warning"/>
  </r>
  <r>
    <n v="444"/>
    <d v="2026-01-19T00:00:00"/>
    <x v="2"/>
    <s v="Plant A"/>
    <x v="2"/>
    <x v="9"/>
    <x v="2"/>
    <x v="2"/>
    <s v="B260119-0444"/>
    <s v="OP123"/>
    <n v="482"/>
    <n v="412"/>
    <n v="386"/>
    <n v="26"/>
    <n v="9"/>
    <n v="0"/>
    <s v="No Downtime"/>
    <n v="64"/>
    <n v="64"/>
    <n v="80.5"/>
    <n v="1.48"/>
    <n v="16.86"/>
    <n v="13137.92"/>
    <n v="7.16"/>
    <s v="Scheduled"/>
    <n v="34"/>
    <n v="19962.259999999998"/>
    <n v="0.93689320388349495"/>
    <n v="16511.66"/>
    <n v="286.99339805825201"/>
    <n v="514.13333333333298"/>
    <n v="1"/>
    <n v="3163.6066019417499"/>
    <n v="0.85477178423236511"/>
    <n v="6.3106796116504854E-2"/>
    <n v="2.1844660194174758E-2"/>
    <n v="0.93689320388349517"/>
    <n v="0"/>
    <n v="514.13333333333298"/>
    <n v="0.80134854771784292"/>
    <n v="0.9375"/>
    <n v="0.85477178423236577"/>
    <n v="0.93689320388349517"/>
    <n v="0.8008298755186728"/>
    <n v="40.076844660194176"/>
    <n v="7.67865680082949"/>
    <s v="Medium"/>
    <s v="Warning"/>
  </r>
  <r>
    <n v="445"/>
    <d v="2026-04-26T00:00:00"/>
    <x v="5"/>
    <s v="Plant B"/>
    <x v="4"/>
    <x v="13"/>
    <x v="1"/>
    <x v="1"/>
    <s v="B260426-0445"/>
    <s v="OP133"/>
    <n v="722"/>
    <n v="592"/>
    <n v="557"/>
    <n v="35"/>
    <n v="8"/>
    <n v="29"/>
    <s v="Preventive Maintenance"/>
    <n v="45"/>
    <n v="46"/>
    <n v="74.8"/>
    <n v="2.0099999999999998"/>
    <n v="21.44"/>
    <n v="12161.74"/>
    <n v="7.32"/>
    <s v="Scheduled"/>
    <n v="40"/>
    <n v="19995.68"/>
    <n v="0.94087837837837796"/>
    <n v="15648.7"/>
    <n v="164.347837837838"/>
    <n v="541.5"/>
    <n v="0.94644506001846695"/>
    <n v="4182.6321621621601"/>
    <n v="0.81994459833795019"/>
    <n v="5.9121621621621621E-2"/>
    <n v="1.3513513513513514E-2"/>
    <n v="0.9408783783783784"/>
    <n v="0.48333333333333334"/>
    <n v="512.5"/>
    <n v="1.1551219512195121"/>
    <n v="1.3333333333333333"/>
    <n v="0.86634146341463414"/>
    <n v="0.9408783783783784"/>
    <n v="0.77146814404432107"/>
    <n v="26.433614864864865"/>
    <n v="7.0652570306793248"/>
    <s v="High"/>
    <s v="Warning"/>
  </r>
  <r>
    <n v="446"/>
    <d v="2026-03-15T00:00:00"/>
    <x v="1"/>
    <s v="Plant B"/>
    <x v="1"/>
    <x v="2"/>
    <x v="1"/>
    <x v="2"/>
    <s v="B260315-0446"/>
    <s v="OP103"/>
    <n v="658"/>
    <n v="652"/>
    <n v="620"/>
    <n v="32"/>
    <n v="7"/>
    <n v="40"/>
    <s v="Power Failure"/>
    <n v="64"/>
    <n v="64"/>
    <n v="75.2"/>
    <n v="1.79"/>
    <n v="22.87"/>
    <n v="19541.689999999999"/>
    <n v="7.69"/>
    <s v="Pending"/>
    <n v="14"/>
    <n v="31774.639999999999"/>
    <n v="0.95092024539877296"/>
    <n v="23208.02"/>
    <n v="209.803420245399"/>
    <n v="701.86666666666702"/>
    <n v="0.94300911854103298"/>
    <n v="8356.8165797546008"/>
    <n v="0.99088145896656532"/>
    <n v="4.9079754601226995E-2"/>
    <n v="1.0736196319018405E-2"/>
    <n v="0.95092024539877296"/>
    <n v="0.66666666666666663"/>
    <n v="661.86666666666702"/>
    <n v="0.98509266720386734"/>
    <n v="0.9375"/>
    <n v="1.0507655116841252"/>
    <n v="0.95092024539877296"/>
    <n v="0.94224924012157962"/>
    <n v="35.595122699386501"/>
    <n v="12.817203343181903"/>
    <s v="Medium"/>
    <s v="Normal"/>
  </r>
  <r>
    <n v="447"/>
    <d v="2026-06-05T00:00:00"/>
    <x v="0"/>
    <s v="Plant A"/>
    <x v="3"/>
    <x v="11"/>
    <x v="0"/>
    <x v="0"/>
    <s v="B260605-0447"/>
    <s v="OP133"/>
    <n v="806"/>
    <n v="731"/>
    <n v="656"/>
    <n v="75"/>
    <n v="28"/>
    <n v="12"/>
    <s v="Operator Issue"/>
    <n v="42"/>
    <n v="40"/>
    <n v="75.900000000000006"/>
    <n v="3.31"/>
    <n v="23.74"/>
    <n v="13858.32"/>
    <n v="9.06"/>
    <s v="Pending"/>
    <n v="48"/>
    <n v="20906.689999999999"/>
    <n v="0.89740082079343397"/>
    <n v="18148.98"/>
    <n v="530.82484268125904"/>
    <n v="564.20000000000005"/>
    <n v="0.97873094647288195"/>
    <n v="2226.8851573187399"/>
    <n v="0.90694789081885852"/>
    <n v="0.10259917920656635"/>
    <n v="3.8303693570451436E-2"/>
    <n v="0.89740082079343364"/>
    <n v="0.2"/>
    <n v="552.20000000000005"/>
    <n v="1.3237957261861644"/>
    <n v="1.4285714285714286"/>
    <n v="0.92665700833031506"/>
    <n v="0.89740082079343364"/>
    <n v="0.81389578163771703"/>
    <n v="24.827606019151848"/>
    <n v="3.046354524375841"/>
    <s v="Medium"/>
    <s v="Warning"/>
  </r>
  <r>
    <n v="448"/>
    <d v="2026-03-09T00:00:00"/>
    <x v="1"/>
    <s v="Plant A"/>
    <x v="3"/>
    <x v="7"/>
    <x v="1"/>
    <x v="0"/>
    <s v="B260309-0448"/>
    <s v="OP123"/>
    <n v="760"/>
    <n v="723"/>
    <n v="675"/>
    <n v="48"/>
    <n v="19"/>
    <n v="36"/>
    <s v="Machine Breakdown"/>
    <n v="42"/>
    <n v="42"/>
    <n v="69.599999999999994"/>
    <n v="2.62"/>
    <n v="22.01"/>
    <n v="13704.7"/>
    <n v="8.49"/>
    <s v="Scheduled"/>
    <n v="51"/>
    <n v="21675.39"/>
    <n v="0.93360995850622397"/>
    <n v="17723.29"/>
    <n v="360.151175656985"/>
    <n v="532"/>
    <n v="0.93233082706766901"/>
    <n v="3591.9488243430101"/>
    <n v="0.95131578947368423"/>
    <n v="6.6390041493775934E-2"/>
    <n v="2.6279391424619641E-2"/>
    <n v="0.93360995850622408"/>
    <n v="0.6"/>
    <n v="496"/>
    <n v="1.4576612903225807"/>
    <n v="1.4285714285714286"/>
    <n v="1.0203629032258066"/>
    <n v="0.93360995850622408"/>
    <n v="0.88815789473684204"/>
    <n v="24.513540802213004"/>
    <n v="4.9681173227427529"/>
    <s v="Medium"/>
    <s v="Normal"/>
  </r>
  <r>
    <n v="449"/>
    <d v="2026-06-10T00:00:00"/>
    <x v="0"/>
    <s v="Plant A"/>
    <x v="0"/>
    <x v="3"/>
    <x v="0"/>
    <x v="3"/>
    <s v="B260610-0449"/>
    <s v="OP115"/>
    <n v="720"/>
    <n v="682"/>
    <n v="654"/>
    <n v="28"/>
    <n v="5"/>
    <n v="47"/>
    <s v="Quality Inspection"/>
    <n v="49"/>
    <n v="49"/>
    <n v="81.7"/>
    <n v="2.88"/>
    <n v="22.39"/>
    <n v="14479.24"/>
    <n v="7.38"/>
    <s v="Scheduled"/>
    <n v="36"/>
    <n v="24498.71"/>
    <n v="0.95894428152492694"/>
    <n v="18001.75"/>
    <n v="106.152785923754"/>
    <n v="588"/>
    <n v="0.92006802721088399"/>
    <n v="6390.8072140762497"/>
    <n v="0.94722222222222219"/>
    <n v="4.1055718475073312E-2"/>
    <n v="7.331378299120235E-3"/>
    <n v="0.95894428152492672"/>
    <n v="0.78333333333333333"/>
    <n v="541"/>
    <n v="1.2606284658040665"/>
    <n v="1.2244897959183674"/>
    <n v="1.029513247073321"/>
    <n v="0.95894428152492672"/>
    <n v="0.90833333333333299"/>
    <n v="26.395527859237536"/>
    <n v="9.3706850646279314"/>
    <s v="Medium"/>
    <s v="Warning"/>
  </r>
  <r>
    <n v="450"/>
    <d v="2026-04-08T00:00:00"/>
    <x v="5"/>
    <s v="Plant A"/>
    <x v="4"/>
    <x v="13"/>
    <x v="1"/>
    <x v="2"/>
    <s v="B260408-0450"/>
    <s v="OP120"/>
    <n v="665"/>
    <n v="605"/>
    <n v="572"/>
    <n v="33"/>
    <n v="7"/>
    <n v="16"/>
    <s v="Operator Issue"/>
    <n v="64"/>
    <n v="65"/>
    <n v="68.400000000000006"/>
    <n v="2.4700000000000002"/>
    <n v="24.91"/>
    <n v="18276.23"/>
    <n v="9.4600000000000009"/>
    <s v="Completed"/>
    <n v="16"/>
    <n v="30033.86"/>
    <n v="0.94545454545454499"/>
    <n v="22757.42"/>
    <n v="211.46051239669401"/>
    <n v="709.33333333333303"/>
    <n v="0.977443609022556"/>
    <n v="7064.9794876033102"/>
    <n v="0.90977443609022557"/>
    <n v="5.4545454545454543E-2"/>
    <n v="1.1570247933884297E-2"/>
    <n v="0.94545454545454544"/>
    <n v="0.26666666666666666"/>
    <n v="693.33333333333303"/>
    <n v="0.87259615384615419"/>
    <n v="0.9375"/>
    <n v="0.93076923076923113"/>
    <n v="0.94545454545454544"/>
    <n v="0.86015037593984967"/>
    <n v="37.615570247933881"/>
    <n v="11.677652045625306"/>
    <s v="Low"/>
    <s v="Normal"/>
  </r>
  <r>
    <n v="451"/>
    <d v="2026-01-30T00:00:00"/>
    <x v="2"/>
    <s v="Plant A"/>
    <x v="1"/>
    <x v="2"/>
    <x v="1"/>
    <x v="3"/>
    <s v="B260130-0451"/>
    <s v="OP126"/>
    <n v="685"/>
    <n v="712"/>
    <n v="676"/>
    <n v="36"/>
    <n v="7"/>
    <n v="23"/>
    <s v="Tool Change"/>
    <n v="49"/>
    <n v="50"/>
    <n v="76.099999999999994"/>
    <n v="1.1100000000000001"/>
    <n v="28.13"/>
    <n v="15321.18"/>
    <n v="8.83"/>
    <s v="Completed"/>
    <n v="2"/>
    <n v="25531.84"/>
    <n v="0.949438202247191"/>
    <n v="19547.849999999999"/>
    <n v="150.62957865168499"/>
    <n v="559.41666666666697"/>
    <n v="0.95888574407865301"/>
    <n v="5833.3604213483204"/>
    <n v="1.0394160583941605"/>
    <n v="5.0561797752808987E-2"/>
    <n v="9.8314606741573031E-3"/>
    <n v="0.949438202247191"/>
    <n v="0.38333333333333336"/>
    <n v="536.41666666666697"/>
    <n v="1.3273263942830504"/>
    <n v="1.2244897959183674"/>
    <n v="1.0839832219978245"/>
    <n v="0.949438202247191"/>
    <n v="0.9868613138686122"/>
    <n v="27.454845505617975"/>
    <n v="8.192921940095955"/>
    <s v="Low"/>
    <s v="Normal"/>
  </r>
  <r>
    <n v="452"/>
    <d v="2026-01-14T00:00:00"/>
    <x v="2"/>
    <s v="Plant B"/>
    <x v="1"/>
    <x v="6"/>
    <x v="0"/>
    <x v="4"/>
    <s v="B260114-0452"/>
    <s v="OP103"/>
    <n v="598"/>
    <n v="665"/>
    <n v="627"/>
    <n v="38"/>
    <n v="8"/>
    <n v="27"/>
    <s v="Tool Change"/>
    <n v="57"/>
    <n v="61"/>
    <n v="82.1"/>
    <n v="2.83"/>
    <n v="25.26"/>
    <n v="17236.59"/>
    <n v="9.4"/>
    <s v="Pending"/>
    <n v="22"/>
    <n v="28553.5"/>
    <n v="0.94285714285714295"/>
    <n v="21693.93"/>
    <n v="207.35747368421099"/>
    <n v="568.1"/>
    <n v="0.95247315613448302"/>
    <n v="6652.2125263157895"/>
    <n v="1.1120401337792643"/>
    <n v="5.7142857142857141E-2"/>
    <n v="1.2030075187969926E-2"/>
    <n v="0.94285714285714284"/>
    <n v="0.45"/>
    <n v="541.1"/>
    <n v="1.2289780077619663"/>
    <n v="1.0526315789473684"/>
    <n v="1.1675291073738681"/>
    <n v="0.94285714285714284"/>
    <n v="1.0484949832775916"/>
    <n v="32.622451127819552"/>
    <n v="10.003327107241789"/>
    <s v="Medium"/>
    <s v="Warning"/>
  </r>
  <r>
    <n v="453"/>
    <d v="2026-04-01T00:00:00"/>
    <x v="5"/>
    <s v="Plant A"/>
    <x v="0"/>
    <x v="0"/>
    <x v="0"/>
    <x v="4"/>
    <s v="B260401-0453"/>
    <s v="OP111"/>
    <n v="734"/>
    <n v="745"/>
    <n v="718"/>
    <n v="27"/>
    <n v="5"/>
    <n v="11"/>
    <s v="Operator Issue"/>
    <n v="57"/>
    <n v="62"/>
    <n v="75"/>
    <n v="1.94"/>
    <n v="30.4"/>
    <n v="20236.580000000002"/>
    <n v="8.93"/>
    <s v="Completed"/>
    <n v="29"/>
    <n v="32634.57"/>
    <n v="0.96375838926174495"/>
    <n v="24528.68"/>
    <n v="135.81597315436201"/>
    <n v="697.3"/>
    <n v="0.98422486734547499"/>
    <n v="7970.0740268456402"/>
    <n v="1.0149863760217983"/>
    <n v="3.6241610738255034E-2"/>
    <n v="6.7114093959731542E-3"/>
    <n v="0.96375838926174495"/>
    <n v="0.18333333333333332"/>
    <n v="686.3"/>
    <n v="1.0855311088445287"/>
    <n v="1.0526315789473684"/>
    <n v="1.0312545534023023"/>
    <n v="0.96375838926174495"/>
    <n v="0.97820163487738387"/>
    <n v="32.924402684563759"/>
    <n v="10.698085942074686"/>
    <s v="Low"/>
    <s v="Normal"/>
  </r>
  <r>
    <n v="454"/>
    <d v="2026-02-28T00:00:00"/>
    <x v="4"/>
    <s v="Plant A"/>
    <x v="0"/>
    <x v="1"/>
    <x v="1"/>
    <x v="1"/>
    <s v="B260228-0454"/>
    <s v="OP125"/>
    <n v="885"/>
    <n v="780"/>
    <n v="739"/>
    <n v="41"/>
    <n v="8"/>
    <n v="21"/>
    <s v="Machine Breakdown"/>
    <n v="45"/>
    <n v="44"/>
    <n v="70.5"/>
    <n v="1.32"/>
    <n v="31.5"/>
    <n v="15321.97"/>
    <n v="8.49"/>
    <s v="Scheduled"/>
    <n v="1"/>
    <n v="25390.560000000001"/>
    <n v="0.94743589743589696"/>
    <n v="19425.97"/>
    <n v="157.14841025640999"/>
    <n v="663.75"/>
    <n v="0.96836158192090405"/>
    <n v="5807.4415897435902"/>
    <n v="0.88135593220338981"/>
    <n v="5.2564102564102565E-2"/>
    <n v="1.0256410256410256E-2"/>
    <n v="0.9474358974358974"/>
    <n v="0.35"/>
    <n v="642.75"/>
    <n v="1.2135355892648776"/>
    <n v="1.3333333333333333"/>
    <n v="0.91015169194865819"/>
    <n v="0.9474358974358974"/>
    <n v="0.83502824858757074"/>
    <n v="24.905089743589745"/>
    <n v="7.4454379355687053"/>
    <s v="Medium"/>
    <s v="Warning"/>
  </r>
  <r>
    <n v="455"/>
    <d v="2026-06-05T00:00:00"/>
    <x v="0"/>
    <s v="Plant B"/>
    <x v="4"/>
    <x v="13"/>
    <x v="1"/>
    <x v="0"/>
    <s v="B260605-0455"/>
    <s v="OP118"/>
    <n v="954"/>
    <n v="834"/>
    <n v="782"/>
    <n v="52"/>
    <n v="16"/>
    <n v="45"/>
    <s v="Tool Change"/>
    <n v="42"/>
    <n v="42"/>
    <n v="79.2"/>
    <n v="1.59"/>
    <n v="27.61"/>
    <n v="15423.51"/>
    <n v="7.43"/>
    <s v="Scheduled"/>
    <n v="22"/>
    <n v="25093.94"/>
    <n v="0.93764988009592298"/>
    <n v="19015.5"/>
    <n v="295.894676258993"/>
    <n v="667.8"/>
    <n v="0.93261455525606496"/>
    <n v="5782.5453237410002"/>
    <n v="0.87421383647798745"/>
    <n v="6.235011990407674E-2"/>
    <n v="1.9184652278177457E-2"/>
    <n v="0.93764988009592332"/>
    <n v="0.75"/>
    <n v="622.79999999999995"/>
    <n v="1.3391136801541428"/>
    <n v="1.4285714285714286"/>
    <n v="0.9373795761078999"/>
    <n v="0.93764988009592332"/>
    <n v="0.81970649895178238"/>
    <n v="22.800359712230215"/>
    <n v="6.9335075824232613"/>
    <s v="Medium"/>
    <s v="Warning"/>
  </r>
  <r>
    <n v="456"/>
    <d v="2026-01-28T00:00:00"/>
    <x v="2"/>
    <s v="Plant B"/>
    <x v="3"/>
    <x v="11"/>
    <x v="2"/>
    <x v="3"/>
    <s v="B260128-0456"/>
    <s v="OP115"/>
    <n v="848"/>
    <n v="718"/>
    <n v="663"/>
    <n v="55"/>
    <n v="21"/>
    <n v="0"/>
    <s v="No Downtime"/>
    <n v="49"/>
    <n v="54"/>
    <n v="74.2"/>
    <n v="2.08"/>
    <n v="24.68"/>
    <n v="15116.13"/>
    <n v="7.82"/>
    <s v="Completed"/>
    <n v="18"/>
    <n v="25531.14"/>
    <n v="0.92339832869080796"/>
    <n v="18857.25"/>
    <n v="442.115222841226"/>
    <n v="692.53333333333296"/>
    <n v="1"/>
    <n v="6231.7747771587801"/>
    <n v="0.84669811320754718"/>
    <n v="7.6601671309192196E-2"/>
    <n v="2.9247910863509748E-2"/>
    <n v="0.92339832869080785"/>
    <n v="0"/>
    <n v="692.53333333333296"/>
    <n v="1.0367731998459766"/>
    <n v="1.2244897959183674"/>
    <n v="0.84669811320754751"/>
    <n v="0.92339832869080785"/>
    <n v="0.78183962264150975"/>
    <n v="26.263579387186631"/>
    <n v="8.6793520573242056"/>
    <s v="High"/>
    <s v="Warning"/>
  </r>
  <r>
    <n v="457"/>
    <d v="2026-05-26T00:00:00"/>
    <x v="3"/>
    <s v="Plant A"/>
    <x v="0"/>
    <x v="1"/>
    <x v="0"/>
    <x v="3"/>
    <s v="B260526-0457"/>
    <s v="OP122"/>
    <n v="697"/>
    <n v="669"/>
    <n v="633"/>
    <n v="36"/>
    <n v="15"/>
    <n v="0"/>
    <s v="No Downtime"/>
    <n v="49"/>
    <n v="53"/>
    <n v="75.400000000000006"/>
    <n v="1.59"/>
    <n v="20.78"/>
    <n v="14687.97"/>
    <n v="8.67"/>
    <s v="Scheduled"/>
    <n v="17"/>
    <n v="24390.37"/>
    <n v="0.94618834080717495"/>
    <n v="18776.490000000002"/>
    <n v="329.32668161434998"/>
    <n v="569.21666666666704"/>
    <n v="1"/>
    <n v="5284.5533183856496"/>
    <n v="0.95982783357245338"/>
    <n v="5.3811659192825115E-2"/>
    <n v="2.2421524663677129E-2"/>
    <n v="0.94618834080717484"/>
    <n v="0"/>
    <n v="569.21666666666704"/>
    <n v="1.1752993880479012"/>
    <n v="1.2244897959183674"/>
    <n v="0.9598278335724526"/>
    <n v="0.94618834080717484"/>
    <n v="0.9081779053084641"/>
    <n v="28.06650224215247"/>
    <n v="7.8991828376467108"/>
    <s v="Low"/>
    <s v="Normal"/>
  </r>
  <r>
    <n v="458"/>
    <d v="2026-01-27T00:00:00"/>
    <x v="2"/>
    <s v="Plant B"/>
    <x v="0"/>
    <x v="1"/>
    <x v="0"/>
    <x v="0"/>
    <s v="B260127-0458"/>
    <s v="OP134"/>
    <n v="782"/>
    <n v="798"/>
    <n v="750"/>
    <n v="48"/>
    <n v="14"/>
    <n v="0"/>
    <s v="No Downtime"/>
    <n v="42"/>
    <n v="41"/>
    <n v="69.3"/>
    <n v="2.2000000000000002"/>
    <n v="30.11"/>
    <n v="14584.79"/>
    <n v="8.35"/>
    <s v="Completed"/>
    <n v="18"/>
    <n v="23703.68"/>
    <n v="0.93984962406015005"/>
    <n v="18613.28"/>
    <n v="255.87350877193001"/>
    <n v="547.4"/>
    <n v="1"/>
    <n v="4834.52649122807"/>
    <n v="1.0204603580562659"/>
    <n v="6.0150375939849621E-2"/>
    <n v="1.7543859649122806E-2"/>
    <n v="0.93984962406015038"/>
    <n v="0"/>
    <n v="547.4"/>
    <n v="1.4578005115089514"/>
    <n v="1.4285714285714286"/>
    <n v="1.0204603580562659"/>
    <n v="0.93984962406015038"/>
    <n v="0.95907928388746799"/>
    <n v="23.324912280701753"/>
    <n v="6.0583038737193862"/>
    <s v="Low"/>
    <s v="Normal"/>
  </r>
  <r>
    <n v="459"/>
    <d v="2026-06-23T00:00:00"/>
    <x v="0"/>
    <s v="Plant B"/>
    <x v="2"/>
    <x v="10"/>
    <x v="1"/>
    <x v="3"/>
    <s v="B260623-0459"/>
    <s v="OP111"/>
    <n v="692"/>
    <n v="630"/>
    <n v="568"/>
    <n v="62"/>
    <n v="26"/>
    <n v="0"/>
    <s v="No Downtime"/>
    <n v="49"/>
    <n v="52"/>
    <n v="68.5"/>
    <n v="2.2400000000000002"/>
    <n v="25.24"/>
    <n v="14217.72"/>
    <n v="7.98"/>
    <s v="Completed"/>
    <n v="15"/>
    <n v="21168.58"/>
    <n v="0.90158730158730205"/>
    <n v="18035.88"/>
    <n v="586.76304761904805"/>
    <n v="565.13333333333298"/>
    <n v="1"/>
    <n v="2545.9369523809501"/>
    <n v="0.91040462427745661"/>
    <n v="9.841269841269841E-2"/>
    <n v="4.1269841269841269E-2"/>
    <n v="0.9015873015873016"/>
    <n v="0"/>
    <n v="565.13333333333298"/>
    <n v="1.1147811725846415"/>
    <n v="1.2244897959183674"/>
    <n v="0.91040462427745716"/>
    <n v="0.9015873015873016"/>
    <n v="0.82080924855491377"/>
    <n v="28.628380952380954"/>
    <n v="4.0411697656840477"/>
    <s v="Medium"/>
    <s v="Warning"/>
  </r>
  <r>
    <n v="460"/>
    <d v="2026-05-01T00:00:00"/>
    <x v="3"/>
    <s v="Plant A"/>
    <x v="0"/>
    <x v="1"/>
    <x v="1"/>
    <x v="0"/>
    <s v="B260501-0460"/>
    <s v="OP107"/>
    <n v="954"/>
    <n v="875"/>
    <n v="825"/>
    <n v="50"/>
    <n v="20"/>
    <n v="41"/>
    <s v="Machine Breakdown"/>
    <n v="42"/>
    <n v="42"/>
    <n v="68.7"/>
    <n v="1.96"/>
    <n v="30.4"/>
    <n v="16902.52"/>
    <n v="8.3699999999999992"/>
    <s v="Completed"/>
    <n v="34"/>
    <n v="26597.21"/>
    <n v="0.94285714285714295"/>
    <n v="20942.62"/>
    <n v="386.34331428571397"/>
    <n v="667.8"/>
    <n v="0.93860437256663698"/>
    <n v="5268.2466857142899"/>
    <n v="0.91719077568134177"/>
    <n v="5.7142857142857141E-2"/>
    <n v="2.2857142857142857E-2"/>
    <n v="0.94285714285714284"/>
    <n v="0.68333333333333335"/>
    <n v="626.79999999999995"/>
    <n v="1.3959795788130187"/>
    <n v="1.4285714285714286"/>
    <n v="0.97718570516911307"/>
    <n v="0.94285714285714284"/>
    <n v="0.86477987421383684"/>
    <n v="23.934422857142856"/>
    <n v="6.0208533551020453"/>
    <s v="Medium"/>
    <s v="Normal"/>
  </r>
  <r>
    <n v="461"/>
    <d v="2026-04-14T00:00:00"/>
    <x v="5"/>
    <s v="Plant B"/>
    <x v="2"/>
    <x v="9"/>
    <x v="1"/>
    <x v="0"/>
    <s v="B260414-0461"/>
    <s v="OP110"/>
    <n v="772"/>
    <n v="701"/>
    <n v="669"/>
    <n v="32"/>
    <n v="8"/>
    <n v="33"/>
    <s v="Machine Breakdown"/>
    <n v="42"/>
    <n v="45"/>
    <n v="67.599999999999994"/>
    <n v="1.68"/>
    <n v="29.29"/>
    <n v="13230.72"/>
    <n v="7.96"/>
    <s v="Completed"/>
    <n v="22"/>
    <n v="21771.98"/>
    <n v="0.95435092724679005"/>
    <n v="17076.330000000002"/>
    <n v="150.99252496433701"/>
    <n v="540.4"/>
    <n v="0.938934122871947"/>
    <n v="4544.6574750356604"/>
    <n v="0.90803108808290156"/>
    <n v="4.5649072753209702E-2"/>
    <n v="1.1412268188302425E-2"/>
    <n v="0.95435092724679027"/>
    <n v="0.55000000000000004"/>
    <n v="507.4"/>
    <n v="1.3815530153724873"/>
    <n v="1.4285714285714286"/>
    <n v="0.96708711076074105"/>
    <n v="0.95435092724679027"/>
    <n v="0.86658031088082932"/>
    <n v="24.359957203994295"/>
    <n v="6.4831062411350358"/>
    <s v="Low"/>
    <s v="Normal"/>
  </r>
  <r>
    <n v="462"/>
    <d v="2026-02-25T00:00:00"/>
    <x v="4"/>
    <s v="Plant A"/>
    <x v="2"/>
    <x v="4"/>
    <x v="0"/>
    <x v="4"/>
    <s v="B260225-0462"/>
    <s v="OP101"/>
    <n v="602"/>
    <n v="530"/>
    <n v="493"/>
    <n v="37"/>
    <n v="9"/>
    <n v="39"/>
    <s v="Operator Issue"/>
    <n v="57"/>
    <n v="58"/>
    <n v="67.8"/>
    <n v="2.16"/>
    <n v="20.12"/>
    <n v="14935.72"/>
    <n v="7.37"/>
    <s v="Overdue"/>
    <n v="42"/>
    <n v="22428.959999999999"/>
    <n v="0.93018867924528303"/>
    <n v="18433.3"/>
    <n v="253.625433962264"/>
    <n v="571.9"/>
    <n v="0.93180625983563603"/>
    <n v="3742.0345660377302"/>
    <n v="0.88039867109634551"/>
    <n v="6.981132075471698E-2"/>
    <n v="1.6981132075471698E-2"/>
    <n v="0.93018867924528303"/>
    <n v="0.65"/>
    <n v="532.9"/>
    <n v="0.99455807843873156"/>
    <n v="1.0526315789473684"/>
    <n v="0.94483017451679507"/>
    <n v="0.93018867924528303"/>
    <n v="0.81893687707641249"/>
    <n v="34.779811320754717"/>
    <n v="7.0604425774296793"/>
    <s v="High"/>
    <s v="Warning"/>
  </r>
  <r>
    <n v="463"/>
    <d v="2026-01-21T00:00:00"/>
    <x v="2"/>
    <s v="Plant A"/>
    <x v="3"/>
    <x v="11"/>
    <x v="2"/>
    <x v="1"/>
    <s v="B260121-0463"/>
    <s v="OP128"/>
    <n v="906"/>
    <n v="795"/>
    <n v="727"/>
    <n v="68"/>
    <n v="24"/>
    <n v="0"/>
    <s v="No Downtime"/>
    <n v="45"/>
    <n v="47"/>
    <n v="72.900000000000006"/>
    <n v="1.77"/>
    <n v="24.47"/>
    <n v="17271.240000000002"/>
    <n v="9.0399999999999991"/>
    <s v="Scheduled"/>
    <n v="28"/>
    <n v="24954.94"/>
    <n v="0.91446540880503202"/>
    <n v="21559.47"/>
    <n v="521.39592452830198"/>
    <n v="679.5"/>
    <n v="1"/>
    <n v="2874.0740754716999"/>
    <n v="0.87748344370860931"/>
    <n v="8.5534591194968548E-2"/>
    <n v="3.0188679245283019E-2"/>
    <n v="0.91446540880503147"/>
    <n v="0"/>
    <n v="679.5"/>
    <n v="1.1699779249448123"/>
    <n v="1.3333333333333333"/>
    <n v="0.87748344370860931"/>
    <n v="0.91446540880503147"/>
    <n v="0.80242825607064028"/>
    <n v="27.118830188679247"/>
    <n v="3.6151875163166034"/>
    <s v="Medium"/>
    <s v="Warning"/>
  </r>
  <r>
    <n v="464"/>
    <d v="2026-01-03T00:00:00"/>
    <x v="2"/>
    <s v="Plant A"/>
    <x v="1"/>
    <x v="2"/>
    <x v="1"/>
    <x v="0"/>
    <s v="B260103-0464"/>
    <s v="OP120"/>
    <n v="888"/>
    <n v="849"/>
    <n v="812"/>
    <n v="37"/>
    <n v="7"/>
    <n v="15"/>
    <s v="Setup Time"/>
    <n v="42"/>
    <n v="44"/>
    <n v="75.900000000000006"/>
    <n v="2.13"/>
    <n v="32.130000000000003"/>
    <n v="15942.61"/>
    <n v="9.9499999999999993"/>
    <s v="Pending"/>
    <n v="34"/>
    <n v="26550.22"/>
    <n v="0.95641931684334502"/>
    <n v="20709.28"/>
    <n v="131.44672555948199"/>
    <n v="621.6"/>
    <n v="0.97586872586872597"/>
    <n v="5709.4932744405196"/>
    <n v="0.95608108108108103"/>
    <n v="4.3580683156654886E-2"/>
    <n v="8.2449941107184919E-3"/>
    <n v="0.95641931684334514"/>
    <n v="0.25"/>
    <n v="606.6"/>
    <n v="1.3996043521266073"/>
    <n v="1.4285714285714286"/>
    <n v="0.97972304648862507"/>
    <n v="0.95641931684334514"/>
    <n v="0.91441441441441451"/>
    <n v="24.392555948174323"/>
    <n v="6.7249626318498468"/>
    <s v="Medium"/>
    <s v="Normal"/>
  </r>
  <r>
    <n v="465"/>
    <d v="2026-05-01T00:00:00"/>
    <x v="3"/>
    <s v="Plant B"/>
    <x v="1"/>
    <x v="5"/>
    <x v="1"/>
    <x v="2"/>
    <s v="B260501-0465"/>
    <s v="OP135"/>
    <n v="656"/>
    <n v="618"/>
    <n v="596"/>
    <n v="22"/>
    <n v="6"/>
    <n v="36"/>
    <s v="Quality Inspection"/>
    <n v="64"/>
    <n v="68"/>
    <n v="80.7"/>
    <n v="2.78"/>
    <n v="24.73"/>
    <n v="19980.78"/>
    <n v="7.65"/>
    <s v="Pending"/>
    <n v="12"/>
    <n v="31280.42"/>
    <n v="0.96440129449838197"/>
    <n v="23645.85"/>
    <n v="193.98815533980601"/>
    <n v="699.73333333333301"/>
    <n v="0.94855182926829296"/>
    <n v="7440.5818446601897"/>
    <n v="0.94207317073170727"/>
    <n v="3.5598705501618123E-2"/>
    <n v="9.7087378640776691E-3"/>
    <n v="0.96440129449838186"/>
    <n v="0.6"/>
    <n v="663.73333333333301"/>
    <n v="0.93109682603455246"/>
    <n v="0.9375"/>
    <n v="0.9931699477701893"/>
    <n v="0.96440129449838186"/>
    <n v="0.90853658536585435"/>
    <n v="38.261893203883496"/>
    <n v="12.03977644767021"/>
    <s v="Medium"/>
    <s v="Warning"/>
  </r>
  <r>
    <n v="466"/>
    <d v="2026-01-05T00:00:00"/>
    <x v="2"/>
    <s v="Plant B"/>
    <x v="4"/>
    <x v="12"/>
    <x v="0"/>
    <x v="2"/>
    <s v="B260105-0466"/>
    <s v="OP124"/>
    <n v="582"/>
    <n v="526"/>
    <n v="445"/>
    <n v="81"/>
    <n v="18"/>
    <n v="24"/>
    <s v="Machine Breakdown"/>
    <n v="64"/>
    <n v="71"/>
    <n v="70.7"/>
    <n v="3.51"/>
    <n v="21.48"/>
    <n v="15333.95"/>
    <n v="7.32"/>
    <s v="Pending"/>
    <n v="61"/>
    <n v="22919.87"/>
    <n v="0.84600760456273805"/>
    <n v="18821.27"/>
    <n v="524.73593155893502"/>
    <n v="620.79999999999995"/>
    <n v="0.96134020618556704"/>
    <n v="3573.8640684410602"/>
    <n v="0.90378006872852235"/>
    <n v="0.15399239543726237"/>
    <n v="3.4220532319391636E-2"/>
    <n v="0.8460076045627376"/>
    <n v="0.4"/>
    <n v="596.79999999999995"/>
    <n v="0.88136729222520116"/>
    <n v="0.9375"/>
    <n v="0.94012511170688129"/>
    <n v="0.8460076045627376"/>
    <n v="0.76460481099656363"/>
    <n v="35.78188212927757"/>
    <n v="6.7944183810666541"/>
    <s v="High"/>
    <s v="Critical"/>
  </r>
  <r>
    <n v="467"/>
    <d v="2026-05-26T00:00:00"/>
    <x v="3"/>
    <s v="Plant A"/>
    <x v="2"/>
    <x v="10"/>
    <x v="0"/>
    <x v="2"/>
    <s v="B260526-0467"/>
    <s v="OP112"/>
    <n v="636"/>
    <n v="480"/>
    <n v="428"/>
    <n v="52"/>
    <n v="17"/>
    <n v="111"/>
    <s v="Operator Issue"/>
    <n v="64"/>
    <n v="66"/>
    <n v="73.5"/>
    <n v="2.09"/>
    <n v="23.8"/>
    <n v="15336.81"/>
    <n v="5.76"/>
    <s v="Completed"/>
    <n v="17"/>
    <n v="22530.97"/>
    <n v="0.89166666666666705"/>
    <n v="18143.009999999998"/>
    <n v="543.17868750000002"/>
    <n v="678.4"/>
    <n v="0.836379716981132"/>
    <n v="3844.7813124999998"/>
    <n v="0.75471698113207553"/>
    <n v="0.10833333333333334"/>
    <n v="3.5416666666666666E-2"/>
    <n v="0.89166666666666672"/>
    <n v="1.85"/>
    <n v="567.4"/>
    <n v="0.8459640465280226"/>
    <n v="0.9375"/>
    <n v="0.90236164962989074"/>
    <n v="0.89166666666666672"/>
    <n v="0.67295597484276726"/>
    <n v="37.797937499999996"/>
    <n v="8.0099610677083337"/>
    <s v="High"/>
    <s v="Critical"/>
  </r>
  <r>
    <n v="468"/>
    <d v="2026-02-15T00:00:00"/>
    <x v="4"/>
    <s v="Plant B"/>
    <x v="3"/>
    <x v="11"/>
    <x v="0"/>
    <x v="0"/>
    <s v="B260215-0468"/>
    <s v="OP113"/>
    <n v="859"/>
    <n v="890"/>
    <n v="821"/>
    <n v="69"/>
    <n v="20"/>
    <n v="29"/>
    <s v="Material Shortage"/>
    <n v="42"/>
    <n v="43"/>
    <n v="67.900000000000006"/>
    <n v="1.91"/>
    <n v="34.200000000000003"/>
    <n v="15549.67"/>
    <n v="10.31"/>
    <s v="Completed"/>
    <n v="15"/>
    <n v="26331.82"/>
    <n v="0.92247191011235996"/>
    <n v="20496.97"/>
    <n v="349.43078651685403"/>
    <n v="601.29999999999995"/>
    <n v="0.95177116248129101"/>
    <n v="5485.4192134831501"/>
    <n v="1.0360884749708963"/>
    <n v="7.7528089887640456E-2"/>
    <n v="2.247191011235955E-2"/>
    <n v="0.92247191011235952"/>
    <n v="0.48333333333333334"/>
    <n v="572.29999999999995"/>
    <n v="1.5551284291455532"/>
    <n v="1.4285714285714286"/>
    <n v="1.0885899004018871"/>
    <n v="0.92247191011235952"/>
    <n v="0.95576251455180494"/>
    <n v="23.03030337078652"/>
    <n v="6.1633923747001687"/>
    <s v="Low"/>
    <s v="Normal"/>
  </r>
  <r>
    <n v="469"/>
    <d v="2026-02-23T00:00:00"/>
    <x v="4"/>
    <s v="Plant B"/>
    <x v="4"/>
    <x v="12"/>
    <x v="2"/>
    <x v="1"/>
    <s v="B260223-0469"/>
    <s v="OP114"/>
    <n v="855"/>
    <n v="711"/>
    <n v="616"/>
    <n v="95"/>
    <n v="26"/>
    <n v="26"/>
    <s v="Operator Issue"/>
    <n v="45"/>
    <n v="48"/>
    <n v="76.2"/>
    <n v="3.3"/>
    <n v="24.92"/>
    <n v="13760.18"/>
    <n v="7.91"/>
    <s v="Scheduled"/>
    <n v="14"/>
    <n v="22037.759999999998"/>
    <n v="0.86638537271448701"/>
    <n v="17543.96"/>
    <n v="503.18520393811502"/>
    <n v="641.25"/>
    <n v="0.959454191033138"/>
    <n v="3990.61479606188"/>
    <n v="0.83157894736842108"/>
    <n v="0.13361462728551335"/>
    <n v="3.6568213783403657E-2"/>
    <n v="0.86638537271448668"/>
    <n v="0.43333333333333335"/>
    <n v="615.25"/>
    <n v="1.1556277935798456"/>
    <n v="1.3333333333333333"/>
    <n v="0.86672084518488424"/>
    <n v="0.86638537271448668"/>
    <n v="0.7204678362573097"/>
    <n v="24.675049226441629"/>
    <n v="5.6126790380617155"/>
    <s v="High"/>
    <s v="Critical"/>
  </r>
  <r>
    <n v="470"/>
    <d v="2026-01-03T00:00:00"/>
    <x v="2"/>
    <s v="Plant A"/>
    <x v="1"/>
    <x v="2"/>
    <x v="0"/>
    <x v="4"/>
    <s v="B260103-0470"/>
    <s v="OP107"/>
    <n v="567"/>
    <n v="660"/>
    <n v="630"/>
    <n v="30"/>
    <n v="9"/>
    <n v="18"/>
    <s v="Machine Breakdown"/>
    <n v="57"/>
    <n v="55"/>
    <n v="74"/>
    <n v="1.59"/>
    <n v="23.14"/>
    <n v="17611.11"/>
    <n v="9.81"/>
    <s v="Completed"/>
    <n v="35"/>
    <n v="29290.47"/>
    <n v="0.95454545454545503"/>
    <n v="22233.87"/>
    <n v="240.1515"/>
    <n v="538.65"/>
    <n v="0.96658312447786099"/>
    <n v="6816.4485000000004"/>
    <n v="1.164021164021164"/>
    <n v="4.5454545454545456E-2"/>
    <n v="1.3636363636363636E-2"/>
    <n v="0.95454545454545459"/>
    <n v="0.3"/>
    <n v="520.65"/>
    <n v="1.2676462114664362"/>
    <n v="1.0526315789473684"/>
    <n v="1.2042639008931144"/>
    <n v="0.95454545454545459"/>
    <n v="1.1111111111111109"/>
    <n v="33.687681818181815"/>
    <n v="10.327952272727273"/>
    <s v="Medium"/>
    <s v="Normal"/>
  </r>
  <r>
    <n v="471"/>
    <d v="2026-03-18T00:00:00"/>
    <x v="1"/>
    <s v="Plant A"/>
    <x v="3"/>
    <x v="11"/>
    <x v="0"/>
    <x v="3"/>
    <s v="B260318-0471"/>
    <s v="OP118"/>
    <n v="825"/>
    <n v="725"/>
    <n v="669"/>
    <n v="56"/>
    <n v="21"/>
    <n v="31"/>
    <s v="Preventive Maintenance"/>
    <n v="49"/>
    <n v="52"/>
    <n v="70.099999999999994"/>
    <n v="1.88"/>
    <n v="22"/>
    <n v="16510.54"/>
    <n v="6.74"/>
    <s v="Completed"/>
    <n v="27"/>
    <n v="25263.360000000001"/>
    <n v="0.92275862068965497"/>
    <n v="19741.54"/>
    <n v="478.23633103448299"/>
    <n v="673.75"/>
    <n v="0.95398886827458296"/>
    <n v="5043.5836689655198"/>
    <n v="0.87878787878787878"/>
    <n v="7.7241379310344832E-2"/>
    <n v="2.8965517241379312E-2"/>
    <n v="0.9227586206896552"/>
    <n v="0.51666666666666672"/>
    <n v="642.75"/>
    <n v="1.1279657720731233"/>
    <n v="1.2244897959183674"/>
    <n v="0.92117204719305068"/>
    <n v="0.9227586206896552"/>
    <n v="0.81090909090909125"/>
    <n v="27.229710344827588"/>
    <n v="6.9566671296076139"/>
    <s v="Medium"/>
    <s v="Warning"/>
  </r>
  <r>
    <n v="472"/>
    <d v="2026-04-28T00:00:00"/>
    <x v="5"/>
    <s v="Plant A"/>
    <x v="3"/>
    <x v="8"/>
    <x v="2"/>
    <x v="3"/>
    <s v="B260428-0472"/>
    <s v="OP106"/>
    <n v="714"/>
    <n v="587"/>
    <n v="545"/>
    <n v="42"/>
    <n v="11"/>
    <n v="24"/>
    <s v="Material Shortage"/>
    <n v="49"/>
    <n v="53"/>
    <n v="74.7"/>
    <n v="1.73"/>
    <n v="21.53"/>
    <n v="13222.05"/>
    <n v="8.4"/>
    <s v="Pending"/>
    <n v="21"/>
    <n v="21121.73"/>
    <n v="0.92844974446337303"/>
    <n v="17195.82"/>
    <n v="247.77265758092"/>
    <n v="583.1"/>
    <n v="0.958840679128794"/>
    <n v="3678.1373424190801"/>
    <n v="0.82212885154061621"/>
    <n v="7.1550255536626917E-2"/>
    <n v="1.8739352640545145E-2"/>
    <n v="0.92844974446337314"/>
    <n v="0.4"/>
    <n v="559.1"/>
    <n v="1.0499016276158111"/>
    <n v="1.2244897959183674"/>
    <n v="0.85741966255291235"/>
    <n v="0.92844974446337314"/>
    <n v="0.76330532212885127"/>
    <n v="29.294412265758091"/>
    <n v="6.2659920654498809"/>
    <s v="High"/>
    <s v="Warning"/>
  </r>
  <r>
    <n v="473"/>
    <d v="2026-06-30T00:00:00"/>
    <x v="0"/>
    <s v="Plant A"/>
    <x v="0"/>
    <x v="1"/>
    <x v="0"/>
    <x v="1"/>
    <s v="B260630-0473"/>
    <s v="OP109"/>
    <n v="884"/>
    <n v="935"/>
    <n v="883"/>
    <n v="52"/>
    <n v="12"/>
    <n v="11"/>
    <s v="Quality Inspection"/>
    <n v="45"/>
    <n v="46"/>
    <n v="73.2"/>
    <n v="1.33"/>
    <n v="34.299999999999997"/>
    <n v="18866.490000000002"/>
    <n v="8.8000000000000007"/>
    <s v="Overdue"/>
    <n v="41"/>
    <n v="31110.02"/>
    <n v="0.94438502673796798"/>
    <n v="23135.19"/>
    <n v="242.136770053476"/>
    <n v="663"/>
    <n v="0.98340874811462997"/>
    <n v="7732.6932299465198"/>
    <n v="1.0576923076923077"/>
    <n v="5.5614973262032089E-2"/>
    <n v="1.2834224598930482E-2"/>
    <n v="0.94438502673796787"/>
    <n v="0.18333333333333332"/>
    <n v="652"/>
    <n v="1.4340490797546013"/>
    <n v="1.3333333333333333"/>
    <n v="1.075536809815951"/>
    <n v="0.94438502673796787"/>
    <n v="0.99886877828054255"/>
    <n v="24.74351871657754"/>
    <n v="8.2702601389802357"/>
    <s v="High"/>
    <s v="Normal"/>
  </r>
  <r>
    <n v="474"/>
    <d v="2026-04-12T00:00:00"/>
    <x v="5"/>
    <s v="Plant A"/>
    <x v="3"/>
    <x v="8"/>
    <x v="1"/>
    <x v="0"/>
    <s v="B260412-0474"/>
    <s v="OP120"/>
    <n v="942"/>
    <n v="834"/>
    <n v="784"/>
    <n v="50"/>
    <n v="20"/>
    <n v="15"/>
    <s v="Machine Breakdown"/>
    <n v="42"/>
    <n v="42"/>
    <n v="69.400000000000006"/>
    <n v="1.63"/>
    <n v="26.06"/>
    <n v="15461.12"/>
    <n v="6.69"/>
    <s v="Pending"/>
    <n v="25"/>
    <n v="24856.62"/>
    <n v="0.94004796163069604"/>
    <n v="18706.16"/>
    <n v="370.77026378896898"/>
    <n v="659.4"/>
    <n v="0.977252047315742"/>
    <n v="5779.6897362110303"/>
    <n v="0.88535031847133761"/>
    <n v="5.9952038369304558E-2"/>
    <n v="2.3980815347721823E-2"/>
    <n v="0.94004796163069548"/>
    <n v="0.25"/>
    <n v="644.4"/>
    <n v="1.2942271880819367"/>
    <n v="1.4285714285714286"/>
    <n v="0.9059590316573557"/>
    <n v="0.94004796163069548"/>
    <n v="0.83227176220806831"/>
    <n v="22.429448441247001"/>
    <n v="6.9300836165599886"/>
    <s v="Medium"/>
    <s v="Warning"/>
  </r>
  <r>
    <n v="475"/>
    <d v="2026-01-26T00:00:00"/>
    <x v="2"/>
    <s v="Plant B"/>
    <x v="0"/>
    <x v="3"/>
    <x v="0"/>
    <x v="4"/>
    <s v="B260126-0475"/>
    <s v="OP125"/>
    <n v="695"/>
    <n v="684"/>
    <n v="656"/>
    <n v="28"/>
    <n v="8"/>
    <n v="23"/>
    <s v="Power Failure"/>
    <n v="57"/>
    <n v="61"/>
    <n v="75.7"/>
    <n v="1.63"/>
    <n v="23.71"/>
    <n v="18437.71"/>
    <n v="8.82"/>
    <s v="Completed"/>
    <n v="1"/>
    <n v="30692.91"/>
    <n v="0.95906432748537995"/>
    <n v="22620.1"/>
    <n v="215.64573099415199"/>
    <n v="660.25"/>
    <n v="0.96516471033699403"/>
    <n v="7857.1642690058497"/>
    <n v="0.98417266187050356"/>
    <n v="4.0935672514619881E-2"/>
    <n v="1.1695906432748537E-2"/>
    <n v="0.95906432748538006"/>
    <n v="0.38333333333333336"/>
    <n v="637.25"/>
    <n v="1.0733621027854061"/>
    <n v="1.0526315789473684"/>
    <n v="1.0196939976461359"/>
    <n v="0.95906432748538006"/>
    <n v="0.94388489208633153"/>
    <n v="33.0703216374269"/>
    <n v="11.487082264628436"/>
    <s v="Low"/>
    <s v="Normal"/>
  </r>
  <r>
    <n v="476"/>
    <d v="2026-04-19T00:00:00"/>
    <x v="5"/>
    <s v="Plant B"/>
    <x v="0"/>
    <x v="3"/>
    <x v="0"/>
    <x v="2"/>
    <s v="B260419-0476"/>
    <s v="OP117"/>
    <n v="500"/>
    <n v="484"/>
    <n v="460"/>
    <n v="24"/>
    <n v="7"/>
    <n v="0"/>
    <s v="No Downtime"/>
    <n v="64"/>
    <n v="65"/>
    <n v="70.599999999999994"/>
    <n v="2.06"/>
    <n v="15"/>
    <n v="14768.67"/>
    <n v="8.33"/>
    <s v="Scheduled"/>
    <n v="11"/>
    <n v="24302.959999999999"/>
    <n v="0.95041322314049603"/>
    <n v="18652.169999999998"/>
    <n v="213.59646694214899"/>
    <n v="533.33333333333303"/>
    <n v="1"/>
    <n v="5437.1935330578499"/>
    <n v="0.96799999999999997"/>
    <n v="4.9586776859504134E-2"/>
    <n v="1.4462809917355372E-2"/>
    <n v="0.95041322314049592"/>
    <n v="0"/>
    <n v="533.33333333333303"/>
    <n v="0.90750000000000053"/>
    <n v="0.9375"/>
    <n v="0.96800000000000053"/>
    <n v="0.95041322314049592"/>
    <n v="0.9200000000000006"/>
    <n v="38.537541322314048"/>
    <n v="11.233870936069938"/>
    <s v="Low"/>
    <s v="Normal"/>
  </r>
  <r>
    <n v="477"/>
    <d v="2026-01-07T00:00:00"/>
    <x v="2"/>
    <s v="Plant B"/>
    <x v="3"/>
    <x v="7"/>
    <x v="0"/>
    <x v="0"/>
    <s v="B260107-0477"/>
    <s v="OP121"/>
    <n v="872"/>
    <n v="872"/>
    <n v="831"/>
    <n v="41"/>
    <n v="12"/>
    <n v="12"/>
    <s v="Machine Breakdown"/>
    <n v="42"/>
    <n v="45"/>
    <n v="74.099999999999994"/>
    <n v="2.65"/>
    <n v="28.42"/>
    <n v="16497.86"/>
    <n v="8.01"/>
    <s v="Scheduled"/>
    <n v="14"/>
    <n v="27126.37"/>
    <n v="0.95298165137614699"/>
    <n v="20358.14"/>
    <n v="227.03477064220201"/>
    <n v="610.4"/>
    <n v="0.980340760157274"/>
    <n v="6541.1952293577997"/>
    <n v="1"/>
    <n v="4.7018348623853214E-2"/>
    <n v="1.3761467889908258E-2"/>
    <n v="0.95298165137614677"/>
    <n v="0.2"/>
    <n v="598.4"/>
    <n v="1.4572192513368984"/>
    <n v="1.4285714285714286"/>
    <n v="1.0200534759358288"/>
    <n v="0.95298165137614677"/>
    <n v="0.95298165137614677"/>
    <n v="23.346490825688072"/>
    <n v="7.5013706758690359"/>
    <s v="Low"/>
    <s v="Normal"/>
  </r>
  <r>
    <n v="478"/>
    <d v="2026-05-15T00:00:00"/>
    <x v="3"/>
    <s v="Plant B"/>
    <x v="0"/>
    <x v="3"/>
    <x v="0"/>
    <x v="0"/>
    <s v="B260515-0478"/>
    <s v="OP107"/>
    <n v="915"/>
    <n v="898"/>
    <n v="863"/>
    <n v="35"/>
    <n v="12"/>
    <n v="20"/>
    <s v="Preventive Maintenance"/>
    <n v="42"/>
    <n v="42"/>
    <n v="69.400000000000006"/>
    <n v="2.2000000000000002"/>
    <n v="34.58"/>
    <n v="17435.04"/>
    <n v="10.19"/>
    <s v="Pending"/>
    <n v="34"/>
    <n v="27733.47"/>
    <n v="0.96102449888641395"/>
    <n v="22331.759999999998"/>
    <n v="232.984944320713"/>
    <n v="640.5"/>
    <n v="0.96877439500390305"/>
    <n v="5168.7250556792897"/>
    <n v="0.98142076502732245"/>
    <n v="3.8975501113585748E-2"/>
    <n v="1.3363028953229399E-2"/>
    <n v="0.96102449888641428"/>
    <n v="0.33333333333333331"/>
    <n v="620.5"/>
    <n v="1.4472199838839646"/>
    <n v="1.4285714285714286"/>
    <n v="1.0130539887187751"/>
    <n v="0.96102449888641428"/>
    <n v="0.94316939890710361"/>
    <n v="24.868329621380845"/>
    <n v="5.7558185475270482"/>
    <s v="Medium"/>
    <s v="Normal"/>
  </r>
  <r>
    <n v="479"/>
    <d v="2026-03-19T00:00:00"/>
    <x v="1"/>
    <s v="Plant A"/>
    <x v="0"/>
    <x v="1"/>
    <x v="1"/>
    <x v="0"/>
    <s v="B260319-0479"/>
    <s v="OP128"/>
    <n v="860"/>
    <n v="917"/>
    <n v="875"/>
    <n v="42"/>
    <n v="12"/>
    <n v="9"/>
    <s v="Preventive Maintenance"/>
    <n v="42"/>
    <n v="44"/>
    <n v="68"/>
    <n v="2.0099999999999998"/>
    <n v="27.63"/>
    <n v="17166.2"/>
    <n v="11.11"/>
    <s v="Completed"/>
    <n v="25"/>
    <n v="27531.82"/>
    <n v="0.954198473282443"/>
    <n v="22414.37"/>
    <n v="224.63947655397999"/>
    <n v="602"/>
    <n v="0.98504983388704304"/>
    <n v="4892.8105234460199"/>
    <n v="1.0662790697674418"/>
    <n v="4.5801526717557252E-2"/>
    <n v="1.3086150490730643E-2"/>
    <n v="0.95419847328244278"/>
    <n v="0.15"/>
    <n v="593"/>
    <n v="1.5463743676222597"/>
    <n v="1.4285714285714286"/>
    <n v="1.0824620573355817"/>
    <n v="0.95419847328244278"/>
    <n v="1.0174418604651161"/>
    <n v="24.443151581243182"/>
    <n v="5.3356712360370988"/>
    <s v="Low"/>
    <s v="Normal"/>
  </r>
  <r>
    <n v="480"/>
    <d v="2026-01-05T00:00:00"/>
    <x v="2"/>
    <s v="Plant B"/>
    <x v="3"/>
    <x v="8"/>
    <x v="1"/>
    <x v="1"/>
    <s v="B260105-0480"/>
    <s v="OP130"/>
    <n v="895"/>
    <n v="874"/>
    <n v="819"/>
    <n v="55"/>
    <n v="16"/>
    <n v="19"/>
    <s v="Setup Time"/>
    <n v="45"/>
    <n v="43"/>
    <n v="69.5"/>
    <n v="2.44"/>
    <n v="33.729999999999997"/>
    <n v="18342.12"/>
    <n v="9.1999999999999993"/>
    <s v="Completed"/>
    <n v="36"/>
    <n v="27860.55"/>
    <n v="0.93707093821510301"/>
    <n v="22785.69"/>
    <n v="335.78251716247098"/>
    <n v="671.25"/>
    <n v="0.971694599627561"/>
    <n v="4739.0774828375297"/>
    <n v="0.97653631284916198"/>
    <n v="6.2929061784897031E-2"/>
    <n v="1.8306636155606407E-2"/>
    <n v="0.93707093821510301"/>
    <n v="0.31666666666666665"/>
    <n v="652.25"/>
    <n v="1.3399770026830202"/>
    <n v="1.3333333333333333"/>
    <n v="1.0049827520122652"/>
    <n v="0.93707093821510301"/>
    <n v="0.91508379888268199"/>
    <n v="26.070583524027459"/>
    <n v="5.4222854494708574"/>
    <s v="Medium"/>
    <s v="Normal"/>
  </r>
  <r>
    <n v="481"/>
    <d v="2026-05-27T00:00:00"/>
    <x v="3"/>
    <s v="Plant A"/>
    <x v="1"/>
    <x v="6"/>
    <x v="2"/>
    <x v="0"/>
    <s v="B260527-0481"/>
    <s v="OP134"/>
    <n v="909"/>
    <n v="855"/>
    <n v="803"/>
    <n v="52"/>
    <n v="19"/>
    <n v="0"/>
    <s v="No Downtime"/>
    <n v="42"/>
    <n v="44"/>
    <n v="77.5"/>
    <n v="1.66"/>
    <n v="32.29"/>
    <n v="16280.74"/>
    <n v="9.84"/>
    <s v="Scheduled"/>
    <n v="24"/>
    <n v="25753.96"/>
    <n v="0.93918128654970801"/>
    <n v="20999.35"/>
    <n v="361.794222222222"/>
    <n v="636.29999999999995"/>
    <n v="1"/>
    <n v="4392.8157777777797"/>
    <n v="0.94059405940594054"/>
    <n v="6.0818713450292397E-2"/>
    <n v="2.2222222222222223E-2"/>
    <n v="0.93918128654970756"/>
    <n v="0"/>
    <n v="636.29999999999995"/>
    <n v="1.3437057991513437"/>
    <n v="1.4285714285714286"/>
    <n v="0.94059405940594054"/>
    <n v="0.93918128654970756"/>
    <n v="0.88338833883388335"/>
    <n v="24.560643274853799"/>
    <n v="5.1377962313190402"/>
    <s v="Low"/>
    <s v="Normal"/>
  </r>
  <r>
    <n v="482"/>
    <d v="2026-04-07T00:00:00"/>
    <x v="5"/>
    <s v="Plant A"/>
    <x v="0"/>
    <x v="1"/>
    <x v="0"/>
    <x v="2"/>
    <s v="B260407-0482"/>
    <s v="OP119"/>
    <n v="495"/>
    <n v="443"/>
    <n v="412"/>
    <n v="31"/>
    <n v="8"/>
    <n v="26"/>
    <s v="Setup Time"/>
    <n v="64"/>
    <n v="66"/>
    <n v="69.900000000000006"/>
    <n v="2.3199999999999998"/>
    <n v="18.41"/>
    <n v="14003.65"/>
    <n v="8.4700000000000006"/>
    <s v="Scheduled"/>
    <n v="13"/>
    <n v="21599.09"/>
    <n v="0.93002257336343097"/>
    <n v="17980.84"/>
    <n v="252.88758465011301"/>
    <n v="528"/>
    <n v="0.95075757575757602"/>
    <n v="3365.3624153498899"/>
    <n v="0.89494949494949494"/>
    <n v="6.9977426636568849E-2"/>
    <n v="1.8058690744920992E-2"/>
    <n v="0.93002257336343119"/>
    <n v="0.43333333333333335"/>
    <n v="502"/>
    <n v="0.88247011952191234"/>
    <n v="0.9375"/>
    <n v="0.94130146082337318"/>
    <n v="0.93002257336343119"/>
    <n v="0.83232323232323258"/>
    <n v="40.58880361173815"/>
    <n v="7.5967548879230025"/>
    <s v="Medium"/>
    <s v="Warning"/>
  </r>
  <r>
    <n v="483"/>
    <d v="2026-05-09T00:00:00"/>
    <x v="3"/>
    <s v="Plant B"/>
    <x v="3"/>
    <x v="7"/>
    <x v="1"/>
    <x v="3"/>
    <s v="B260509-0483"/>
    <s v="OP129"/>
    <n v="700"/>
    <n v="663"/>
    <n v="632"/>
    <n v="31"/>
    <n v="13"/>
    <n v="32"/>
    <s v="Tool Change"/>
    <n v="49"/>
    <n v="49"/>
    <n v="72.7"/>
    <n v="2.42"/>
    <n v="24.03"/>
    <n v="14794.07"/>
    <n v="7.25"/>
    <s v="Pending"/>
    <n v="28"/>
    <n v="24734.91"/>
    <n v="0.95324283559577705"/>
    <n v="18272.84"/>
    <n v="290.07980392156901"/>
    <n v="571.66666666666697"/>
    <n v="0.94402332361515995"/>
    <n v="6171.99019607843"/>
    <n v="0.94714285714285718"/>
    <n v="4.6757164404223228E-2"/>
    <n v="1.9607843137254902E-2"/>
    <n v="0.95324283559577683"/>
    <n v="0.53333333333333333"/>
    <n v="539.66666666666697"/>
    <n v="1.2285361334156879"/>
    <n v="1.2244897959183674"/>
    <n v="1.0033045089561452"/>
    <n v="0.95324283559577683"/>
    <n v="0.90285714285714203"/>
    <n v="27.560844645550528"/>
    <n v="9.3091858161062291"/>
    <s v="Medium"/>
    <s v="Normal"/>
  </r>
  <r>
    <n v="484"/>
    <d v="2026-06-03T00:00:00"/>
    <x v="0"/>
    <s v="Plant B"/>
    <x v="0"/>
    <x v="1"/>
    <x v="1"/>
    <x v="0"/>
    <s v="B260603-0484"/>
    <s v="OP131"/>
    <n v="766"/>
    <n v="772"/>
    <n v="724"/>
    <n v="48"/>
    <n v="14"/>
    <n v="43"/>
    <s v="Operator Issue"/>
    <n v="42"/>
    <n v="43"/>
    <n v="68.7"/>
    <n v="2.0499999999999998"/>
    <n v="30.79"/>
    <n v="14234.3"/>
    <n v="9.6300000000000008"/>
    <s v="Completed"/>
    <n v="17"/>
    <n v="22657.35"/>
    <n v="0.93782383419689097"/>
    <n v="18844.91"/>
    <n v="258.13497409326402"/>
    <n v="536.20000000000005"/>
    <n v="0.91980604252144704"/>
    <n v="3554.30502590673"/>
    <n v="1.0078328981723237"/>
    <n v="6.2176165803108807E-2"/>
    <n v="1.8134715025906734E-2"/>
    <n v="0.93782383419689119"/>
    <n v="0.71666666666666667"/>
    <n v="493.20000000000005"/>
    <n v="1.5652879156528789"/>
    <n v="1.4285714285714286"/>
    <n v="1.0957015409570152"/>
    <n v="0.93782383419689119"/>
    <n v="0.94516971279373341"/>
    <n v="24.410505181347151"/>
    <n v="4.6040220542833286"/>
    <s v="Low"/>
    <s v="Normal"/>
  </r>
  <r>
    <n v="485"/>
    <d v="2026-01-17T00:00:00"/>
    <x v="2"/>
    <s v="Plant A"/>
    <x v="3"/>
    <x v="11"/>
    <x v="1"/>
    <x v="0"/>
    <s v="B260117-0485"/>
    <s v="OP129"/>
    <n v="843"/>
    <n v="827"/>
    <n v="773"/>
    <n v="54"/>
    <n v="10"/>
    <n v="25"/>
    <s v="Preventive Maintenance"/>
    <n v="42"/>
    <n v="42"/>
    <n v="70.599999999999994"/>
    <n v="0.99"/>
    <n v="32.18"/>
    <n v="16209.27"/>
    <n v="9.85"/>
    <s v="Completed"/>
    <n v="37"/>
    <n v="24612.95"/>
    <n v="0.93470374848851301"/>
    <n v="20931.39"/>
    <n v="196.00084643289"/>
    <n v="590.1"/>
    <n v="0.95763429927131005"/>
    <n v="3485.5591535671101"/>
    <n v="0.98102016607354681"/>
    <n v="6.529625151148731E-2"/>
    <n v="1.2091898428053204E-2"/>
    <n v="0.93470374848851268"/>
    <n v="0.41666666666666669"/>
    <n v="565.1"/>
    <n v="1.4634577950805168"/>
    <n v="1.4285714285714286"/>
    <n v="1.0244204565563617"/>
    <n v="0.93470374848851268"/>
    <n v="0.91696322657176754"/>
    <n v="25.310024183796855"/>
    <n v="4.2147027249904596"/>
    <s v="Medium"/>
    <s v="Normal"/>
  </r>
  <r>
    <n v="486"/>
    <d v="2026-03-08T00:00:00"/>
    <x v="1"/>
    <s v="Plant A"/>
    <x v="2"/>
    <x v="9"/>
    <x v="2"/>
    <x v="1"/>
    <s v="B260308-0486"/>
    <s v="OP129"/>
    <n v="926"/>
    <n v="823"/>
    <n v="773"/>
    <n v="50"/>
    <n v="17"/>
    <n v="48"/>
    <s v="Operator Issue"/>
    <n v="45"/>
    <n v="49"/>
    <n v="76.900000000000006"/>
    <n v="2.17"/>
    <n v="30.94"/>
    <n v="16069"/>
    <n v="8.8800000000000008"/>
    <s v="Pending"/>
    <n v="31"/>
    <n v="27184.560000000001"/>
    <n v="0.93924665856622103"/>
    <n v="20343.46"/>
    <n v="331.92345078979298"/>
    <n v="694.5"/>
    <n v="0.93088552915766698"/>
    <n v="6509.1765492102104"/>
    <n v="0.88876889848812091"/>
    <n v="6.0753341433778855E-2"/>
    <n v="2.0656136087484813E-2"/>
    <n v="0.93924665856622114"/>
    <n v="0.8"/>
    <n v="646.5"/>
    <n v="1.2730085073472543"/>
    <n v="1.3333333333333333"/>
    <n v="0.95475638051044076"/>
    <n v="0.93924665856622114"/>
    <n v="0.83477321814254812"/>
    <n v="24.718663426488455"/>
    <n v="7.9090845069382869"/>
    <s v="Medium"/>
    <s v="Warning"/>
  </r>
  <r>
    <n v="487"/>
    <d v="2026-01-29T00:00:00"/>
    <x v="2"/>
    <s v="Plant A"/>
    <x v="4"/>
    <x v="13"/>
    <x v="1"/>
    <x v="0"/>
    <s v="B260129-0487"/>
    <s v="OP116"/>
    <n v="967"/>
    <n v="772"/>
    <n v="731"/>
    <n v="41"/>
    <n v="15"/>
    <n v="40"/>
    <s v="Machine Breakdown"/>
    <n v="42"/>
    <n v="46"/>
    <n v="72.2"/>
    <n v="2.0499999999999998"/>
    <n v="30.95"/>
    <n v="14443.83"/>
    <n v="7.75"/>
    <s v="Completed"/>
    <n v="38"/>
    <n v="23095.06"/>
    <n v="0.94689119170984504"/>
    <n v="18209.88"/>
    <n v="280.64436528497401"/>
    <n v="676.9"/>
    <n v="0.94090707637760396"/>
    <n v="4604.53563471503"/>
    <n v="0.79834539813857286"/>
    <n v="5.3108808290155442E-2"/>
    <n v="1.9430051813471502E-2"/>
    <n v="0.94689119170984459"/>
    <n v="0.66666666666666663"/>
    <n v="636.9"/>
    <n v="1.2121212121212122"/>
    <n v="1.4285714285714286"/>
    <n v="0.84848484848484851"/>
    <n v="0.94689119170984459"/>
    <n v="0.75594622543950385"/>
    <n v="23.587927461139898"/>
    <n v="5.9644243972992621"/>
    <s v="High"/>
    <s v="Warning"/>
  </r>
  <r>
    <n v="488"/>
    <d v="2026-02-26T00:00:00"/>
    <x v="4"/>
    <s v="Plant B"/>
    <x v="2"/>
    <x v="10"/>
    <x v="1"/>
    <x v="3"/>
    <s v="B260226-0488"/>
    <s v="OP111"/>
    <n v="776"/>
    <n v="747"/>
    <n v="674"/>
    <n v="73"/>
    <n v="14"/>
    <n v="15"/>
    <s v="Quality Inspection"/>
    <n v="49"/>
    <n v="50"/>
    <n v="70.7"/>
    <n v="2.57"/>
    <n v="23.68"/>
    <n v="16600.12"/>
    <n v="7.76"/>
    <s v="Pending"/>
    <n v="34"/>
    <n v="25989.200000000001"/>
    <n v="0.90227576974564905"/>
    <n v="20305.240000000002"/>
    <n v="311.11336010709499"/>
    <n v="633.73333333333301"/>
    <n v="0.97633073848095897"/>
    <n v="5372.8466398929104"/>
    <n v="0.96262886597938147"/>
    <n v="9.772423025435073E-2"/>
    <n v="1.8741633199464525E-2"/>
    <n v="0.90227576974564927"/>
    <n v="0.25"/>
    <n v="618.73333333333301"/>
    <n v="1.2073052472793886"/>
    <n v="1.2244897959183674"/>
    <n v="0.98596595194483405"/>
    <n v="0.90227576974564927"/>
    <n v="0.86855670103092797"/>
    <n v="27.182382864792505"/>
    <n v="7.1925657829891705"/>
    <s v="Medium"/>
    <s v="Warning"/>
  </r>
  <r>
    <n v="489"/>
    <d v="2026-05-13T00:00:00"/>
    <x v="3"/>
    <s v="Plant B"/>
    <x v="1"/>
    <x v="6"/>
    <x v="2"/>
    <x v="2"/>
    <s v="B260513-0489"/>
    <s v="OP110"/>
    <n v="600"/>
    <n v="581"/>
    <n v="545"/>
    <n v="36"/>
    <n v="15"/>
    <n v="36"/>
    <s v="Setup Time"/>
    <n v="64"/>
    <n v="68"/>
    <n v="77.3"/>
    <n v="2.5099999999999998"/>
    <n v="20.56"/>
    <n v="17415.150000000001"/>
    <n v="7.86"/>
    <s v="Scheduled"/>
    <n v="19"/>
    <n v="28831.88"/>
    <n v="0.93803786574870895"/>
    <n v="21137.19"/>
    <n v="449.61660929432003"/>
    <n v="640"/>
    <n v="0.94374999999999998"/>
    <n v="7245.0733907056801"/>
    <n v="0.96833333333333338"/>
    <n v="6.1962134251290879E-2"/>
    <n v="2.5817555938037865E-2"/>
    <n v="0.93803786574870918"/>
    <n v="0.6"/>
    <n v="604"/>
    <n v="0.96192052980132448"/>
    <n v="0.9375"/>
    <n v="1.0260485651214128"/>
    <n v="0.93803786574870918"/>
    <n v="0.90833333333333344"/>
    <n v="36.380705679862302"/>
    <n v="12.470005835982239"/>
    <s v="Low"/>
    <s v="Normal"/>
  </r>
  <r>
    <n v="490"/>
    <d v="2026-06-16T00:00:00"/>
    <x v="0"/>
    <s v="Plant A"/>
    <x v="4"/>
    <x v="13"/>
    <x v="1"/>
    <x v="2"/>
    <s v="B260616-0490"/>
    <s v="OP101"/>
    <n v="665"/>
    <n v="549"/>
    <n v="501"/>
    <n v="48"/>
    <n v="12"/>
    <n v="44"/>
    <s v="Setup Time"/>
    <n v="64"/>
    <n v="68"/>
    <n v="76.3"/>
    <n v="3.22"/>
    <n v="25.27"/>
    <n v="17096.05"/>
    <n v="6.16"/>
    <s v="Overdue"/>
    <n v="46"/>
    <n v="25968.58"/>
    <n v="0.91256830601092898"/>
    <n v="20095.48"/>
    <n v="373.68415300546502"/>
    <n v="709.33333333333303"/>
    <n v="0.93796992481203001"/>
    <n v="5499.4158469945396"/>
    <n v="0.82556390977443606"/>
    <n v="8.7431693989071038E-2"/>
    <n v="2.185792349726776E-2"/>
    <n v="0.91256830601092898"/>
    <n v="0.73333333333333328"/>
    <n v="665.33333333333303"/>
    <n v="0.82515030060120276"/>
    <n v="0.9375"/>
    <n v="0.88016032064128291"/>
    <n v="0.91256830601092898"/>
    <n v="0.75338345864661682"/>
    <n v="36.603788706739529"/>
    <n v="10.017150905272386"/>
    <s v="High"/>
    <s v="Warning"/>
  </r>
  <r>
    <n v="491"/>
    <d v="2026-05-14T00:00:00"/>
    <x v="3"/>
    <s v="Plant A"/>
    <x v="3"/>
    <x v="7"/>
    <x v="2"/>
    <x v="0"/>
    <s v="B260514-0491"/>
    <s v="OP116"/>
    <n v="836"/>
    <n v="745"/>
    <n v="700"/>
    <n v="45"/>
    <n v="14"/>
    <n v="22"/>
    <s v="Preventive Maintenance"/>
    <n v="42"/>
    <n v="45"/>
    <n v="73.8"/>
    <n v="2.13"/>
    <n v="22.42"/>
    <n v="13924.2"/>
    <n v="8.1300000000000008"/>
    <s v="Completed"/>
    <n v="20"/>
    <n v="22449.64"/>
    <n v="0.93959731543624203"/>
    <n v="17784.48"/>
    <n v="261.66281879194599"/>
    <n v="585.20000000000005"/>
    <n v="0.96240601503759404"/>
    <n v="4403.4971812080503"/>
    <n v="0.89114832535885169"/>
    <n v="6.0402684563758392E-2"/>
    <n v="1.8791946308724831E-2"/>
    <n v="0.93959731543624159"/>
    <n v="0.36666666666666664"/>
    <n v="563.20000000000005"/>
    <n v="1.3227982954545454"/>
    <n v="1.4285714285714286"/>
    <n v="0.92595880681818177"/>
    <n v="0.93959731543624159"/>
    <n v="0.83732057416267947"/>
    <n v="23.871785234899328"/>
    <n v="5.9107344714202021"/>
    <s v="Medium"/>
    <s v="Warning"/>
  </r>
  <r>
    <n v="492"/>
    <d v="2026-01-14T00:00:00"/>
    <x v="2"/>
    <s v="Plant B"/>
    <x v="0"/>
    <x v="3"/>
    <x v="1"/>
    <x v="3"/>
    <s v="B260114-0492"/>
    <s v="OP131"/>
    <n v="721"/>
    <n v="655"/>
    <n v="627"/>
    <n v="28"/>
    <n v="10"/>
    <n v="0"/>
    <s v="No Downtime"/>
    <n v="49"/>
    <n v="49"/>
    <n v="77.3"/>
    <n v="2.06"/>
    <n v="22.11"/>
    <n v="14563.79"/>
    <n v="8.44"/>
    <s v="Scheduled"/>
    <n v="20"/>
    <n v="24529.68"/>
    <n v="0.95725190839694696"/>
    <n v="18560.78"/>
    <n v="222.34793893129799"/>
    <n v="588.81666666666695"/>
    <n v="1"/>
    <n v="5746.5520610686999"/>
    <n v="0.90846047156726772"/>
    <n v="4.2748091603053436E-2"/>
    <n v="1.5267175572519083E-2"/>
    <n v="0.95725190839694652"/>
    <n v="0"/>
    <n v="588.81666666666695"/>
    <n v="1.1124005774293069"/>
    <n v="1.2244897959183674"/>
    <n v="0.90846047156726728"/>
    <n v="0.95725190839694652"/>
    <n v="0.86962552011095662"/>
    <n v="28.337068702290075"/>
    <n v="8.7733619252957258"/>
    <s v="Low"/>
    <s v="Normal"/>
  </r>
  <r>
    <n v="493"/>
    <d v="2026-03-06T00:00:00"/>
    <x v="1"/>
    <s v="Plant B"/>
    <x v="2"/>
    <x v="10"/>
    <x v="1"/>
    <x v="0"/>
    <s v="B260306-0493"/>
    <s v="OP133"/>
    <n v="967"/>
    <n v="890"/>
    <n v="798"/>
    <n v="92"/>
    <n v="27"/>
    <n v="23"/>
    <s v="Material Shortage"/>
    <n v="42"/>
    <n v="44"/>
    <n v="70.400000000000006"/>
    <n v="0.99"/>
    <n v="30.31"/>
    <n v="16406.73"/>
    <n v="7.12"/>
    <s v="Completed"/>
    <n v="33"/>
    <n v="25431.84"/>
    <n v="0.89662921348314595"/>
    <n v="19883.52"/>
    <n v="497.73225842696598"/>
    <n v="676.9"/>
    <n v="0.96602156891712199"/>
    <n v="5050.5877415730301"/>
    <n v="0.9203722854188211"/>
    <n v="0.10337078651685393"/>
    <n v="3.0337078651685393E-2"/>
    <n v="0.89662921348314606"/>
    <n v="0.38333333333333336"/>
    <n v="653.9"/>
    <n v="1.3610643829331703"/>
    <n v="1.4285714285714286"/>
    <n v="0.95274506805321924"/>
    <n v="0.89662921348314606"/>
    <n v="0.82523267838676306"/>
    <n v="22.341033707865169"/>
    <n v="5.6748176871607079"/>
    <s v="Medium"/>
    <s v="Warning"/>
  </r>
  <r>
    <n v="494"/>
    <d v="2026-03-19T00:00:00"/>
    <x v="1"/>
    <s v="Plant A"/>
    <x v="1"/>
    <x v="2"/>
    <x v="1"/>
    <x v="4"/>
    <s v="B260319-0494"/>
    <s v="OP112"/>
    <n v="569"/>
    <n v="569"/>
    <n v="546"/>
    <n v="23"/>
    <n v="8"/>
    <n v="25"/>
    <s v="Tool Change"/>
    <n v="57"/>
    <n v="57"/>
    <n v="69.7"/>
    <n v="2.0099999999999998"/>
    <n v="21.19"/>
    <n v="15002.3"/>
    <n v="9.73"/>
    <s v="Pending"/>
    <n v="36"/>
    <n v="25646.99"/>
    <n v="0.95957820738137101"/>
    <n v="19571.509999999998"/>
    <n v="210.92864674868201"/>
    <n v="540.54999999999995"/>
    <n v="0.953750809360836"/>
    <n v="5864.5513532513196"/>
    <n v="1"/>
    <n v="4.0421792618629174E-2"/>
    <n v="1.4059753954305799E-2"/>
    <n v="0.95957820738137078"/>
    <n v="0.41666666666666669"/>
    <n v="515.54999999999995"/>
    <n v="1.1036756861604113"/>
    <n v="1.0526315789473684"/>
    <n v="1.0484919018523908"/>
    <n v="0.95957820738137078"/>
    <n v="0.95957820738137078"/>
    <n v="34.396326889279436"/>
    <n v="10.306768634888083"/>
    <s v="Medium"/>
    <s v="Normal"/>
  </r>
  <r>
    <n v="495"/>
    <d v="2026-06-06T00:00:00"/>
    <x v="0"/>
    <s v="Plant A"/>
    <x v="4"/>
    <x v="12"/>
    <x v="2"/>
    <x v="1"/>
    <s v="B260606-0495"/>
    <s v="OP127"/>
    <n v="817"/>
    <n v="588"/>
    <n v="511"/>
    <n v="77"/>
    <n v="15"/>
    <n v="68"/>
    <s v="Material Shortage"/>
    <n v="45"/>
    <n v="51"/>
    <n v="75"/>
    <n v="2.48"/>
    <n v="23.73"/>
    <n v="11533.17"/>
    <n v="6.27"/>
    <s v="Completed"/>
    <n v="35"/>
    <n v="18226.82"/>
    <n v="0.86904761904761896"/>
    <n v="14568.24"/>
    <n v="294.21352040816299"/>
    <n v="612.75"/>
    <n v="0.88902488780089794"/>
    <n v="3364.3664795918398"/>
    <n v="0.7197062423500612"/>
    <n v="0.13095238095238096"/>
    <n v="2.5510204081632654E-2"/>
    <n v="0.86904761904761907"/>
    <n v="1.1333333333333333"/>
    <n v="544.75"/>
    <n v="1.0793942175309774"/>
    <n v="1.3333333333333333"/>
    <n v="0.80954566314823306"/>
    <n v="0.86904761904761907"/>
    <n v="0.62545899632802959"/>
    <n v="24.775918367346939"/>
    <n v="5.7217116999861224"/>
    <s v="High"/>
    <s v="Critical"/>
  </r>
  <r>
    <n v="496"/>
    <d v="2026-02-21T00:00:00"/>
    <x v="4"/>
    <s v="Plant A"/>
    <x v="4"/>
    <x v="13"/>
    <x v="2"/>
    <x v="0"/>
    <s v="B260221-0496"/>
    <s v="OP128"/>
    <n v="915"/>
    <n v="728"/>
    <n v="686"/>
    <n v="42"/>
    <n v="11"/>
    <n v="17"/>
    <s v="Machine Breakdown"/>
    <n v="42"/>
    <n v="45"/>
    <n v="73.5"/>
    <n v="1.9"/>
    <n v="26.01"/>
    <n v="13419.31"/>
    <n v="8.2799999999999994"/>
    <s v="Completed"/>
    <n v="38"/>
    <n v="22161.97"/>
    <n v="0.94230769230769196"/>
    <n v="17379.400000000001"/>
    <n v="202.764299450549"/>
    <n v="640.5"/>
    <n v="0.97345823575331802"/>
    <n v="4579.8057005494502"/>
    <n v="0.7956284153005464"/>
    <n v="5.7692307692307696E-2"/>
    <n v="1.510989010989011E-2"/>
    <n v="0.94230769230769229"/>
    <n v="0.28333333333333333"/>
    <n v="623.5"/>
    <n v="1.1676022453889334"/>
    <n v="1.4285714285714286"/>
    <n v="0.8173215717722534"/>
    <n v="0.94230769230769229"/>
    <n v="0.74972677595628445"/>
    <n v="23.872802197802201"/>
    <n v="6.2909418963591346"/>
    <s v="High"/>
    <s v="Critical"/>
  </r>
  <r>
    <n v="497"/>
    <d v="2026-06-26T00:00:00"/>
    <x v="0"/>
    <s v="Plant B"/>
    <x v="3"/>
    <x v="7"/>
    <x v="2"/>
    <x v="4"/>
    <s v="B260626-0497"/>
    <s v="OP104"/>
    <n v="545"/>
    <n v="357"/>
    <n v="334"/>
    <n v="23"/>
    <n v="9"/>
    <n v="37"/>
    <s v="Power Failure"/>
    <n v="57"/>
    <n v="59"/>
    <n v="73.8"/>
    <n v="3.16"/>
    <n v="16.22"/>
    <n v="9904.7800000000007"/>
    <n v="5.93"/>
    <s v="Completed"/>
    <n v="15"/>
    <n v="15205.3"/>
    <n v="0.93557422969187698"/>
    <n v="12719.26"/>
    <n v="249.70033613445401"/>
    <n v="517.75"/>
    <n v="0.92853693867696796"/>
    <n v="2236.3396638655499"/>
    <n v="0.65504587155963301"/>
    <n v="6.4425770308123242E-2"/>
    <n v="2.5210084033613446E-2"/>
    <n v="0.93557422969187676"/>
    <n v="0.6166666666666667"/>
    <n v="480.75"/>
    <n v="0.74258970358814358"/>
    <n v="1.0526315789473684"/>
    <n v="0.70546021840873641"/>
    <n v="0.93557422969187676"/>
    <n v="0.61284403669724796"/>
    <n v="35.628179271708682"/>
    <n v="6.2642567615281513"/>
    <s v="High"/>
    <s v="Critical"/>
  </r>
  <r>
    <n v="498"/>
    <d v="2026-05-20T00:00:00"/>
    <x v="3"/>
    <s v="Plant B"/>
    <x v="2"/>
    <x v="9"/>
    <x v="2"/>
    <x v="1"/>
    <s v="B260520-0498"/>
    <s v="OP109"/>
    <n v="714"/>
    <n v="617"/>
    <n v="588"/>
    <n v="29"/>
    <n v="7"/>
    <n v="18"/>
    <s v="Setup Time"/>
    <n v="45"/>
    <n v="47"/>
    <n v="73.2"/>
    <n v="1.32"/>
    <n v="19.989999999999998"/>
    <n v="12191.61"/>
    <n v="8.99"/>
    <s v="Completed"/>
    <n v="38"/>
    <n v="20707.95"/>
    <n v="0.95299837925445696"/>
    <n v="16417.02"/>
    <n v="138.316482982172"/>
    <n v="535.5"/>
    <n v="0.96638655462184897"/>
    <n v="4152.6135170178304"/>
    <n v="0.86414565826330536"/>
    <n v="4.7001620745542948E-2"/>
    <n v="1.1345218800648298E-2"/>
    <n v="0.95299837925445707"/>
    <n v="0.3"/>
    <n v="517.5"/>
    <n v="1.1922705314009663"/>
    <n v="1.3333333333333333"/>
    <n v="0.89420289855072477"/>
    <n v="0.95299837925445707"/>
    <n v="0.82352941176470629"/>
    <n v="26.607811993517018"/>
    <n v="6.7303298492995633"/>
    <s v="Medium"/>
    <s v="Warning"/>
  </r>
  <r>
    <n v="499"/>
    <d v="2026-01-06T00:00:00"/>
    <x v="2"/>
    <s v="Plant A"/>
    <x v="0"/>
    <x v="0"/>
    <x v="0"/>
    <x v="3"/>
    <s v="B260106-0499"/>
    <s v="OP132"/>
    <n v="644"/>
    <n v="715"/>
    <n v="672"/>
    <n v="43"/>
    <n v="8"/>
    <n v="57"/>
    <s v="Material Shortage"/>
    <n v="49"/>
    <n v="51"/>
    <n v="76.3"/>
    <n v="2.86"/>
    <n v="22.93"/>
    <n v="15840.03"/>
    <n v="8.41"/>
    <s v="Scheduled"/>
    <n v="57"/>
    <n v="25556.68"/>
    <n v="0.93986013986014005"/>
    <n v="19830.900000000001"/>
    <n v="177.23110489510501"/>
    <n v="525.93333333333305"/>
    <n v="0.89162124477119997"/>
    <n v="5548.5488951049001"/>
    <n v="1.110248447204969"/>
    <n v="6.0139860139860141E-2"/>
    <n v="1.1188811188811189E-2"/>
    <n v="0.93986013986013983"/>
    <n v="0.95"/>
    <n v="468.93333333333305"/>
    <n v="1.524736991754337"/>
    <n v="1.2244897959183674"/>
    <n v="1.2452018765993751"/>
    <n v="0.93986013986013983"/>
    <n v="1.0434782608695652"/>
    <n v="27.735524475524478"/>
    <n v="7.7602082449019578"/>
    <s v="Medium"/>
    <s v="Normal"/>
  </r>
  <r>
    <n v="500"/>
    <d v="2026-01-23T00:00:00"/>
    <x v="2"/>
    <s v="Plant B"/>
    <x v="2"/>
    <x v="9"/>
    <x v="2"/>
    <x v="1"/>
    <s v="B260123-0500"/>
    <s v="OP128"/>
    <n v="821"/>
    <n v="596"/>
    <n v="565"/>
    <n v="31"/>
    <n v="11"/>
    <n v="60"/>
    <s v="Machine Breakdown"/>
    <n v="45"/>
    <n v="47"/>
    <n v="74.7"/>
    <n v="2.59"/>
    <n v="26.79"/>
    <n v="12788.92"/>
    <n v="6.19"/>
    <s v="Completed"/>
    <n v="16"/>
    <n v="19921.759999999998"/>
    <n v="0.94798657718120805"/>
    <n v="15815.53"/>
    <n v="236.03711409396001"/>
    <n v="615.75"/>
    <n v="0.90255785627283802"/>
    <n v="3870.1928859060399"/>
    <n v="0.72594397076735684"/>
    <n v="5.2013422818791948E-2"/>
    <n v="1.8456375838926176E-2"/>
    <n v="0.94798657718120805"/>
    <n v="1"/>
    <n v="555.75"/>
    <n v="1.0724246513720197"/>
    <n v="1.3333333333333333"/>
    <n v="0.80431848852901477"/>
    <n v="0.94798657718120805"/>
    <n v="0.68818514007308151"/>
    <n v="26.536124161073825"/>
    <n v="6.493612224674564"/>
    <s v="High"/>
    <s v="Critical"/>
  </r>
  <r>
    <n v="501"/>
    <d v="2026-04-10T00:00:00"/>
    <x v="5"/>
    <s v="Plant A"/>
    <x v="0"/>
    <x v="3"/>
    <x v="0"/>
    <x v="0"/>
    <s v="B260410-0501"/>
    <s v="OP115"/>
    <n v="887"/>
    <n v="946"/>
    <n v="920"/>
    <n v="26"/>
    <n v="7"/>
    <n v="11"/>
    <s v="Operator Issue"/>
    <n v="42"/>
    <n v="46"/>
    <n v="67.099999999999994"/>
    <n v="1.78"/>
    <n v="28.35"/>
    <n v="18434.490000000002"/>
    <n v="7.82"/>
    <s v="Completed"/>
    <n v="19"/>
    <n v="29172.43"/>
    <n v="0.97251585623678705"/>
    <n v="22208.639999999999"/>
    <n v="136.40743128964101"/>
    <n v="620.9"/>
    <n v="0.98228378160734398"/>
    <n v="6827.3825687103599"/>
    <n v="1.0665163472378805"/>
    <n v="2.748414376321353E-2"/>
    <n v="7.3995771670190271E-3"/>
    <n v="0.97251585623678649"/>
    <n v="0.18333333333333332"/>
    <n v="609.9"/>
    <n v="1.5510739465486145"/>
    <n v="1.4285714285714286"/>
    <n v="1.0857517625840301"/>
    <n v="0.97251585623678649"/>
    <n v="1.037204058624577"/>
    <n v="23.476363636363637"/>
    <n v="7.2171063094189849"/>
    <s v="Low"/>
    <s v="Normal"/>
  </r>
  <r>
    <n v="502"/>
    <d v="2026-01-18T00:00:00"/>
    <x v="2"/>
    <s v="Plant B"/>
    <x v="4"/>
    <x v="14"/>
    <x v="1"/>
    <x v="0"/>
    <s v="B260118-0502"/>
    <s v="OP111"/>
    <n v="937"/>
    <n v="959"/>
    <n v="885"/>
    <n v="74"/>
    <n v="30"/>
    <n v="28"/>
    <s v="Operator Issue"/>
    <n v="42"/>
    <n v="40"/>
    <n v="80.599999999999994"/>
    <n v="1.37"/>
    <n v="29.12"/>
    <n v="18495.560000000001"/>
    <n v="8.07"/>
    <s v="Completed"/>
    <n v="20"/>
    <n v="28215.58"/>
    <n v="0.92283628779979099"/>
    <n v="22389.14"/>
    <n v="578.58894681960396"/>
    <n v="655.9"/>
    <n v="0.95731056563500505"/>
    <n v="5247.8510531804004"/>
    <n v="1.0234791889007471"/>
    <n v="7.7163712200208553E-2"/>
    <n v="3.1282586027111578E-2"/>
    <n v="0.92283628779979143"/>
    <n v="0.46666666666666667"/>
    <n v="627.9"/>
    <n v="1.5273132664437012"/>
    <n v="1.4285714285714286"/>
    <n v="1.0691192865105907"/>
    <n v="0.92283628779979143"/>
    <n v="0.94450373532550647"/>
    <n v="23.346339937434827"/>
    <n v="5.4722117342861321"/>
    <s v="Medium"/>
    <s v="Warning"/>
  </r>
  <r>
    <n v="503"/>
    <d v="2026-02-20T00:00:00"/>
    <x v="4"/>
    <s v="Plant A"/>
    <x v="1"/>
    <x v="6"/>
    <x v="2"/>
    <x v="0"/>
    <s v="B260220-0503"/>
    <s v="OP112"/>
    <n v="979"/>
    <n v="930"/>
    <n v="877"/>
    <n v="53"/>
    <n v="22"/>
    <n v="13"/>
    <s v="Quality Inspection"/>
    <n v="42"/>
    <n v="42"/>
    <n v="72.5"/>
    <n v="2.0699999999999998"/>
    <n v="36.35"/>
    <n v="16699.759999999998"/>
    <n v="7.19"/>
    <s v="Scheduled"/>
    <n v="23"/>
    <n v="27234.3"/>
    <n v="0.94301075268817203"/>
    <n v="20262.41"/>
    <n v="395.04808602150501"/>
    <n v="685.3"/>
    <n v="0.98103020574930699"/>
    <n v="6576.8419139784901"/>
    <n v="0.94994892747701731"/>
    <n v="5.6989247311827959E-2"/>
    <n v="2.3655913978494623E-2"/>
    <n v="0.94301075268817203"/>
    <n v="0.21666666666666667"/>
    <n v="672.3"/>
    <n v="1.3833110218652389"/>
    <n v="1.4285714285714286"/>
    <n v="0.96831771530566724"/>
    <n v="0.94301075268817203"/>
    <n v="0.89581205311542411"/>
    <n v="21.787537634408601"/>
    <n v="7.0718730257833231"/>
    <s v="Low"/>
    <s v="Normal"/>
  </r>
  <r>
    <n v="504"/>
    <d v="2026-04-18T00:00:00"/>
    <x v="5"/>
    <s v="Plant B"/>
    <x v="0"/>
    <x v="1"/>
    <x v="0"/>
    <x v="3"/>
    <s v="B260418-0504"/>
    <s v="OP105"/>
    <n v="842"/>
    <n v="901"/>
    <n v="860"/>
    <n v="41"/>
    <n v="17"/>
    <n v="15"/>
    <s v="Quality Inspection"/>
    <n v="49"/>
    <n v="52"/>
    <n v="75.8"/>
    <n v="1.22"/>
    <n v="34.840000000000003"/>
    <n v="18740.599999999999"/>
    <n v="10.7"/>
    <s v="Completed"/>
    <n v="13"/>
    <n v="31717.78"/>
    <n v="0.95449500554939004"/>
    <n v="23869.16"/>
    <n v="353.59622641509401"/>
    <n v="687.63333333333298"/>
    <n v="0.9781860487663"/>
    <n v="7495.0237735849096"/>
    <n v="1.0700712589073633"/>
    <n v="4.5504994450610431E-2"/>
    <n v="1.8867924528301886E-2"/>
    <n v="0.9544950055493896"/>
    <n v="0.25"/>
    <n v="672.63333333333298"/>
    <n v="1.3395113732097732"/>
    <n v="1.2244897959183674"/>
    <n v="1.0939342881213148"/>
    <n v="0.9544950055493896"/>
    <n v="1.0213776722090266"/>
    <n v="26.491853496115429"/>
    <n v="8.3185613469310873"/>
    <s v="Low"/>
    <s v="Normal"/>
  </r>
  <r>
    <n v="505"/>
    <d v="2026-05-13T00:00:00"/>
    <x v="3"/>
    <s v="Plant A"/>
    <x v="3"/>
    <x v="11"/>
    <x v="1"/>
    <x v="0"/>
    <s v="B260513-0505"/>
    <s v="OP114"/>
    <n v="870"/>
    <n v="775"/>
    <n v="723"/>
    <n v="52"/>
    <n v="11"/>
    <n v="28"/>
    <s v="Setup Time"/>
    <n v="42"/>
    <n v="46"/>
    <n v="62.9"/>
    <n v="2.4900000000000002"/>
    <n v="28.04"/>
    <n v="14553.1"/>
    <n v="9.09"/>
    <s v="Completed"/>
    <n v="17"/>
    <n v="22887.62"/>
    <n v="0.93290322580645202"/>
    <n v="18895.96"/>
    <n v="206.560129032258"/>
    <n v="609"/>
    <n v="0.95402298850574696"/>
    <n v="3785.0998709677401"/>
    <n v="0.89080459770114939"/>
    <n v="6.7096774193548384E-2"/>
    <n v="1.4193548387096775E-2"/>
    <n v="0.93290322580645157"/>
    <n v="0.46666666666666667"/>
    <n v="581"/>
    <n v="1.3339070567986231"/>
    <n v="1.4285714285714286"/>
    <n v="0.9337349397590361"/>
    <n v="0.93290322580645157"/>
    <n v="0.83103448275862057"/>
    <n v="24.381883870967741"/>
    <n v="4.8839998335067616"/>
    <s v="Medium"/>
    <s v="Warning"/>
  </r>
  <r>
    <n v="506"/>
    <d v="2026-01-07T00:00:00"/>
    <x v="2"/>
    <s v="Plant B"/>
    <x v="0"/>
    <x v="1"/>
    <x v="0"/>
    <x v="2"/>
    <s v="B260107-0506"/>
    <s v="OP127"/>
    <n v="461"/>
    <n v="411"/>
    <n v="374"/>
    <n v="37"/>
    <n v="11"/>
    <n v="35"/>
    <s v="Machine Breakdown"/>
    <n v="64"/>
    <n v="62"/>
    <n v="74"/>
    <n v="2.69"/>
    <n v="16.21"/>
    <n v="12649.9"/>
    <n v="8.94"/>
    <s v="Overdue"/>
    <n v="46"/>
    <n v="18865.400000000001"/>
    <n v="0.90997566909975702"/>
    <n v="16818.79"/>
    <n v="338.56180048661798"/>
    <n v="491.73333333333301"/>
    <n v="0.92882321041214799"/>
    <n v="1708.04819951338"/>
    <n v="0.89154013015184386"/>
    <n v="9.002433090024331E-2"/>
    <n v="2.6763990267639901E-2"/>
    <n v="0.90997566909975669"/>
    <n v="0.58333333333333337"/>
    <n v="456.73333333333301"/>
    <n v="0.89986863231645076"/>
    <n v="0.9375"/>
    <n v="0.95985987447088084"/>
    <n v="0.90997566909975669"/>
    <n v="0.81127982646420915"/>
    <n v="40.921630170316305"/>
    <n v="4.1558350353123599"/>
    <s v="High"/>
    <s v="Warning"/>
  </r>
  <r>
    <n v="507"/>
    <d v="2026-05-02T00:00:00"/>
    <x v="3"/>
    <s v="Plant B"/>
    <x v="4"/>
    <x v="14"/>
    <x v="0"/>
    <x v="4"/>
    <s v="B260502-0507"/>
    <s v="OP107"/>
    <n v="642"/>
    <n v="618"/>
    <n v="563"/>
    <n v="55"/>
    <n v="14"/>
    <n v="7"/>
    <s v="Machine Breakdown"/>
    <n v="57"/>
    <n v="59"/>
    <n v="69.400000000000006"/>
    <n v="1.73"/>
    <n v="22.56"/>
    <n v="16486.52"/>
    <n v="9.25"/>
    <s v="Completed"/>
    <n v="31"/>
    <n v="26225.03"/>
    <n v="0.91100323624595503"/>
    <n v="20852.060000000001"/>
    <n v="373.481035598706"/>
    <n v="609.9"/>
    <n v="0.98852270864076097"/>
    <n v="4999.4889644012901"/>
    <n v="0.96261682242990654"/>
    <n v="8.8996763754045305E-2"/>
    <n v="2.2653721682847898E-2"/>
    <n v="0.9110032362459547"/>
    <n v="0.11666666666666667"/>
    <n v="602.9"/>
    <n v="1.0250456128711229"/>
    <n v="1.0526315789473684"/>
    <n v="0.97379333222756681"/>
    <n v="0.9110032362459547"/>
    <n v="0.87694704049844252"/>
    <n v="33.741197411003242"/>
    <n v="8.0897879682868776"/>
    <s v="Medium"/>
    <s v="Warning"/>
  </r>
  <r>
    <n v="508"/>
    <d v="2026-04-29T00:00:00"/>
    <x v="5"/>
    <s v="Plant B"/>
    <x v="3"/>
    <x v="7"/>
    <x v="1"/>
    <x v="1"/>
    <s v="B260429-0508"/>
    <s v="OP103"/>
    <n v="877"/>
    <n v="736"/>
    <n v="705"/>
    <n v="31"/>
    <n v="6"/>
    <n v="33"/>
    <s v="Machine Breakdown"/>
    <n v="45"/>
    <n v="47"/>
    <n v="73.900000000000006"/>
    <n v="1.77"/>
    <n v="27.5"/>
    <n v="14522.65"/>
    <n v="8.4499999999999993"/>
    <s v="Overdue"/>
    <n v="7"/>
    <n v="24535.32"/>
    <n v="0.95788043478260898"/>
    <n v="18572.650000000001"/>
    <n v="118.39116847826099"/>
    <n v="657.75"/>
    <n v="0.94982896237172199"/>
    <n v="5844.2788315217404"/>
    <n v="0.83922462941847209"/>
    <n v="4.2119565217391304E-2"/>
    <n v="8.152173913043478E-3"/>
    <n v="0.95788043478260865"/>
    <n v="0.55000000000000004"/>
    <n v="624.75"/>
    <n v="1.1780712284913966"/>
    <n v="1.3333333333333333"/>
    <n v="0.88355342136854742"/>
    <n v="0.95788043478260865"/>
    <n v="0.80387685290763977"/>
    <n v="25.234578804347827"/>
    <n v="7.9405962384806257"/>
    <s v="High"/>
    <s v="Warning"/>
  </r>
  <r>
    <n v="509"/>
    <d v="2026-02-24T00:00:00"/>
    <x v="4"/>
    <s v="Plant B"/>
    <x v="2"/>
    <x v="10"/>
    <x v="1"/>
    <x v="0"/>
    <s v="B260224-0509"/>
    <s v="OP118"/>
    <n v="892"/>
    <n v="803"/>
    <n v="734"/>
    <n v="69"/>
    <n v="18"/>
    <n v="18"/>
    <s v="Tool Change"/>
    <n v="42"/>
    <n v="45"/>
    <n v="65.7"/>
    <n v="1.85"/>
    <n v="30.51"/>
    <n v="14189.19"/>
    <n v="7.16"/>
    <s v="Scheduled"/>
    <n v="31"/>
    <n v="22939.98"/>
    <n v="0.91407222914072195"/>
    <n v="17685.78"/>
    <n v="318.06403486924"/>
    <n v="624.4"/>
    <n v="0.97117232543241505"/>
    <n v="4936.1359651307603"/>
    <n v="0.90022421524663676"/>
    <n v="8.5927770859277705E-2"/>
    <n v="2.2415940224159402E-2"/>
    <n v="0.91407222914072228"/>
    <n v="0.3"/>
    <n v="606.4"/>
    <n v="1.3242084432717678"/>
    <n v="1.4285714285714286"/>
    <n v="0.92694591029023743"/>
    <n v="0.91407222914072228"/>
    <n v="0.82286995515695061"/>
    <n v="22.024632627646326"/>
    <n v="6.1471182629274725"/>
    <s v="Medium"/>
    <s v="Warning"/>
  </r>
  <r>
    <n v="510"/>
    <d v="2026-05-21T00:00:00"/>
    <x v="3"/>
    <s v="Plant B"/>
    <x v="3"/>
    <x v="7"/>
    <x v="0"/>
    <x v="3"/>
    <s v="B260521-0510"/>
    <s v="OP106"/>
    <n v="878"/>
    <n v="722"/>
    <n v="694"/>
    <n v="28"/>
    <n v="10"/>
    <n v="39"/>
    <s v="Tool Change"/>
    <n v="49"/>
    <n v="48"/>
    <n v="68.3"/>
    <n v="1.35"/>
    <n v="27.73"/>
    <n v="16003.86"/>
    <n v="7.36"/>
    <s v="Completed"/>
    <n v="36"/>
    <n v="26424.46"/>
    <n v="0.96121883656509699"/>
    <n v="19565.43"/>
    <n v="221.66011080332399"/>
    <n v="717.03333333333296"/>
    <n v="0.94560922318813601"/>
    <n v="6637.3698891966797"/>
    <n v="0.82232346241457854"/>
    <n v="3.8781163434903045E-2"/>
    <n v="1.3850415512465374E-2"/>
    <n v="0.96121883656509699"/>
    <n v="0.65"/>
    <n v="678.03333333333296"/>
    <n v="1.0648444029300435"/>
    <n v="1.2244897959183674"/>
    <n v="0.86962292905953542"/>
    <n v="0.96121883656509699"/>
    <n v="0.79043280182232367"/>
    <n v="27.098933518005541"/>
    <n v="9.1930330875300275"/>
    <s v="High"/>
    <s v="Warning"/>
  </r>
  <r>
    <n v="511"/>
    <d v="2026-05-19T00:00:00"/>
    <x v="3"/>
    <s v="Plant A"/>
    <x v="2"/>
    <x v="4"/>
    <x v="0"/>
    <x v="0"/>
    <s v="B260519-0511"/>
    <s v="OP111"/>
    <n v="835"/>
    <n v="894"/>
    <n v="834"/>
    <n v="60"/>
    <n v="24"/>
    <n v="13"/>
    <s v="Setup Time"/>
    <n v="42"/>
    <n v="44"/>
    <n v="68.900000000000006"/>
    <n v="3.15"/>
    <n v="37.25"/>
    <n v="16475.5"/>
    <n v="8.19"/>
    <s v="Overdue"/>
    <n v="24"/>
    <n v="25887.93"/>
    <n v="0.932885906040268"/>
    <n v="20496.25"/>
    <n v="442.295302013423"/>
    <n v="584.5"/>
    <n v="0.97775876817792995"/>
    <n v="4949.3846979865802"/>
    <n v="1.0706586826347306"/>
    <n v="6.7114093959731544E-2"/>
    <n v="2.6845637583892617E-2"/>
    <n v="0.93288590604026844"/>
    <n v="0.21666666666666667"/>
    <n v="571.5"/>
    <n v="1.5643044619422573"/>
    <n v="1.4285714285714286"/>
    <n v="1.0950131233595801"/>
    <n v="0.93288590604026844"/>
    <n v="0.99880239520958092"/>
    <n v="22.926454138702461"/>
    <n v="5.5362244943921484"/>
    <s v="High"/>
    <s v="Warning"/>
  </r>
  <r>
    <n v="512"/>
    <d v="2026-03-06T00:00:00"/>
    <x v="1"/>
    <s v="Plant B"/>
    <x v="3"/>
    <x v="11"/>
    <x v="1"/>
    <x v="2"/>
    <s v="B260306-0512"/>
    <s v="OP104"/>
    <n v="643"/>
    <n v="604"/>
    <n v="551"/>
    <n v="53"/>
    <n v="15"/>
    <n v="42"/>
    <s v="Operator Issue"/>
    <n v="64"/>
    <n v="70"/>
    <n v="72.400000000000006"/>
    <n v="2.9"/>
    <n v="21.3"/>
    <n v="17759.04"/>
    <n v="9.75"/>
    <s v="Completed"/>
    <n v="16"/>
    <n v="29326.99"/>
    <n v="0.91225165562913901"/>
    <n v="22338.240000000002"/>
    <n v="441.03576158940399"/>
    <n v="685.86666666666702"/>
    <n v="0.93876360808709203"/>
    <n v="6547.7142384106"/>
    <n v="0.93934681181959567"/>
    <n v="8.7748344370860931E-2"/>
    <n v="2.4834437086092714E-2"/>
    <n v="0.91225165562913912"/>
    <n v="0.7"/>
    <n v="643.86666666666702"/>
    <n v="0.93808241872023146"/>
    <n v="0.9375"/>
    <n v="1.0006212466349136"/>
    <n v="0.91225165562913912"/>
    <n v="0.85692068429237933"/>
    <n v="36.983841059602653"/>
    <n v="10.840586487434768"/>
    <s v="Medium"/>
    <s v="Warning"/>
  </r>
  <r>
    <n v="513"/>
    <d v="2026-02-01T00:00:00"/>
    <x v="4"/>
    <s v="Plant A"/>
    <x v="3"/>
    <x v="7"/>
    <x v="0"/>
    <x v="3"/>
    <s v="B260201-0513"/>
    <s v="OP121"/>
    <n v="625"/>
    <n v="622"/>
    <n v="593"/>
    <n v="29"/>
    <n v="6"/>
    <n v="18"/>
    <s v="Operator Issue"/>
    <n v="49"/>
    <n v="51"/>
    <n v="77.3"/>
    <n v="2.2999999999999998"/>
    <n v="25.71"/>
    <n v="14045.27"/>
    <n v="10.039999999999999"/>
    <s v="Pending"/>
    <n v="9"/>
    <n v="21913.38"/>
    <n v="0.95337620578778104"/>
    <n v="18794.66"/>
    <n v="135.484919614148"/>
    <n v="510.41666666666703"/>
    <n v="0.96473469387755095"/>
    <n v="2983.2350803858499"/>
    <n v="0.99519999999999997"/>
    <n v="4.6623794212218649E-2"/>
    <n v="9.6463022508038593E-3"/>
    <n v="0.95337620578778137"/>
    <n v="0.3"/>
    <n v="492.41666666666703"/>
    <n v="1.2631578947368411"/>
    <n v="1.2244897959183674"/>
    <n v="1.0315789473684203"/>
    <n v="0.95337620578778137"/>
    <n v="0.94879999999999931"/>
    <n v="30.216495176848873"/>
    <n v="4.7961978784338424"/>
    <s v="Medium"/>
    <s v="Normal"/>
  </r>
  <r>
    <n v="514"/>
    <d v="2026-03-07T00:00:00"/>
    <x v="1"/>
    <s v="Plant A"/>
    <x v="1"/>
    <x v="2"/>
    <x v="1"/>
    <x v="2"/>
    <s v="B260307-0514"/>
    <s v="OP132"/>
    <n v="644"/>
    <n v="624"/>
    <n v="587"/>
    <n v="37"/>
    <n v="11"/>
    <n v="14"/>
    <s v="Quality Inspection"/>
    <n v="64"/>
    <n v="70"/>
    <n v="74.5"/>
    <n v="1.8"/>
    <n v="23.9"/>
    <n v="18314.87"/>
    <n v="7.31"/>
    <s v="Scheduled"/>
    <n v="10"/>
    <n v="31150.95"/>
    <n v="0.94070512820512797"/>
    <n v="21819.47"/>
    <n v="322.85828525641"/>
    <n v="686.93333333333305"/>
    <n v="0.97961956521739102"/>
    <n v="9008.6217147435891"/>
    <n v="0.96894409937888204"/>
    <n v="5.9294871794871792E-2"/>
    <n v="1.7628205128205128E-2"/>
    <n v="0.94070512820512819"/>
    <n v="0.23333333333333334"/>
    <n v="672.93333333333305"/>
    <n v="0.92728353477313297"/>
    <n v="0.9375"/>
    <n v="0.98910243709134182"/>
    <n v="0.94070512820512819"/>
    <n v="0.91149068322981386"/>
    <n v="34.967099358974359"/>
    <n v="14.436893773627547"/>
    <s v="Low"/>
    <s v="Normal"/>
  </r>
  <r>
    <n v="515"/>
    <d v="2026-03-12T00:00:00"/>
    <x v="1"/>
    <s v="Plant B"/>
    <x v="2"/>
    <x v="10"/>
    <x v="0"/>
    <x v="1"/>
    <s v="B260312-0515"/>
    <s v="OP123"/>
    <n v="722"/>
    <n v="661"/>
    <n v="578"/>
    <n v="83"/>
    <n v="26"/>
    <n v="7"/>
    <s v="Machine Breakdown"/>
    <n v="45"/>
    <n v="48"/>
    <n v="89.1"/>
    <n v="2.38"/>
    <n v="24.21"/>
    <n v="13822.96"/>
    <n v="6.72"/>
    <s v="Completed"/>
    <n v="20"/>
    <n v="20640.509999999998"/>
    <n v="0.874432677760968"/>
    <n v="17064.849999999999"/>
    <n v="543.71703479576399"/>
    <n v="541.5"/>
    <n v="0.987072945521699"/>
    <n v="3031.94296520424"/>
    <n v="0.91551246537396125"/>
    <n v="0.12556732223903178"/>
    <n v="3.9334341906202726E-2"/>
    <n v="0.87443267776096822"/>
    <n v="0.11666666666666667"/>
    <n v="534.5"/>
    <n v="1.23666978484565"/>
    <n v="1.3333333333333333"/>
    <n v="0.92750233863423759"/>
    <n v="0.87443267776096822"/>
    <n v="0.80055401662049863"/>
    <n v="25.816717095310135"/>
    <n v="4.5869031243634488"/>
    <s v="High"/>
    <s v="Warning"/>
  </r>
  <r>
    <n v="516"/>
    <d v="2026-06-14T00:00:00"/>
    <x v="0"/>
    <s v="Plant A"/>
    <x v="2"/>
    <x v="4"/>
    <x v="0"/>
    <x v="1"/>
    <s v="B260614-0516"/>
    <s v="OP124"/>
    <n v="895"/>
    <n v="919"/>
    <n v="868"/>
    <n v="51"/>
    <n v="14"/>
    <n v="21"/>
    <s v="Preventive Maintenance"/>
    <n v="45"/>
    <n v="46"/>
    <n v="62.3"/>
    <n v="2.31"/>
    <n v="36.71"/>
    <n v="18685.310000000001"/>
    <n v="10.47"/>
    <s v="Completed"/>
    <n v="11"/>
    <n v="29798.05"/>
    <n v="0.94450489662676795"/>
    <n v="23727.200000000001"/>
    <n v="284.65107725788903"/>
    <n v="671.25"/>
    <n v="0.96871508379888305"/>
    <n v="5786.19892274211"/>
    <n v="1.0268156424581005"/>
    <n v="5.5495103373231776E-2"/>
    <n v="1.5233949945593036E-2"/>
    <n v="0.94450489662676818"/>
    <n v="0.35"/>
    <n v="650.25"/>
    <n v="1.4133025759323337"/>
    <n v="1.3333333333333333"/>
    <n v="1.0599769319492502"/>
    <n v="0.94450489662676818"/>
    <n v="0.96983240223463718"/>
    <n v="25.818498367791079"/>
    <n v="6.2961903403069748"/>
    <s v="Low"/>
    <s v="Normal"/>
  </r>
  <r>
    <n v="517"/>
    <d v="2026-06-11T00:00:00"/>
    <x v="0"/>
    <s v="Plant B"/>
    <x v="0"/>
    <x v="1"/>
    <x v="2"/>
    <x v="1"/>
    <s v="B260611-0517"/>
    <s v="OP130"/>
    <n v="809"/>
    <n v="722"/>
    <n v="673"/>
    <n v="49"/>
    <n v="11"/>
    <n v="8"/>
    <s v="Setup Time"/>
    <n v="45"/>
    <n v="46"/>
    <n v="67.7"/>
    <n v="1.87"/>
    <n v="26.01"/>
    <n v="15064.38"/>
    <n v="8.61"/>
    <s v="Scheduled"/>
    <n v="19"/>
    <n v="23952.09"/>
    <n v="0.93213296398891998"/>
    <n v="19172.97"/>
    <n v="229.51271468144"/>
    <n v="606.75"/>
    <n v="0.98681499793984295"/>
    <n v="4549.6072853185597"/>
    <n v="0.892459826946848"/>
    <n v="6.7867036011080337E-2"/>
    <n v="1.5235457063711912E-2"/>
    <n v="0.93213296398891965"/>
    <n v="0.13333333333333333"/>
    <n v="598.75"/>
    <n v="1.2058455114822546"/>
    <n v="1.3333333333333333"/>
    <n v="0.90438413361169101"/>
    <n v="0.93213296398891965"/>
    <n v="0.83189122373300328"/>
    <n v="26.555360110803324"/>
    <n v="6.3013951320201658"/>
    <s v="Medium"/>
    <s v="Warning"/>
  </r>
  <r>
    <n v="518"/>
    <d v="2026-02-14T00:00:00"/>
    <x v="4"/>
    <s v="Plant B"/>
    <x v="0"/>
    <x v="1"/>
    <x v="0"/>
    <x v="4"/>
    <s v="B260214-0518"/>
    <s v="OP115"/>
    <n v="601"/>
    <n v="642"/>
    <n v="608"/>
    <n v="34"/>
    <n v="8"/>
    <n v="42"/>
    <s v="Preventive Maintenance"/>
    <n v="57"/>
    <n v="57"/>
    <n v="68.8"/>
    <n v="2.08"/>
    <n v="25.94"/>
    <n v="18303.07"/>
    <n v="10.85"/>
    <s v="Scheduled"/>
    <n v="7"/>
    <n v="28738.76"/>
    <n v="0.94704049844236804"/>
    <n v="23419.03"/>
    <n v="228.07563862928299"/>
    <n v="570.95000000000005"/>
    <n v="0.92643839215342905"/>
    <n v="5091.6543613707199"/>
    <n v="1.0682196339434276"/>
    <n v="5.2959501557632398E-2"/>
    <n v="1.2461059190031152E-2"/>
    <n v="0.9470404984423676"/>
    <n v="0.7"/>
    <n v="528.95000000000005"/>
    <n v="1.2137253048492296"/>
    <n v="1.0526315789473684"/>
    <n v="1.1530390396067682"/>
    <n v="0.9470404984423676"/>
    <n v="1.011647254575708"/>
    <n v="36.478239875389406"/>
    <n v="7.9309257965276014"/>
    <s v="Low"/>
    <s v="Normal"/>
  </r>
  <r>
    <n v="519"/>
    <d v="2026-03-24T00:00:00"/>
    <x v="1"/>
    <s v="Plant A"/>
    <x v="0"/>
    <x v="3"/>
    <x v="1"/>
    <x v="2"/>
    <s v="B260324-0519"/>
    <s v="OP119"/>
    <n v="643"/>
    <n v="591"/>
    <n v="570"/>
    <n v="21"/>
    <n v="5"/>
    <n v="40"/>
    <s v="Machine Breakdown"/>
    <n v="64"/>
    <n v="62"/>
    <n v="61.2"/>
    <n v="1.58"/>
    <n v="20.88"/>
    <n v="18068.7"/>
    <n v="9.18"/>
    <s v="Pending"/>
    <n v="31"/>
    <n v="30309.5"/>
    <n v="0.96446700507614203"/>
    <n v="22387.62"/>
    <n v="152.865482233503"/>
    <n v="685.86666666666702"/>
    <n v="0.94167962674961103"/>
    <n v="7769.0145177664999"/>
    <n v="0.91912908242612756"/>
    <n v="3.553299492385787E-2"/>
    <n v="8.4602368866328256E-3"/>
    <n v="0.96446700507614214"/>
    <n v="0.66666666666666663"/>
    <n v="645.86666666666702"/>
    <n v="0.91504954582989217"/>
    <n v="0.9375"/>
    <n v="0.97605284888521837"/>
    <n v="0.96446700507614214"/>
    <n v="0.88646967340590921"/>
    <n v="37.880913705583758"/>
    <n v="13.145540639198815"/>
    <s v="Medium"/>
    <s v="Normal"/>
  </r>
  <r>
    <n v="520"/>
    <d v="2026-03-17T00:00:00"/>
    <x v="1"/>
    <s v="Plant A"/>
    <x v="4"/>
    <x v="14"/>
    <x v="1"/>
    <x v="0"/>
    <s v="B260317-0520"/>
    <s v="OP110"/>
    <n v="860"/>
    <n v="742"/>
    <n v="684"/>
    <n v="58"/>
    <n v="15"/>
    <n v="28"/>
    <s v="Machine Breakdown"/>
    <n v="42"/>
    <n v="45"/>
    <n v="63.5"/>
    <n v="2.4300000000000002"/>
    <n v="32.020000000000003"/>
    <n v="13699.45"/>
    <n v="7.46"/>
    <s v="Scheduled"/>
    <n v="3"/>
    <n v="22542.5"/>
    <n v="0.92183288409703501"/>
    <n v="17344.63"/>
    <n v="276.94305929919102"/>
    <n v="602"/>
    <n v="0.95348837209302295"/>
    <n v="4920.9269407008096"/>
    <n v="0.86279069767441863"/>
    <n v="7.8167115902964962E-2"/>
    <n v="2.0215633423180591E-2"/>
    <n v="0.92183288409703501"/>
    <n v="0.46666666666666667"/>
    <n v="574"/>
    <n v="1.2926829268292683"/>
    <n v="1.4285714285714286"/>
    <n v="0.90487804878048783"/>
    <n v="0.92183288409703501"/>
    <n v="0.79534883720930216"/>
    <n v="23.375512129380056"/>
    <n v="6.6319770090307406"/>
    <s v="High"/>
    <s v="Warning"/>
  </r>
  <r>
    <n v="521"/>
    <d v="2026-02-19T00:00:00"/>
    <x v="4"/>
    <s v="Plant B"/>
    <x v="3"/>
    <x v="11"/>
    <x v="1"/>
    <x v="4"/>
    <s v="B260219-0521"/>
    <s v="OP125"/>
    <n v="711"/>
    <n v="664"/>
    <n v="612"/>
    <n v="52"/>
    <n v="13"/>
    <n v="9"/>
    <s v="Power Failure"/>
    <n v="57"/>
    <n v="58"/>
    <n v="70.400000000000006"/>
    <n v="1.93"/>
    <n v="26.3"/>
    <n v="18907.62"/>
    <n v="8.51"/>
    <s v="Completed"/>
    <n v="27"/>
    <n v="28857.17"/>
    <n v="0.92168674698795205"/>
    <n v="22973.82"/>
    <n v="370.179307228916"/>
    <n v="675.45"/>
    <n v="0.98667554963357795"/>
    <n v="5513.1706927710802"/>
    <n v="0.93389592123769338"/>
    <n v="7.8313253012048195E-2"/>
    <n v="1.9578313253012049E-2"/>
    <n v="0.92168674698795183"/>
    <n v="0.15"/>
    <n v="666.45"/>
    <n v="0.99632380523670183"/>
    <n v="1.0526315789473684"/>
    <n v="0.9465076149748668"/>
    <n v="0.92168674698795183"/>
    <n v="0.86075949367088644"/>
    <n v="34.599126506024099"/>
    <n v="8.3029679107998202"/>
    <s v="Low"/>
    <s v="Normal"/>
  </r>
  <r>
    <n v="522"/>
    <d v="2026-05-10T00:00:00"/>
    <x v="3"/>
    <s v="Plant B"/>
    <x v="2"/>
    <x v="10"/>
    <x v="0"/>
    <x v="1"/>
    <s v="B260510-0522"/>
    <s v="OP115"/>
    <n v="858"/>
    <n v="858"/>
    <n v="777"/>
    <n v="81"/>
    <n v="23"/>
    <n v="13"/>
    <s v="Power Failure"/>
    <n v="45"/>
    <n v="49"/>
    <n v="78.599999999999994"/>
    <n v="2.35"/>
    <n v="35.200000000000003"/>
    <n v="17715.55"/>
    <n v="9.0399999999999991"/>
    <s v="Completed"/>
    <n v="22"/>
    <n v="26946.33"/>
    <n v="0.90559440559440596"/>
    <n v="22100.35"/>
    <n v="474.892365967366"/>
    <n v="643.5"/>
    <n v="0.97979797979798"/>
    <n v="4371.0876340326404"/>
    <n v="1"/>
    <n v="9.4405594405594401E-2"/>
    <n v="2.6806526806526808E-2"/>
    <n v="0.90559440559440563"/>
    <n v="0.21666666666666667"/>
    <n v="630.5"/>
    <n v="1.3608247422680413"/>
    <n v="1.3333333333333333"/>
    <n v="1.0206185567010311"/>
    <n v="0.90559440559440563"/>
    <n v="0.90559440559440607"/>
    <n v="25.757983682983681"/>
    <n v="5.0945077319727741"/>
    <s v="Medium"/>
    <s v="Warning"/>
  </r>
  <r>
    <n v="523"/>
    <d v="2026-06-30T00:00:00"/>
    <x v="0"/>
    <s v="Plant A"/>
    <x v="0"/>
    <x v="0"/>
    <x v="0"/>
    <x v="2"/>
    <s v="B260630-0523"/>
    <s v="OP118"/>
    <n v="595"/>
    <n v="578"/>
    <n v="550"/>
    <n v="28"/>
    <n v="10"/>
    <n v="18"/>
    <s v="Preventive Maintenance"/>
    <n v="64"/>
    <n v="65"/>
    <n v="69.3"/>
    <n v="1.53"/>
    <n v="19.27"/>
    <n v="18559.64"/>
    <n v="8.6199999999999992"/>
    <s v="Scheduled"/>
    <n v="26"/>
    <n v="29056.97"/>
    <n v="0.95155709342560602"/>
    <n v="22612.07"/>
    <n v="321.10103806228398"/>
    <n v="634.66666666666697"/>
    <n v="0.97163865546218497"/>
    <n v="6123.7989619377204"/>
    <n v="0.97142857142857142"/>
    <n v="4.8442906574394463E-2"/>
    <n v="1.7301038062283738E-2"/>
    <n v="0.95155709342560557"/>
    <n v="0.3"/>
    <n v="616.66666666666697"/>
    <n v="0.93729729729729683"/>
    <n v="0.9375"/>
    <n v="0.9997837837837833"/>
    <n v="0.95155709342560557"/>
    <n v="0.92436974789915938"/>
    <n v="39.121228373702422"/>
    <n v="10.594807892625814"/>
    <s v="Low"/>
    <s v="Normal"/>
  </r>
  <r>
    <n v="524"/>
    <d v="2026-06-24T00:00:00"/>
    <x v="0"/>
    <s v="Plant B"/>
    <x v="0"/>
    <x v="0"/>
    <x v="0"/>
    <x v="1"/>
    <s v="B260624-0524"/>
    <s v="OP108"/>
    <n v="716"/>
    <n v="750"/>
    <n v="713"/>
    <n v="37"/>
    <n v="8"/>
    <n v="0"/>
    <s v="No Downtime"/>
    <n v="45"/>
    <n v="48"/>
    <n v="72.099999999999994"/>
    <n v="2.66"/>
    <n v="22.77"/>
    <n v="15365.73"/>
    <n v="7.95"/>
    <s v="Completed"/>
    <n v="34"/>
    <n v="25623.02"/>
    <n v="0.95066666666666699"/>
    <n v="19148.16"/>
    <n v="163.90111999999999"/>
    <n v="537"/>
    <n v="1"/>
    <n v="6310.9588800000001"/>
    <n v="1.0474860335195531"/>
    <n v="4.9333333333333333E-2"/>
    <n v="1.0666666666666666E-2"/>
    <n v="0.95066666666666666"/>
    <n v="0"/>
    <n v="537"/>
    <n v="1.3966480446927374"/>
    <n v="1.3333333333333333"/>
    <n v="1.0474860335195531"/>
    <n v="0.95066666666666666"/>
    <n v="0.99581005586592175"/>
    <n v="25.53088"/>
    <n v="8.414611840000001"/>
    <s v="Medium"/>
    <s v="Normal"/>
  </r>
  <r>
    <n v="525"/>
    <d v="2026-05-27T00:00:00"/>
    <x v="3"/>
    <s v="Plant B"/>
    <x v="1"/>
    <x v="2"/>
    <x v="1"/>
    <x v="0"/>
    <s v="B260527-0525"/>
    <s v="OP122"/>
    <n v="813"/>
    <n v="740"/>
    <n v="705"/>
    <n v="35"/>
    <n v="9"/>
    <n v="40"/>
    <s v="Setup Time"/>
    <n v="42"/>
    <n v="43"/>
    <n v="76.599999999999994"/>
    <n v="2.25"/>
    <n v="30.19"/>
    <n v="12902.11"/>
    <n v="8.3699999999999992"/>
    <s v="Overdue"/>
    <n v="12"/>
    <n v="21963.26"/>
    <n v="0.95270270270270296"/>
    <n v="16940.32"/>
    <n v="156.91755405405399"/>
    <n v="569.1"/>
    <n v="0.92971358285011396"/>
    <n v="4866.0224459459496"/>
    <n v="0.91020910209102091"/>
    <n v="4.72972972972973E-2"/>
    <n v="1.2162162162162163E-2"/>
    <n v="0.95270270270270274"/>
    <n v="0.66666666666666663"/>
    <n v="529.1"/>
    <n v="1.3986013986013985"/>
    <n v="1.4285714285714286"/>
    <n v="0.97902097902097895"/>
    <n v="0.95270270270270274"/>
    <n v="0.86715867158671556"/>
    <n v="22.892324324324324"/>
    <n v="6.5757060080350671"/>
    <s v="High"/>
    <s v="Normal"/>
  </r>
  <r>
    <n v="526"/>
    <d v="2026-04-06T00:00:00"/>
    <x v="5"/>
    <s v="Plant A"/>
    <x v="3"/>
    <x v="8"/>
    <x v="2"/>
    <x v="4"/>
    <s v="B260406-0526"/>
    <s v="OP101"/>
    <n v="603"/>
    <n v="457"/>
    <n v="418"/>
    <n v="39"/>
    <n v="10"/>
    <n v="76"/>
    <s v="Tool Change"/>
    <n v="57"/>
    <n v="63"/>
    <n v="80.2"/>
    <n v="2.46"/>
    <n v="23.41"/>
    <n v="12717.89"/>
    <n v="6.89"/>
    <s v="Overdue"/>
    <n v="58"/>
    <n v="19466.080000000002"/>
    <n v="0.91466083150984701"/>
    <n v="16029.08"/>
    <n v="278.29080962800901"/>
    <n v="572.85"/>
    <n v="0.86733001658374798"/>
    <n v="3158.7091903719902"/>
    <n v="0.75787728026533996"/>
    <n v="8.5339168490153175E-2"/>
    <n v="2.1881838074398249E-2"/>
    <n v="0.91466083150984678"/>
    <n v="1.2666666666666666"/>
    <n v="496.85"/>
    <n v="0.91979470665190699"/>
    <n v="1.0526315789473684"/>
    <n v="0.87380497131931167"/>
    <n v="0.91466083150984678"/>
    <n v="0.69320066334991715"/>
    <n v="35.074573304157546"/>
    <n v="6.9118363027833487"/>
    <s v="High"/>
    <s v="Critical"/>
  </r>
  <r>
    <n v="527"/>
    <d v="2026-02-15T00:00:00"/>
    <x v="4"/>
    <s v="Plant A"/>
    <x v="1"/>
    <x v="5"/>
    <x v="1"/>
    <x v="2"/>
    <s v="B260215-0527"/>
    <s v="OP108"/>
    <n v="656"/>
    <n v="711"/>
    <n v="679"/>
    <n v="32"/>
    <n v="8"/>
    <n v="16"/>
    <s v="Preventive Maintenance"/>
    <n v="64"/>
    <n v="67"/>
    <n v="74"/>
    <n v="2.13"/>
    <n v="25.09"/>
    <n v="22918.51"/>
    <n v="10.61"/>
    <s v="Overdue"/>
    <n v="29"/>
    <n v="35665.4"/>
    <n v="0.95499296765119601"/>
    <n v="27918.82"/>
    <n v="257.87353023909998"/>
    <n v="699.73333333333301"/>
    <n v="0.97713414634146301"/>
    <n v="7488.7064697609003"/>
    <n v="1.0838414634146341"/>
    <n v="4.5007032348804502E-2"/>
    <n v="1.1251758087201125E-2"/>
    <n v="0.95499296765119546"/>
    <n v="0.26666666666666666"/>
    <n v="683.73333333333301"/>
    <n v="1.0398790951638071"/>
    <n v="0.9375"/>
    <n v="1.1092043681747275"/>
    <n v="0.95499296765119546"/>
    <n v="1.035060975609756"/>
    <n v="39.266976090014062"/>
    <n v="10.53263919797595"/>
    <s v="High"/>
    <s v="Normal"/>
  </r>
  <r>
    <n v="528"/>
    <d v="2026-01-17T00:00:00"/>
    <x v="2"/>
    <s v="Plant B"/>
    <x v="3"/>
    <x v="7"/>
    <x v="0"/>
    <x v="2"/>
    <s v="B260117-0528"/>
    <s v="OP132"/>
    <n v="498"/>
    <n v="502"/>
    <n v="473"/>
    <n v="29"/>
    <n v="9"/>
    <n v="26"/>
    <s v="Setup Time"/>
    <n v="64"/>
    <n v="66"/>
    <n v="76.099999999999994"/>
    <n v="1.5"/>
    <n v="20.59"/>
    <n v="15851.09"/>
    <n v="10.29"/>
    <s v="Scheduled"/>
    <n v="30"/>
    <n v="24894.41"/>
    <n v="0.94223107569721098"/>
    <n v="20666.900000000001"/>
    <n v="284.18288844621497"/>
    <n v="531.20000000000005"/>
    <n v="0.95105421686747005"/>
    <n v="3943.32711155378"/>
    <n v="1.0080321285140563"/>
    <n v="5.7768924302788842E-2"/>
    <n v="1.7928286852589643E-2"/>
    <n v="0.94223107569721121"/>
    <n v="0.43333333333333335"/>
    <n v="505.20000000000005"/>
    <n v="0.9936658749010292"/>
    <n v="0.9375"/>
    <n v="1.0599102665610978"/>
    <n v="0.94223107569721121"/>
    <n v="0.94979919678714875"/>
    <n v="41.169123505976096"/>
    <n v="7.855233289947769"/>
    <s v="Medium"/>
    <s v="Normal"/>
  </r>
  <r>
    <n v="529"/>
    <d v="2026-05-14T00:00:00"/>
    <x v="3"/>
    <s v="Plant B"/>
    <x v="2"/>
    <x v="9"/>
    <x v="0"/>
    <x v="3"/>
    <s v="B260514-0529"/>
    <s v="OP129"/>
    <n v="721"/>
    <n v="675"/>
    <n v="645"/>
    <n v="30"/>
    <n v="11"/>
    <n v="9"/>
    <s v="Material Shortage"/>
    <n v="49"/>
    <n v="50"/>
    <n v="72.2"/>
    <n v="1.61"/>
    <n v="21.98"/>
    <n v="14057.22"/>
    <n v="9.31"/>
    <s v="Completed"/>
    <n v="15"/>
    <n v="23905.86"/>
    <n v="0.95555555555555605"/>
    <n v="18444.54"/>
    <n v="229.08062222222199"/>
    <n v="588.81666666666695"/>
    <n v="0.98471510656967398"/>
    <n v="5232.2393777777797"/>
    <n v="0.93619972260748963"/>
    <n v="4.4444444444444446E-2"/>
    <n v="1.6296296296296295E-2"/>
    <n v="0.9555555555555556"/>
    <n v="0.15"/>
    <n v="579.81666666666695"/>
    <n v="1.1641610854005571"/>
    <n v="1.2244897959183674"/>
    <n v="0.95073155307712154"/>
    <n v="0.9555555555555556"/>
    <n v="0.89459084604715655"/>
    <n v="27.325244444444447"/>
    <n v="7.7514657448559703"/>
    <s v="Low"/>
    <s v="Normal"/>
  </r>
  <r>
    <n v="530"/>
    <d v="2026-05-31T00:00:00"/>
    <x v="3"/>
    <s v="Plant A"/>
    <x v="4"/>
    <x v="12"/>
    <x v="0"/>
    <x v="0"/>
    <s v="B260531-0530"/>
    <s v="OP120"/>
    <n v="917"/>
    <n v="757"/>
    <n v="621"/>
    <n v="136"/>
    <n v="48"/>
    <n v="67"/>
    <s v="Quality Inspection"/>
    <n v="42"/>
    <n v="45"/>
    <n v="83.1"/>
    <n v="4.95"/>
    <n v="24.8"/>
    <n v="13511.66"/>
    <n v="7.69"/>
    <s v="Completed"/>
    <n v="47"/>
    <n v="20375.259999999998"/>
    <n v="0.82034346103038303"/>
    <n v="17195.36"/>
    <n v="856.74990752972303"/>
    <n v="641.9"/>
    <n v="0.89562237108583898"/>
    <n v="2323.15009247028"/>
    <n v="0.82551799345692478"/>
    <n v="0.17965653896961692"/>
    <n v="6.3408190224570671E-2"/>
    <n v="0.82034346103038314"/>
    <n v="1.1166666666666667"/>
    <n v="574.9"/>
    <n v="1.3167507392590017"/>
    <n v="1.4285714285714286"/>
    <n v="0.92172551748130116"/>
    <n v="0.82034346103038314"/>
    <n v="0.67720828789531096"/>
    <n v="22.715138705416116"/>
    <n v="3.0688904788246765"/>
    <s v="High"/>
    <s v="Critical"/>
  </r>
  <r>
    <n v="531"/>
    <d v="2026-02-22T00:00:00"/>
    <x v="4"/>
    <s v="Plant A"/>
    <x v="4"/>
    <x v="14"/>
    <x v="2"/>
    <x v="1"/>
    <s v="B260222-0531"/>
    <s v="OP122"/>
    <n v="770"/>
    <n v="711"/>
    <n v="646"/>
    <n v="65"/>
    <n v="21"/>
    <n v="10"/>
    <s v="Operator Issue"/>
    <n v="45"/>
    <n v="45"/>
    <n v="74.900000000000006"/>
    <n v="1.67"/>
    <n v="28.49"/>
    <n v="14059.31"/>
    <n v="9.33"/>
    <s v="Pending"/>
    <n v="29"/>
    <n v="22301.53"/>
    <n v="0.90857946554149105"/>
    <n v="18514.22"/>
    <n v="415.25388185653998"/>
    <n v="577.5"/>
    <n v="0.98268398268398305"/>
    <n v="3372.05611814346"/>
    <n v="0.92337662337662341"/>
    <n v="9.1420534458509145E-2"/>
    <n v="2.9535864978902954E-2"/>
    <n v="0.90857946554149083"/>
    <n v="0.16666666666666666"/>
    <n v="567.5"/>
    <n v="1.2528634361233479"/>
    <n v="1.3333333333333333"/>
    <n v="0.93964757709251101"/>
    <n v="0.90857946554149083"/>
    <n v="0.83896103896103924"/>
    <n v="26.039690576652603"/>
    <n v="4.7426949622270884"/>
    <s v="Medium"/>
    <s v="Warning"/>
  </r>
  <r>
    <n v="532"/>
    <d v="2026-06-26T00:00:00"/>
    <x v="0"/>
    <s v="Plant A"/>
    <x v="1"/>
    <x v="2"/>
    <x v="0"/>
    <x v="1"/>
    <s v="B260626-0532"/>
    <s v="OP113"/>
    <n v="929"/>
    <n v="889"/>
    <n v="857"/>
    <n v="32"/>
    <n v="7"/>
    <n v="45"/>
    <s v="Machine Breakdown"/>
    <n v="45"/>
    <n v="48"/>
    <n v="77.3"/>
    <n v="2.5499999999999998"/>
    <n v="29.73"/>
    <n v="17276.46"/>
    <n v="8.59"/>
    <s v="Completed"/>
    <n v="2"/>
    <n v="30427.1"/>
    <n v="0.96400449943757005"/>
    <n v="21409.53"/>
    <n v="136.035118110236"/>
    <n v="696.75"/>
    <n v="0.93541442411194797"/>
    <n v="8881.5348818897601"/>
    <n v="0.95694294940796554"/>
    <n v="3.59955005624297E-2"/>
    <n v="7.874015748031496E-3"/>
    <n v="0.96400449943757027"/>
    <n v="0.75"/>
    <n v="651.75"/>
    <n v="1.3640199462984273"/>
    <n v="1.3333333333333333"/>
    <n v="1.0230149597238205"/>
    <n v="0.96400449943757027"/>
    <n v="0.92249730893433768"/>
    <n v="24.082710911136108"/>
    <n v="9.9904779323844313"/>
    <s v="Low"/>
    <s v="Normal"/>
  </r>
  <r>
    <n v="533"/>
    <d v="2026-06-24T00:00:00"/>
    <x v="0"/>
    <s v="Plant B"/>
    <x v="4"/>
    <x v="12"/>
    <x v="0"/>
    <x v="2"/>
    <s v="B260624-0533"/>
    <s v="OP117"/>
    <n v="477"/>
    <n v="508"/>
    <n v="433"/>
    <n v="75"/>
    <n v="27"/>
    <n v="47"/>
    <s v="Tool Change"/>
    <n v="64"/>
    <n v="68"/>
    <n v="87.9"/>
    <n v="3.22"/>
    <n v="21.65"/>
    <n v="15965.93"/>
    <n v="9.2100000000000009"/>
    <s v="Completed"/>
    <n v="15"/>
    <n v="22647.05"/>
    <n v="0.85236220472441004"/>
    <n v="20305.28"/>
    <n v="848.58289370078705"/>
    <n v="508.8"/>
    <n v="0.90762578616352196"/>
    <n v="1493.18710629921"/>
    <n v="1.0649895178197064"/>
    <n v="0.14763779527559054"/>
    <n v="5.3149606299212601E-2"/>
    <n v="0.85236220472440949"/>
    <n v="0.78333333333333333"/>
    <n v="461.8"/>
    <n v="1.1000433087916848"/>
    <n v="0.9375"/>
    <n v="1.1733795293777971"/>
    <n v="0.85236220472440949"/>
    <n v="0.90775681341719072"/>
    <n v="39.971023622047241"/>
    <n v="2.9393446974393895"/>
    <s v="High"/>
    <s v="Warning"/>
  </r>
  <r>
    <n v="534"/>
    <d v="2026-01-11T00:00:00"/>
    <x v="2"/>
    <s v="Plant A"/>
    <x v="3"/>
    <x v="11"/>
    <x v="0"/>
    <x v="4"/>
    <s v="B260111-0534"/>
    <s v="OP110"/>
    <n v="607"/>
    <n v="635"/>
    <n v="587"/>
    <n v="48"/>
    <n v="11"/>
    <n v="23"/>
    <s v="Setup Time"/>
    <n v="57"/>
    <n v="55"/>
    <n v="63.2"/>
    <n v="2.85"/>
    <n v="24.07"/>
    <n v="17925.98"/>
    <n v="7.62"/>
    <s v="Scheduled"/>
    <n v="25"/>
    <n v="27558.39"/>
    <n v="0.92440944881889797"/>
    <n v="21571.61"/>
    <n v="310.52878740157502"/>
    <n v="576.65"/>
    <n v="0.96011445417497598"/>
    <n v="5676.2512125984204"/>
    <n v="1.0461285008237233"/>
    <n v="7.5590551181102361E-2"/>
    <n v="1.7322834645669291E-2"/>
    <n v="0.92440944881889764"/>
    <n v="0.38333333333333336"/>
    <n v="553.65"/>
    <n v="1.1469339835636232"/>
    <n v="1.0526315789473684"/>
    <n v="1.0895872843854422"/>
    <n v="0.92440944881889764"/>
    <n v="0.96705107084019759"/>
    <n v="33.971039370078742"/>
    <n v="8.9389782875565675"/>
    <s v="Low"/>
    <s v="Normal"/>
  </r>
  <r>
    <n v="535"/>
    <d v="2026-06-04T00:00:00"/>
    <x v="0"/>
    <s v="Plant B"/>
    <x v="2"/>
    <x v="4"/>
    <x v="0"/>
    <x v="2"/>
    <s v="B260604-0535"/>
    <s v="OP104"/>
    <n v="478"/>
    <n v="500"/>
    <n v="466"/>
    <n v="34"/>
    <n v="9"/>
    <n v="33"/>
    <s v="Preventive Maintenance"/>
    <n v="64"/>
    <n v="63"/>
    <n v="70"/>
    <n v="2.2200000000000002"/>
    <n v="19.89"/>
    <n v="15999.77"/>
    <n v="7.94"/>
    <s v="Completed"/>
    <n v="11"/>
    <n v="24418.52"/>
    <n v="0.93200000000000005"/>
    <n v="19751.78"/>
    <n v="287.99585999999999"/>
    <n v="509.86666666666702"/>
    <n v="0.93527719665272002"/>
    <n v="4378.7441399999998"/>
    <n v="1.0460251046025104"/>
    <n v="6.8000000000000005E-2"/>
    <n v="1.7999999999999999E-2"/>
    <n v="0.93200000000000005"/>
    <n v="0.55000000000000004"/>
    <n v="476.86666666666702"/>
    <n v="1.0485111142178098"/>
    <n v="0.9375"/>
    <n v="1.1184118551656639"/>
    <n v="0.93200000000000005"/>
    <n v="0.97489539748953935"/>
    <n v="39.50356"/>
    <n v="8.7574882800000005"/>
    <s v="Low"/>
    <s v="Normal"/>
  </r>
  <r>
    <n v="536"/>
    <d v="2026-05-25T00:00:00"/>
    <x v="3"/>
    <s v="Plant A"/>
    <x v="0"/>
    <x v="0"/>
    <x v="2"/>
    <x v="4"/>
    <s v="B260525-0536"/>
    <s v="OP125"/>
    <n v="592"/>
    <n v="601"/>
    <n v="564"/>
    <n v="37"/>
    <n v="12"/>
    <n v="0"/>
    <s v="No Downtime"/>
    <n v="57"/>
    <n v="58"/>
    <n v="68.2"/>
    <n v="2.0699999999999998"/>
    <n v="20.57"/>
    <n v="16436.71"/>
    <n v="10.26"/>
    <s v="Completed"/>
    <n v="28"/>
    <n v="25612.22"/>
    <n v="0.938435940099834"/>
    <n v="21238.84"/>
    <n v="328.18722129783703"/>
    <n v="562.4"/>
    <n v="1"/>
    <n v="4045.19277870216"/>
    <n v="1.0152027027027026"/>
    <n v="6.156405990016639E-2"/>
    <n v="1.9966722129783693E-2"/>
    <n v="0.93843594009983367"/>
    <n v="0"/>
    <n v="562.4"/>
    <n v="1.0686344238975818"/>
    <n v="1.0526315789473684"/>
    <n v="1.0152027027027029"/>
    <n v="0.93843594009983367"/>
    <n v="0.95270270270270285"/>
    <n v="35.339168053244592"/>
    <n v="6.730770014479468"/>
    <s v="Low"/>
    <s v="Normal"/>
  </r>
  <r>
    <n v="537"/>
    <d v="2026-02-14T00:00:00"/>
    <x v="4"/>
    <s v="Plant B"/>
    <x v="4"/>
    <x v="14"/>
    <x v="0"/>
    <x v="0"/>
    <s v="B260214-0537"/>
    <s v="OP120"/>
    <n v="793"/>
    <n v="683"/>
    <n v="620"/>
    <n v="63"/>
    <n v="18"/>
    <n v="42"/>
    <s v="Operator Issue"/>
    <n v="42"/>
    <n v="46"/>
    <n v="77"/>
    <n v="2.25"/>
    <n v="26.21"/>
    <n v="12580.18"/>
    <n v="7.16"/>
    <s v="Scheduled"/>
    <n v="3"/>
    <n v="19403.259999999998"/>
    <n v="0.907759882869693"/>
    <n v="16038.07"/>
    <n v="331.54207906295801"/>
    <n v="555.1"/>
    <n v="0.92433795712484201"/>
    <n v="3033.64792093704"/>
    <n v="0.86128625472887765"/>
    <n v="9.224011713030747E-2"/>
    <n v="2.6354319180087848E-2"/>
    <n v="0.90775988286969256"/>
    <n v="0.7"/>
    <n v="513.1"/>
    <n v="1.3311245371272655"/>
    <n v="1.4285714285714286"/>
    <n v="0.93178717598908589"/>
    <n v="0.90775988286969256"/>
    <n v="0.7818411097099619"/>
    <n v="23.481800878477305"/>
    <n v="4.4416514215769256"/>
    <s v="High"/>
    <s v="Warning"/>
  </r>
  <r>
    <n v="538"/>
    <d v="2026-05-16T00:00:00"/>
    <x v="3"/>
    <s v="Plant A"/>
    <x v="3"/>
    <x v="8"/>
    <x v="1"/>
    <x v="4"/>
    <s v="B260516-0538"/>
    <s v="OP124"/>
    <n v="750"/>
    <n v="623"/>
    <n v="582"/>
    <n v="41"/>
    <n v="12"/>
    <n v="44"/>
    <s v="Material Shortage"/>
    <n v="57"/>
    <n v="57"/>
    <n v="67.599999999999994"/>
    <n v="2.41"/>
    <n v="27.99"/>
    <n v="17893.41"/>
    <n v="7.11"/>
    <s v="Completed"/>
    <n v="35"/>
    <n v="26511.27"/>
    <n v="0.93418940609951895"/>
    <n v="21344.82"/>
    <n v="344.65637239165301"/>
    <n v="712.5"/>
    <n v="0.93824561403508799"/>
    <n v="4821.7936276083501"/>
    <n v="0.83066666666666666"/>
    <n v="6.5810593900481537E-2"/>
    <n v="1.9261637239165328E-2"/>
    <n v="0.9341894060995185"/>
    <n v="0.73333333333333328"/>
    <n v="668.5"/>
    <n v="0.93193717277486909"/>
    <n v="1.0526315789473684"/>
    <n v="0.88534031413612568"/>
    <n v="0.9341894060995185"/>
    <n v="0.77600000000000025"/>
    <n v="34.261348314606742"/>
    <n v="7.739636641425923"/>
    <s v="High"/>
    <s v="Warning"/>
  </r>
  <r>
    <n v="539"/>
    <d v="2026-02-10T00:00:00"/>
    <x v="4"/>
    <s v="Plant B"/>
    <x v="2"/>
    <x v="10"/>
    <x v="0"/>
    <x v="3"/>
    <s v="B260210-0539"/>
    <s v="OP114"/>
    <n v="817"/>
    <n v="697"/>
    <n v="635"/>
    <n v="62"/>
    <n v="22"/>
    <n v="73"/>
    <s v="Quality Inspection"/>
    <n v="49"/>
    <n v="53"/>
    <n v="67.900000000000006"/>
    <n v="2.37"/>
    <n v="30.4"/>
    <n v="15537.07"/>
    <n v="8.2899999999999991"/>
    <s v="Scheduled"/>
    <n v="40"/>
    <n v="24315.439999999999"/>
    <n v="0.91104734576757496"/>
    <n v="19541.169999999998"/>
    <n v="490.409670014347"/>
    <n v="667.21666666666704"/>
    <n v="0.89059026303299804"/>
    <n v="4283.8603299856504"/>
    <n v="0.85312117503059981"/>
    <n v="8.8952654232424683E-2"/>
    <n v="3.1563845050215207E-2"/>
    <n v="0.91104734576757529"/>
    <n v="1.2166666666666666"/>
    <n v="594.21666666666704"/>
    <n v="1.1729728213614554"/>
    <n v="1.2244897959183674"/>
    <n v="0.95792780411185519"/>
    <n v="0.91104734576757529"/>
    <n v="0.77723378212974259"/>
    <n v="28.036111908177904"/>
    <n v="6.1461410760195845"/>
    <s v="High"/>
    <s v="Warning"/>
  </r>
  <r>
    <n v="540"/>
    <d v="2026-01-10T00:00:00"/>
    <x v="2"/>
    <s v="Plant A"/>
    <x v="0"/>
    <x v="3"/>
    <x v="0"/>
    <x v="2"/>
    <s v="B260110-0540"/>
    <s v="OP104"/>
    <n v="534"/>
    <n v="636"/>
    <n v="610"/>
    <n v="26"/>
    <n v="10"/>
    <n v="7"/>
    <s v="Machine Breakdown"/>
    <n v="64"/>
    <n v="63"/>
    <n v="74.2"/>
    <n v="2.88"/>
    <n v="23.11"/>
    <n v="19657.060000000001"/>
    <n v="11.34"/>
    <s v="Completed"/>
    <n v="32"/>
    <n v="30961.57"/>
    <n v="0.95911949685534603"/>
    <n v="24968.05"/>
    <n v="309.07327044025197"/>
    <n v="569.6"/>
    <n v="0.98771067415730296"/>
    <n v="5684.4467295597497"/>
    <n v="1.1910112359550562"/>
    <n v="4.0880503144654086E-2"/>
    <n v="1.5723270440251572E-2"/>
    <n v="0.95911949685534592"/>
    <n v="0.11666666666666667"/>
    <n v="562.6"/>
    <n v="1.1304656949875578"/>
    <n v="0.9375"/>
    <n v="1.205830074653395"/>
    <n v="0.95911949685534592"/>
    <n v="1.1423220973782768"/>
    <n v="39.257940251572329"/>
    <n v="8.9378093232071532"/>
    <s v="Medium"/>
    <s v="Normal"/>
  </r>
  <r>
    <n v="541"/>
    <d v="2026-05-24T00:00:00"/>
    <x v="3"/>
    <s v="Plant A"/>
    <x v="3"/>
    <x v="8"/>
    <x v="0"/>
    <x v="4"/>
    <s v="B260524-0541"/>
    <s v="OP127"/>
    <n v="560"/>
    <n v="577"/>
    <n v="534"/>
    <n v="43"/>
    <n v="9"/>
    <n v="0"/>
    <s v="No Downtime"/>
    <n v="57"/>
    <n v="57"/>
    <n v="68.900000000000006"/>
    <n v="2.91"/>
    <n v="16.45"/>
    <n v="15815.73"/>
    <n v="9.0399999999999991"/>
    <s v="Scheduled"/>
    <n v="11"/>
    <n v="24691.01"/>
    <n v="0.92547660311958402"/>
    <n v="20031.78"/>
    <n v="246.692495667244"/>
    <n v="532"/>
    <n v="1"/>
    <n v="4412.5375043327604"/>
    <n v="1.0303571428571427"/>
    <n v="7.452339688041594E-2"/>
    <n v="1.5597920277296361E-2"/>
    <n v="0.92547660311958402"/>
    <n v="0"/>
    <n v="532"/>
    <n v="1.0845864661654134"/>
    <n v="1.0526315789473684"/>
    <n v="1.0303571428571427"/>
    <n v="0.92547660311958402"/>
    <n v="0.9535714285714284"/>
    <n v="34.717123050259964"/>
    <n v="7.6473786903514043"/>
    <s v="Low"/>
    <s v="Normal"/>
  </r>
  <r>
    <n v="542"/>
    <d v="2026-04-03T00:00:00"/>
    <x v="5"/>
    <s v="Plant B"/>
    <x v="2"/>
    <x v="9"/>
    <x v="0"/>
    <x v="2"/>
    <s v="B260403-0542"/>
    <s v="OP132"/>
    <n v="692"/>
    <n v="722"/>
    <n v="682"/>
    <n v="40"/>
    <n v="16"/>
    <n v="21"/>
    <s v="Machine Breakdown"/>
    <n v="64"/>
    <n v="65"/>
    <n v="75.099999999999994"/>
    <n v="2.62"/>
    <n v="22.78"/>
    <n v="23618.6"/>
    <n v="8.19"/>
    <s v="Overdue"/>
    <n v="42"/>
    <n v="35022.15"/>
    <n v="0.94459833795013903"/>
    <n v="27509.119999999999"/>
    <n v="523.40387811634298"/>
    <n v="738.13333333333298"/>
    <n v="0.971549855491329"/>
    <n v="6989.6261218836598"/>
    <n v="1.0433526011560694"/>
    <n v="5.5401662049861494E-2"/>
    <n v="2.2160664819944598E-2"/>
    <n v="0.94459833795013848"/>
    <n v="0.35"/>
    <n v="717.13333333333298"/>
    <n v="1.0067862787022408"/>
    <n v="0.9375"/>
    <n v="1.0739053639490568"/>
    <n v="0.94459833795013848"/>
    <n v="0.98554913294797675"/>
    <n v="38.101274238227148"/>
    <n v="9.6809226064870639"/>
    <s v="High"/>
    <s v="Normal"/>
  </r>
  <r>
    <n v="543"/>
    <d v="2026-01-22T00:00:00"/>
    <x v="2"/>
    <s v="Plant B"/>
    <x v="2"/>
    <x v="10"/>
    <x v="0"/>
    <x v="2"/>
    <s v="B260122-0543"/>
    <s v="OP127"/>
    <n v="493"/>
    <n v="448"/>
    <n v="404"/>
    <n v="44"/>
    <n v="18"/>
    <n v="44"/>
    <s v="Setup Time"/>
    <n v="64"/>
    <n v="64"/>
    <n v="74.7"/>
    <n v="1.73"/>
    <n v="16.53"/>
    <n v="14713.11"/>
    <n v="8.51"/>
    <s v="Pending"/>
    <n v="23"/>
    <n v="20797.400000000001"/>
    <n v="0.90178571428571397"/>
    <n v="18691.38"/>
    <n v="591.151741071429"/>
    <n v="525.86666666666702"/>
    <n v="0.91632860040567998"/>
    <n v="1514.86825892857"/>
    <n v="0.90872210953346855"/>
    <n v="9.8214285714285712E-2"/>
    <n v="4.0178571428571432E-2"/>
    <n v="0.9017857142857143"/>
    <n v="0.73333333333333328"/>
    <n v="481.86666666666702"/>
    <n v="0.92971776425013763"/>
    <n v="0.9375"/>
    <n v="0.99169894853348017"/>
    <n v="0.9017857142857143"/>
    <n v="0.81947261663285986"/>
    <n v="41.721830357142856"/>
    <n v="3.3814023636798436"/>
    <s v="Medium"/>
    <s v="Warning"/>
  </r>
  <r>
    <n v="544"/>
    <d v="2026-01-09T00:00:00"/>
    <x v="2"/>
    <s v="Plant A"/>
    <x v="2"/>
    <x v="4"/>
    <x v="1"/>
    <x v="0"/>
    <s v="B260109-0544"/>
    <s v="OP125"/>
    <n v="822"/>
    <n v="837"/>
    <n v="777"/>
    <n v="60"/>
    <n v="22"/>
    <n v="19"/>
    <s v="Preventive Maintenance"/>
    <n v="42"/>
    <n v="44"/>
    <n v="67.400000000000006"/>
    <n v="2.79"/>
    <n v="28.79"/>
    <n v="16307.48"/>
    <n v="9.75"/>
    <s v="Scheduled"/>
    <n v="8"/>
    <n v="24847.34"/>
    <n v="0.92831541218638003"/>
    <n v="20954.09"/>
    <n v="428.63149342891302"/>
    <n v="575.4"/>
    <n v="0.96697949252693804"/>
    <n v="3464.6185065710902"/>
    <n v="1.0182481751824817"/>
    <n v="7.1684587813620068E-2"/>
    <n v="2.6284348864994027E-2"/>
    <n v="0.92831541218637992"/>
    <n v="0.31666666666666665"/>
    <n v="556.4"/>
    <n v="1.5043134435657801"/>
    <n v="1.4285714285714286"/>
    <n v="1.053019410496046"/>
    <n v="0.92831541218637992"/>
    <n v="0.94525547445255487"/>
    <n v="25.034755077658303"/>
    <n v="4.1393291595831423"/>
    <s v="Low"/>
    <s v="Normal"/>
  </r>
  <r>
    <n v="545"/>
    <d v="2026-03-10T00:00:00"/>
    <x v="1"/>
    <s v="Plant A"/>
    <x v="1"/>
    <x v="6"/>
    <x v="0"/>
    <x v="1"/>
    <s v="B260310-0545"/>
    <s v="OP121"/>
    <n v="940"/>
    <n v="1039"/>
    <n v="991"/>
    <n v="48"/>
    <n v="10"/>
    <n v="23"/>
    <s v="Quality Inspection"/>
    <n v="45"/>
    <n v="45"/>
    <n v="73.599999999999994"/>
    <n v="1.77"/>
    <n v="40.340000000000003"/>
    <n v="20893.45"/>
    <n v="11.27"/>
    <s v="Completed"/>
    <n v="30"/>
    <n v="34857.22"/>
    <n v="0.95380173243503397"/>
    <n v="26328.01"/>
    <n v="201.09191530317599"/>
    <n v="705"/>
    <n v="0.96737588652482298"/>
    <n v="8328.11808469682"/>
    <n v="1.1053191489361702"/>
    <n v="4.6198267564966311E-2"/>
    <n v="9.6246390760346481E-3"/>
    <n v="0.95380173243503363"/>
    <n v="0.38333333333333336"/>
    <n v="682"/>
    <n v="1.5234604105571847"/>
    <n v="1.3333333333333333"/>
    <n v="1.1425953079178885"/>
    <n v="0.95380173243503363"/>
    <n v="1.0542553191489363"/>
    <n v="25.339759384023097"/>
    <n v="8.0155130747803849"/>
    <s v="Medium"/>
    <s v="Normal"/>
  </r>
  <r>
    <n v="546"/>
    <d v="2026-04-28T00:00:00"/>
    <x v="5"/>
    <s v="Plant B"/>
    <x v="0"/>
    <x v="0"/>
    <x v="0"/>
    <x v="1"/>
    <s v="B260428-0546"/>
    <s v="OP113"/>
    <n v="721"/>
    <n v="677"/>
    <n v="648"/>
    <n v="29"/>
    <n v="10"/>
    <n v="19"/>
    <s v="Power Failure"/>
    <n v="45"/>
    <n v="48"/>
    <n v="74"/>
    <n v="2.75"/>
    <n v="21.94"/>
    <n v="14225.3"/>
    <n v="8.3000000000000007"/>
    <s v="Scheduled"/>
    <n v="20"/>
    <n v="22638.1"/>
    <n v="0.95716395864106396"/>
    <n v="18157.759999999998"/>
    <n v="210.12259970457899"/>
    <n v="540.75"/>
    <n v="0.96486361534905196"/>
    <n v="4270.2174002954198"/>
    <n v="0.93897364771151182"/>
    <n v="4.2836041358936483E-2"/>
    <n v="1.4771048744460856E-2"/>
    <n v="0.95716395864106352"/>
    <n v="0.31666666666666665"/>
    <n v="521.75"/>
    <n v="1.2975563009103976"/>
    <n v="1.3333333333333333"/>
    <n v="0.97316722568279823"/>
    <n v="0.95716395864106352"/>
    <n v="0.89875173370318973"/>
    <n v="26.820915805022153"/>
    <n v="6.3075589369208567"/>
    <s v="Low"/>
    <s v="Normal"/>
  </r>
  <r>
    <n v="547"/>
    <d v="2026-06-23T00:00:00"/>
    <x v="0"/>
    <s v="Plant A"/>
    <x v="1"/>
    <x v="5"/>
    <x v="1"/>
    <x v="0"/>
    <s v="B260623-0547"/>
    <s v="OP113"/>
    <n v="854"/>
    <n v="834"/>
    <n v="811"/>
    <n v="23"/>
    <n v="8"/>
    <n v="8"/>
    <s v="Quality Inspection"/>
    <n v="42"/>
    <n v="44"/>
    <n v="73.5"/>
    <n v="1.43"/>
    <n v="30.25"/>
    <n v="15441.32"/>
    <n v="7.95"/>
    <s v="Completed"/>
    <n v="1"/>
    <n v="26457.24"/>
    <n v="0.97242206235011996"/>
    <n v="19291.07"/>
    <n v="148.11817745803401"/>
    <n v="597.79999999999995"/>
    <n v="0.98661759785881598"/>
    <n v="7018.0518225419701"/>
    <n v="0.97658079625292737"/>
    <n v="2.7577937649880094E-2"/>
    <n v="9.5923261390887284E-3"/>
    <n v="0.97242206235011985"/>
    <n v="0.13333333333333333"/>
    <n v="589.79999999999995"/>
    <n v="1.4140386571719228"/>
    <n v="1.4285714285714286"/>
    <n v="0.98982706002034593"/>
    <n v="0.97242206235011985"/>
    <n v="0.94964871194379419"/>
    <n v="23.130779376498801"/>
    <n v="8.4149302428560784"/>
    <s v="Low"/>
    <s v="Normal"/>
  </r>
  <r>
    <n v="548"/>
    <d v="2026-03-03T00:00:00"/>
    <x v="1"/>
    <s v="Plant A"/>
    <x v="4"/>
    <x v="13"/>
    <x v="1"/>
    <x v="0"/>
    <s v="B260303-0548"/>
    <s v="OP105"/>
    <n v="972"/>
    <n v="781"/>
    <n v="730"/>
    <n v="51"/>
    <n v="16"/>
    <n v="38"/>
    <s v="Operator Issue"/>
    <n v="42"/>
    <n v="41"/>
    <n v="74.8"/>
    <n v="2.2599999999999998"/>
    <n v="33.049999999999997"/>
    <n v="14762.46"/>
    <n v="7.58"/>
    <s v="Completed"/>
    <n v="57"/>
    <n v="23027.03"/>
    <n v="0.93469910371318798"/>
    <n v="18470.91"/>
    <n v="302.43195902688899"/>
    <n v="680.4"/>
    <n v="0.94415049970605502"/>
    <n v="4253.6880409731102"/>
    <n v="0.80349794238683125"/>
    <n v="6.530089628681178E-2"/>
    <n v="2.0486555697823303E-2"/>
    <n v="0.93469910371318821"/>
    <n v="0.6333333333333333"/>
    <n v="642.4"/>
    <n v="1.2157534246575343"/>
    <n v="1.4285714285714286"/>
    <n v="0.85102739726027399"/>
    <n v="0.93469910371318821"/>
    <n v="0.751028806584362"/>
    <n v="23.650332906530089"/>
    <n v="5.4464635607850322"/>
    <s v="High"/>
    <s v="Warning"/>
  </r>
  <r>
    <n v="549"/>
    <d v="2026-03-23T00:00:00"/>
    <x v="1"/>
    <s v="Plant B"/>
    <x v="4"/>
    <x v="12"/>
    <x v="2"/>
    <x v="3"/>
    <s v="B260323-0549"/>
    <s v="OP120"/>
    <n v="870"/>
    <n v="676"/>
    <n v="562"/>
    <n v="114"/>
    <n v="31"/>
    <n v="44"/>
    <s v="Quality Inspection"/>
    <n v="49"/>
    <n v="53"/>
    <n v="78.3"/>
    <n v="4.12"/>
    <n v="30.35"/>
    <n v="15386.45"/>
    <n v="6.57"/>
    <s v="Overdue"/>
    <n v="54"/>
    <n v="20906.73"/>
    <n v="0.83136094674556205"/>
    <n v="18616.099999999999"/>
    <n v="705.59164201183398"/>
    <n v="710.5"/>
    <n v="0.93807178043631301"/>
    <n v="1585.03835798816"/>
    <n v="0.77701149425287352"/>
    <n v="0.16863905325443787"/>
    <n v="4.5857988165680472E-2"/>
    <n v="0.83136094674556216"/>
    <n v="0.73333333333333328"/>
    <n v="666.5"/>
    <n v="1.0142535633908476"/>
    <n v="1.2244897959183674"/>
    <n v="0.82830707676919224"/>
    <n v="0.83136094674556216"/>
    <n v="0.64597701149425324"/>
    <n v="27.538609467455618"/>
    <n v="2.3447312987990534"/>
    <s v="High"/>
    <s v="Critical"/>
  </r>
  <r>
    <n v="550"/>
    <d v="2026-04-04T00:00:00"/>
    <x v="5"/>
    <s v="Plant A"/>
    <x v="1"/>
    <x v="6"/>
    <x v="2"/>
    <x v="0"/>
    <s v="B260404-0550"/>
    <s v="OP112"/>
    <n v="831"/>
    <n v="727"/>
    <n v="675"/>
    <n v="52"/>
    <n v="16"/>
    <n v="14"/>
    <s v="Material Shortage"/>
    <n v="42"/>
    <n v="42"/>
    <n v="68.7"/>
    <n v="2.31"/>
    <n v="23.27"/>
    <n v="13810.59"/>
    <n v="7.55"/>
    <s v="Pending"/>
    <n v="1"/>
    <n v="21159.13"/>
    <n v="0.92847317744154101"/>
    <n v="17417.52"/>
    <n v="303.946960110041"/>
    <n v="581.70000000000005"/>
    <n v="0.97593261131167297"/>
    <n v="3437.6630398899601"/>
    <n v="0.87484957882069792"/>
    <n v="7.1526822558459421E-2"/>
    <n v="2.2008253094910592E-2"/>
    <n v="0.92847317744154056"/>
    <n v="0.23333333333333334"/>
    <n v="567.70000000000005"/>
    <n v="1.2806059538488637"/>
    <n v="1.4285714285714286"/>
    <n v="0.89642416769420452"/>
    <n v="0.92847317744154056"/>
    <n v="0.81227436823104704"/>
    <n v="23.958074277854195"/>
    <n v="4.7285598898073733"/>
    <s v="Medium"/>
    <s v="Warning"/>
  </r>
  <r>
    <n v="551"/>
    <d v="2026-06-20T00:00:00"/>
    <x v="0"/>
    <s v="Plant A"/>
    <x v="4"/>
    <x v="14"/>
    <x v="0"/>
    <x v="3"/>
    <s v="B260620-0551"/>
    <s v="OP131"/>
    <n v="768"/>
    <n v="710"/>
    <n v="648"/>
    <n v="62"/>
    <n v="20"/>
    <n v="22"/>
    <s v="Machine Breakdown"/>
    <n v="49"/>
    <n v="50"/>
    <n v="70.099999999999994"/>
    <n v="1.92"/>
    <n v="26.65"/>
    <n v="15322.15"/>
    <n v="7.8"/>
    <s v="Scheduled"/>
    <n v="10"/>
    <n v="24074.59"/>
    <n v="0.91267605633802795"/>
    <n v="19072"/>
    <n v="431.60985915493001"/>
    <n v="627.20000000000005"/>
    <n v="0.96492346938775497"/>
    <n v="4570.9801408450703"/>
    <n v="0.92447916666666663"/>
    <n v="8.7323943661971826E-2"/>
    <n v="2.8169014084507043E-2"/>
    <n v="0.91267605633802817"/>
    <n v="0.36666666666666664"/>
    <n v="605.20000000000005"/>
    <n v="1.1731658955717117"/>
    <n v="1.2244897959183674"/>
    <n v="0.95808548138356453"/>
    <n v="0.91267605633802817"/>
    <n v="0.84374999999999978"/>
    <n v="26.861971830985915"/>
    <n v="6.4380001983733388"/>
    <s v="Medium"/>
    <s v="Warning"/>
  </r>
  <r>
    <n v="552"/>
    <d v="2026-05-25T00:00:00"/>
    <x v="3"/>
    <s v="Plant B"/>
    <x v="0"/>
    <x v="3"/>
    <x v="1"/>
    <x v="3"/>
    <s v="B260525-0552"/>
    <s v="OP114"/>
    <n v="787"/>
    <n v="713"/>
    <n v="691"/>
    <n v="22"/>
    <n v="8"/>
    <n v="50"/>
    <s v="Preventive Maintenance"/>
    <n v="49"/>
    <n v="53"/>
    <n v="68"/>
    <n v="2.09"/>
    <n v="29.99"/>
    <n v="16562.169999999998"/>
    <n v="8.86"/>
    <s v="Scheduled"/>
    <n v="32"/>
    <n v="26906.12"/>
    <n v="0.96914446002804999"/>
    <n v="20819.080000000002"/>
    <n v="185.83079943899"/>
    <n v="642.71666666666704"/>
    <n v="0.92220522262272098"/>
    <n v="5901.2092005610102"/>
    <n v="0.90597204574332912"/>
    <n v="3.0855539971949508E-2"/>
    <n v="1.1220196353436185E-2"/>
    <n v="0.96914446002805044"/>
    <n v="0.83333333333333337"/>
    <n v="592.71666666666704"/>
    <n v="1.2029356353513476"/>
    <n v="1.2244897959183674"/>
    <n v="0.98239743553693382"/>
    <n v="0.96914446002805044"/>
    <n v="0.878017789072426"/>
    <n v="29.199270687237028"/>
    <n v="8.2765907441248387"/>
    <s v="Medium"/>
    <s v="Normal"/>
  </r>
  <r>
    <n v="553"/>
    <d v="2026-06-01T00:00:00"/>
    <x v="0"/>
    <s v="Plant A"/>
    <x v="3"/>
    <x v="7"/>
    <x v="1"/>
    <x v="2"/>
    <s v="B260601-0553"/>
    <s v="OP121"/>
    <n v="580"/>
    <n v="507"/>
    <n v="485"/>
    <n v="22"/>
    <n v="6"/>
    <n v="26"/>
    <s v="Material Shortage"/>
    <n v="64"/>
    <n v="66"/>
    <n v="74.5"/>
    <n v="2.74"/>
    <n v="17.18"/>
    <n v="16116.67"/>
    <n v="7.34"/>
    <s v="Scheduled"/>
    <n v="18"/>
    <n v="25180.27"/>
    <n v="0.95660749506903398"/>
    <n v="19574.29"/>
    <n v="190.72982248520699"/>
    <n v="618.66666666666697"/>
    <n v="0.95797413793103503"/>
    <n v="5415.2501775148003"/>
    <n v="0.87413793103448278"/>
    <n v="4.3392504930966469E-2"/>
    <n v="1.1834319526627219E-2"/>
    <n v="0.95660749506903353"/>
    <n v="0.43333333333333335"/>
    <n v="592.66666666666697"/>
    <n v="0.85545556805399281"/>
    <n v="0.9375"/>
    <n v="0.91248593925759236"/>
    <n v="0.95660749506903353"/>
    <n v="0.8362068965517242"/>
    <n v="38.608067061143984"/>
    <n v="10.680966819555819"/>
    <s v="Medium"/>
    <s v="Warning"/>
  </r>
  <r>
    <n v="554"/>
    <d v="2026-02-27T00:00:00"/>
    <x v="4"/>
    <s v="Plant A"/>
    <x v="4"/>
    <x v="13"/>
    <x v="2"/>
    <x v="4"/>
    <s v="B260227-0554"/>
    <s v="OP110"/>
    <n v="720"/>
    <n v="667"/>
    <n v="623"/>
    <n v="44"/>
    <n v="18"/>
    <n v="0"/>
    <s v="No Downtime"/>
    <n v="57"/>
    <n v="61"/>
    <n v="62.9"/>
    <n v="1.88"/>
    <n v="23.86"/>
    <n v="18856.28"/>
    <n v="8.92"/>
    <s v="Completed"/>
    <n v="17"/>
    <n v="29171.86"/>
    <n v="0.93403298350824604"/>
    <n v="23085.02"/>
    <n v="508.86512743628202"/>
    <n v="684"/>
    <n v="1"/>
    <n v="5577.9748725637201"/>
    <n v="0.92638888888888893"/>
    <n v="6.5967016491754127E-2"/>
    <n v="2.6986506746626688E-2"/>
    <n v="0.93403298350824593"/>
    <n v="0"/>
    <n v="684"/>
    <n v="0.97514619883040932"/>
    <n v="1.0526315789473684"/>
    <n v="0.92638888888888893"/>
    <n v="0.93403298350824593"/>
    <n v="0.86527777777777781"/>
    <n v="34.610224887556221"/>
    <n v="8.3627809183863864"/>
    <s v="Low"/>
    <s v="Normal"/>
  </r>
  <r>
    <n v="555"/>
    <d v="2026-03-14T00:00:00"/>
    <x v="1"/>
    <s v="Plant A"/>
    <x v="1"/>
    <x v="2"/>
    <x v="1"/>
    <x v="2"/>
    <s v="B260314-0555"/>
    <s v="OP120"/>
    <n v="516"/>
    <n v="453"/>
    <n v="430"/>
    <n v="23"/>
    <n v="5"/>
    <n v="24"/>
    <s v="Preventive Maintenance"/>
    <n v="64"/>
    <n v="65"/>
    <n v="78.400000000000006"/>
    <n v="2.54"/>
    <n v="16.440000000000001"/>
    <n v="14779.25"/>
    <n v="7.64"/>
    <s v="Completed"/>
    <n v="23"/>
    <n v="22502.94"/>
    <n v="0.94922737306843297"/>
    <n v="18365.21"/>
    <n v="163.12637969094899"/>
    <n v="550.4"/>
    <n v="0.956395348837209"/>
    <n v="3974.6036203090498"/>
    <n v="0.87790697674418605"/>
    <n v="5.0772626931567331E-2"/>
    <n v="1.1037527593818985E-2"/>
    <n v="0.94922737306843263"/>
    <n v="0.4"/>
    <n v="526.4"/>
    <n v="0.86056231003039518"/>
    <n v="0.9375"/>
    <n v="0.91793313069908822"/>
    <n v="0.94922737306843263"/>
    <n v="0.83333333333333315"/>
    <n v="40.541302428256067"/>
    <n v="8.7739594267307943"/>
    <s v="Medium"/>
    <s v="Warning"/>
  </r>
  <r>
    <n v="556"/>
    <d v="2026-03-14T00:00:00"/>
    <x v="1"/>
    <s v="Plant A"/>
    <x v="2"/>
    <x v="4"/>
    <x v="0"/>
    <x v="0"/>
    <s v="B260314-0556"/>
    <s v="OP104"/>
    <n v="887"/>
    <n v="910"/>
    <n v="853"/>
    <n v="57"/>
    <n v="15"/>
    <n v="13"/>
    <s v="Quality Inspection"/>
    <n v="42"/>
    <n v="44"/>
    <n v="67"/>
    <n v="1.62"/>
    <n v="35.840000000000003"/>
    <n v="16396.43"/>
    <n v="9.3000000000000007"/>
    <s v="Scheduled"/>
    <n v="23"/>
    <n v="27923.69"/>
    <n v="0.93736263736263703"/>
    <n v="20903.990000000002"/>
    <n v="270.27082417582398"/>
    <n v="620.9"/>
    <n v="0.97906265099049805"/>
    <n v="6749.4291758241698"/>
    <n v="1.0259301014656144"/>
    <n v="6.2637362637362637E-2"/>
    <n v="1.6483516483516484E-2"/>
    <n v="0.93736263736263736"/>
    <n v="0.21666666666666667"/>
    <n v="607.9"/>
    <n v="1.4969567363053133"/>
    <n v="1.4285714285714286"/>
    <n v="1.0478697154137193"/>
    <n v="0.93736263736263736"/>
    <n v="0.96166854565952686"/>
    <n v="22.971417582417583"/>
    <n v="7.4169551382683183"/>
    <s v="Low"/>
    <s v="Normal"/>
  </r>
  <r>
    <n v="557"/>
    <d v="2026-01-15T00:00:00"/>
    <x v="2"/>
    <s v="Plant A"/>
    <x v="1"/>
    <x v="5"/>
    <x v="2"/>
    <x v="0"/>
    <s v="B260115-0557"/>
    <s v="OP107"/>
    <n v="803"/>
    <n v="713"/>
    <n v="682"/>
    <n v="31"/>
    <n v="10"/>
    <n v="46"/>
    <s v="Setup Time"/>
    <n v="42"/>
    <n v="44"/>
    <n v="76.3"/>
    <n v="1.47"/>
    <n v="25.53"/>
    <n v="13701.52"/>
    <n v="8.7799999999999994"/>
    <s v="Scheduled"/>
    <n v="25"/>
    <n v="21320.19"/>
    <n v="0.95652173913043503"/>
    <n v="17882.29"/>
    <n v="192.167180925666"/>
    <n v="562.1"/>
    <n v="0.91816402775306905"/>
    <n v="3245.7328190743301"/>
    <n v="0.88792029887920298"/>
    <n v="4.3478260869565216E-2"/>
    <n v="1.4025245441795231E-2"/>
    <n v="0.95652173913043481"/>
    <n v="0.76666666666666672"/>
    <n v="516.1"/>
    <n v="1.3815152102305754"/>
    <n v="1.4285714285714286"/>
    <n v="0.96706064716140283"/>
    <n v="0.95652173913043481"/>
    <n v="0.84931506849315097"/>
    <n v="25.080350631136046"/>
    <n v="4.5522199426007433"/>
    <s v="Medium"/>
    <s v="Warning"/>
  </r>
  <r>
    <n v="558"/>
    <d v="2026-03-08T00:00:00"/>
    <x v="1"/>
    <s v="Plant A"/>
    <x v="3"/>
    <x v="8"/>
    <x v="1"/>
    <x v="4"/>
    <s v="B260308-0558"/>
    <s v="OP104"/>
    <n v="684"/>
    <n v="675"/>
    <n v="631"/>
    <n v="44"/>
    <n v="11"/>
    <n v="23"/>
    <s v="Machine Breakdown"/>
    <n v="57"/>
    <n v="57"/>
    <n v="77.8"/>
    <n v="2.83"/>
    <n v="26.96"/>
    <n v="17491.64"/>
    <n v="9.6"/>
    <s v="Scheduled"/>
    <n v="24"/>
    <n v="29321.439999999999"/>
    <n v="0.93481481481481499"/>
    <n v="22054.28"/>
    <n v="285.04894814814799"/>
    <n v="649.79999999999995"/>
    <n v="0.96460449369036605"/>
    <n v="6982.1110518518499"/>
    <n v="0.98684210526315785"/>
    <n v="6.5185185185185179E-2"/>
    <n v="1.6296296296296295E-2"/>
    <n v="0.93481481481481477"/>
    <n v="0.38333333333333336"/>
    <n v="626.79999999999995"/>
    <n v="1.0768985322271858"/>
    <n v="1.0526315789473684"/>
    <n v="1.0230536056158266"/>
    <n v="0.93481481481481477"/>
    <n v="0.92251461988304084"/>
    <n v="32.673007407407404"/>
    <n v="10.343868224965703"/>
    <s v="Low"/>
    <s v="Normal"/>
  </r>
  <r>
    <n v="559"/>
    <d v="2026-06-28T00:00:00"/>
    <x v="0"/>
    <s v="Plant B"/>
    <x v="2"/>
    <x v="4"/>
    <x v="0"/>
    <x v="4"/>
    <s v="B260628-0559"/>
    <s v="OP114"/>
    <n v="578"/>
    <n v="580"/>
    <n v="538"/>
    <n v="42"/>
    <n v="15"/>
    <n v="32"/>
    <s v="Tool Change"/>
    <n v="57"/>
    <n v="58"/>
    <n v="70.2"/>
    <n v="2.2200000000000002"/>
    <n v="20.190000000000001"/>
    <n v="15970.82"/>
    <n v="7.75"/>
    <s v="Scheduled"/>
    <n v="42"/>
    <n v="24907.8"/>
    <n v="0.92758620689655202"/>
    <n v="19640.03"/>
    <n v="413.03844827586198"/>
    <n v="549.1"/>
    <n v="0.94172281915862299"/>
    <n v="4854.7315517241404"/>
    <n v="1.0034602076124568"/>
    <n v="7.2413793103448282E-2"/>
    <n v="2.5862068965517241E-2"/>
    <n v="0.92758620689655169"/>
    <n v="0.53333333333333333"/>
    <n v="517.1"/>
    <n v="1.1216399149100753"/>
    <n v="1.0526315789473684"/>
    <n v="1.0655579191645717"/>
    <n v="0.92758620689655169"/>
    <n v="0.93079584775086488"/>
    <n v="33.862120689655171"/>
    <n v="8.3702268133174833"/>
    <s v="Medium"/>
    <s v="Normal"/>
  </r>
  <r>
    <n v="560"/>
    <d v="2026-03-27T00:00:00"/>
    <x v="1"/>
    <s v="Plant A"/>
    <x v="4"/>
    <x v="13"/>
    <x v="0"/>
    <x v="1"/>
    <s v="B260327-0560"/>
    <s v="OP129"/>
    <n v="694"/>
    <n v="599"/>
    <n v="571"/>
    <n v="28"/>
    <n v="11"/>
    <n v="50"/>
    <s v="Operator Issue"/>
    <n v="45"/>
    <n v="44"/>
    <n v="75.8"/>
    <n v="2.36"/>
    <n v="21.64"/>
    <n v="12626.82"/>
    <n v="7.06"/>
    <s v="Pending"/>
    <n v="38"/>
    <n v="19642.47"/>
    <n v="0.95325542570951605"/>
    <n v="15998.58"/>
    <n v="231.87816360600999"/>
    <n v="520.5"/>
    <n v="0.903938520653218"/>
    <n v="3412.0118363939901"/>
    <n v="0.86311239193083578"/>
    <n v="4.6744574290484141E-2"/>
    <n v="1.8363939899833055E-2"/>
    <n v="0.95325542570951582"/>
    <n v="0.83333333333333337"/>
    <n v="470.5"/>
    <n v="1.2731137088204039"/>
    <n v="1.3333333333333333"/>
    <n v="0.95483528161530296"/>
    <n v="0.95325542570951582"/>
    <n v="0.82276657060518732"/>
    <n v="26.708814691151918"/>
    <n v="5.696180027368932"/>
    <s v="Medium"/>
    <s v="Warning"/>
  </r>
  <r>
    <n v="561"/>
    <d v="2026-06-01T00:00:00"/>
    <x v="0"/>
    <s v="Plant B"/>
    <x v="4"/>
    <x v="13"/>
    <x v="0"/>
    <x v="4"/>
    <s v="B260601-0561"/>
    <s v="OP117"/>
    <n v="575"/>
    <n v="482"/>
    <n v="457"/>
    <n v="25"/>
    <n v="9"/>
    <n v="32"/>
    <s v="Machine Breakdown"/>
    <n v="57"/>
    <n v="57"/>
    <n v="72"/>
    <n v="1.98"/>
    <n v="21"/>
    <n v="13408.88"/>
    <n v="8.23"/>
    <s v="Scheduled"/>
    <n v="20"/>
    <n v="21574.240000000002"/>
    <n v="0.94813278008298796"/>
    <n v="17301.38"/>
    <n v="250.373278008299"/>
    <n v="546.25"/>
    <n v="0.94141876430205995"/>
    <n v="4022.4867219917101"/>
    <n v="0.83826086956521739"/>
    <n v="5.1867219917012451E-2"/>
    <n v="1.8672199170124481E-2"/>
    <n v="0.94813278008298751"/>
    <n v="0.53333333333333333"/>
    <n v="514.25"/>
    <n v="0.93728731161886247"/>
    <n v="1.0526315789473684"/>
    <n v="0.89042294603791938"/>
    <n v="0.94813278008298751"/>
    <n v="0.79478260869565254"/>
    <n v="35.894979253112034"/>
    <n v="8.3454081369122619"/>
    <s v="High"/>
    <s v="Warning"/>
  </r>
  <r>
    <n v="562"/>
    <d v="2026-01-20T00:00:00"/>
    <x v="2"/>
    <s v="Plant A"/>
    <x v="0"/>
    <x v="3"/>
    <x v="1"/>
    <x v="2"/>
    <s v="B260120-0562"/>
    <s v="OP118"/>
    <n v="688"/>
    <n v="648"/>
    <n v="619"/>
    <n v="29"/>
    <n v="12"/>
    <n v="0"/>
    <s v="No Downtime"/>
    <n v="64"/>
    <n v="70"/>
    <n v="75.900000000000006"/>
    <n v="2.2799999999999998"/>
    <n v="24.39"/>
    <n v="19557.63"/>
    <n v="8.81"/>
    <s v="Completed"/>
    <n v="10"/>
    <n v="31289.94"/>
    <n v="0.95524691358024705"/>
    <n v="23741.64"/>
    <n v="362.178333333333"/>
    <n v="733.86666666666702"/>
    <n v="1"/>
    <n v="7186.1216666666696"/>
    <n v="0.94186046511627908"/>
    <n v="4.4753086419753084E-2"/>
    <n v="1.8518518518518517E-2"/>
    <n v="0.95524691358024694"/>
    <n v="0"/>
    <n v="733.86666666666702"/>
    <n v="0.88299418604651125"/>
    <n v="0.9375"/>
    <n v="0.94186046511627863"/>
    <n v="0.95524691358024694"/>
    <n v="0.899709302325581"/>
    <n v="36.638333333333335"/>
    <n v="11.089693930041157"/>
    <s v="Low"/>
    <s v="Normal"/>
  </r>
  <r>
    <n v="563"/>
    <d v="2026-01-31T00:00:00"/>
    <x v="2"/>
    <s v="Plant B"/>
    <x v="3"/>
    <x v="7"/>
    <x v="1"/>
    <x v="2"/>
    <s v="B260131-0563"/>
    <s v="OP114"/>
    <n v="480"/>
    <n v="521"/>
    <n v="496"/>
    <n v="25"/>
    <n v="10"/>
    <n v="0"/>
    <s v="No Downtime"/>
    <n v="64"/>
    <n v="62"/>
    <n v="69.599999999999994"/>
    <n v="2.2400000000000002"/>
    <n v="18.510000000000002"/>
    <n v="15705.36"/>
    <n v="10.33"/>
    <s v="Scheduled"/>
    <n v="23"/>
    <n v="26150.15"/>
    <n v="0.95201535508637203"/>
    <n v="20520.45"/>
    <n v="301.44644913627599"/>
    <n v="512"/>
    <n v="1"/>
    <n v="5328.2535508637302"/>
    <n v="1.0854166666666667"/>
    <n v="4.7984644913627639E-2"/>
    <n v="1.9193857965451054E-2"/>
    <n v="0.95201535508637236"/>
    <n v="0"/>
    <n v="512"/>
    <n v="1.017578125"/>
    <n v="0.9375"/>
    <n v="1.0854166666666667"/>
    <n v="0.95201535508637236"/>
    <n v="1.0333333333333334"/>
    <n v="39.38666026871401"/>
    <n v="10.226974185918868"/>
    <s v="Low"/>
    <s v="Normal"/>
  </r>
  <r>
    <n v="564"/>
    <d v="2026-02-09T00:00:00"/>
    <x v="4"/>
    <s v="Plant A"/>
    <x v="0"/>
    <x v="1"/>
    <x v="1"/>
    <x v="0"/>
    <s v="B260209-0564"/>
    <s v="OP132"/>
    <n v="941"/>
    <n v="1030"/>
    <n v="969"/>
    <n v="61"/>
    <n v="15"/>
    <n v="0"/>
    <s v="No Downtime"/>
    <n v="42"/>
    <n v="44"/>
    <n v="73.7"/>
    <n v="2.12"/>
    <n v="32.61"/>
    <n v="19745.419999999998"/>
    <n v="7.97"/>
    <s v="Completed"/>
    <n v="24"/>
    <n v="31700.080000000002"/>
    <n v="0.94077669902912597"/>
    <n v="23625.41"/>
    <n v="287.55466019417503"/>
    <n v="658.7"/>
    <n v="1"/>
    <n v="7787.1153398058304"/>
    <n v="1.0945802337938364"/>
    <n v="5.9223300970873784E-2"/>
    <n v="1.4563106796116505E-2"/>
    <n v="0.9407766990291262"/>
    <n v="0"/>
    <n v="658.7"/>
    <n v="1.563686048276909"/>
    <n v="1.4285714285714286"/>
    <n v="1.0945802337938364"/>
    <n v="0.9407766990291262"/>
    <n v="1.0297555791710946"/>
    <n v="22.937291262135922"/>
    <n v="7.5603061551512916"/>
    <s v="Low"/>
    <s v="Normal"/>
  </r>
  <r>
    <n v="565"/>
    <d v="2026-03-02T00:00:00"/>
    <x v="1"/>
    <s v="Plant B"/>
    <x v="0"/>
    <x v="0"/>
    <x v="0"/>
    <x v="4"/>
    <s v="B260302-0565"/>
    <s v="OP128"/>
    <n v="663"/>
    <n v="691"/>
    <n v="665"/>
    <n v="26"/>
    <n v="9"/>
    <n v="21"/>
    <s v="Operator Issue"/>
    <n v="57"/>
    <n v="55"/>
    <n v="77.099999999999994"/>
    <n v="1.56"/>
    <n v="23.88"/>
    <n v="18194.580000000002"/>
    <n v="10.029999999999999"/>
    <s v="Completed"/>
    <n v="15"/>
    <n v="29991.59"/>
    <n v="0.96237337192474703"/>
    <n v="22923"/>
    <n v="236.977163531114"/>
    <n v="629.85"/>
    <n v="0.96665872826863497"/>
    <n v="6831.6128364688902"/>
    <n v="1.0422322775263952"/>
    <n v="3.7626628075253257E-2"/>
    <n v="1.3024602026049204E-2"/>
    <n v="0.9623733719247467"/>
    <n v="0.35"/>
    <n v="608.85"/>
    <n v="1.1349265007801592"/>
    <n v="1.0526315789473684"/>
    <n v="1.0781801757411513"/>
    <n v="0.9623733719247467"/>
    <n v="1.0030165912518849"/>
    <n v="33.173661360347324"/>
    <n v="9.8865598212284951"/>
    <s v="Low"/>
    <s v="Normal"/>
  </r>
  <r>
    <n v="566"/>
    <d v="2026-04-13T00:00:00"/>
    <x v="5"/>
    <s v="Plant B"/>
    <x v="1"/>
    <x v="2"/>
    <x v="1"/>
    <x v="0"/>
    <s v="B260413-0566"/>
    <s v="OP132"/>
    <n v="928"/>
    <n v="950"/>
    <n v="908"/>
    <n v="42"/>
    <n v="15"/>
    <n v="0"/>
    <s v="No Downtime"/>
    <n v="42"/>
    <n v="46"/>
    <n v="69.7"/>
    <n v="2.42"/>
    <n v="37.24"/>
    <n v="16610.669999999998"/>
    <n v="9.08"/>
    <s v="Overdue"/>
    <n v="27"/>
    <n v="29274.03"/>
    <n v="0.95578947368421097"/>
    <n v="21031.83"/>
    <n v="262.273736842105"/>
    <n v="649.6"/>
    <n v="1"/>
    <n v="7979.9262631579004"/>
    <n v="1.0237068965517242"/>
    <n v="4.4210526315789471E-2"/>
    <n v="1.5789473684210527E-2"/>
    <n v="0.95578947368421052"/>
    <n v="0"/>
    <n v="649.6"/>
    <n v="1.4624384236453201"/>
    <n v="1.4285714285714286"/>
    <n v="1.023706896551724"/>
    <n v="0.95578947368421052"/>
    <n v="0.97844827586206884"/>
    <n v="22.138768421052632"/>
    <n v="8.3999223822714733"/>
    <s v="High"/>
    <s v="Normal"/>
  </r>
  <r>
    <n v="567"/>
    <d v="2026-06-03T00:00:00"/>
    <x v="0"/>
    <s v="Plant B"/>
    <x v="2"/>
    <x v="9"/>
    <x v="2"/>
    <x v="0"/>
    <s v="B260603-0567"/>
    <s v="OP109"/>
    <n v="825"/>
    <n v="698"/>
    <n v="661"/>
    <n v="37"/>
    <n v="15"/>
    <n v="38"/>
    <s v="Setup Time"/>
    <n v="42"/>
    <n v="47"/>
    <n v="70.3"/>
    <n v="1.75"/>
    <n v="28.63"/>
    <n v="13358.85"/>
    <n v="7.46"/>
    <s v="Completed"/>
    <n v="6"/>
    <n v="21579.02"/>
    <n v="0.94699140401146098"/>
    <n v="16973.52"/>
    <n v="287.08130372492798"/>
    <n v="577.5"/>
    <n v="0.93419913419913403"/>
    <n v="4318.41869627508"/>
    <n v="0.84606060606060607"/>
    <n v="5.300859598853868E-2"/>
    <n v="2.148997134670487E-2"/>
    <n v="0.94699140401146131"/>
    <n v="0.6333333333333333"/>
    <n v="539.5"/>
    <n v="1.293790546802595"/>
    <n v="1.4285714285714286"/>
    <n v="0.90565338276181651"/>
    <n v="0.94699140401146131"/>
    <n v="0.80121212121212115"/>
    <n v="24.317363896848139"/>
    <n v="6.1868462697350717"/>
    <s v="Medium"/>
    <s v="Warning"/>
  </r>
  <r>
    <n v="568"/>
    <d v="2026-04-06T00:00:00"/>
    <x v="5"/>
    <s v="Plant B"/>
    <x v="2"/>
    <x v="9"/>
    <x v="2"/>
    <x v="0"/>
    <s v="B260406-0568"/>
    <s v="OP123"/>
    <n v="928"/>
    <n v="811"/>
    <n v="765"/>
    <n v="46"/>
    <n v="18"/>
    <n v="32"/>
    <s v="Preventive Maintenance"/>
    <n v="42"/>
    <n v="42"/>
    <n v="69.099999999999994"/>
    <n v="1.35"/>
    <n v="35.07"/>
    <n v="14994.86"/>
    <n v="8.93"/>
    <s v="Scheduled"/>
    <n v="19"/>
    <n v="24195.87"/>
    <n v="0.94327990135634998"/>
    <n v="19328.990000000002"/>
    <n v="332.80823674475999"/>
    <n v="649.6"/>
    <n v="0.95073891625615803"/>
    <n v="4534.0717632552396"/>
    <n v="0.87392241379310343"/>
    <n v="5.6720098643649818E-2"/>
    <n v="2.2194821208384709E-2"/>
    <n v="0.9432799013563502"/>
    <n v="0.53333333333333333"/>
    <n v="617.6"/>
    <n v="1.3131476683937824"/>
    <n v="1.4285714285714286"/>
    <n v="0.9192033678756476"/>
    <n v="0.9432799013563502"/>
    <n v="0.82435344827586243"/>
    <n v="23.83352651048089"/>
    <n v="5.5907173406353143"/>
    <s v="Medium"/>
    <s v="Warning"/>
  </r>
  <r>
    <n v="569"/>
    <d v="2026-04-14T00:00:00"/>
    <x v="5"/>
    <s v="Plant B"/>
    <x v="3"/>
    <x v="11"/>
    <x v="1"/>
    <x v="2"/>
    <s v="B260414-0569"/>
    <s v="OP113"/>
    <n v="456"/>
    <n v="365"/>
    <n v="338"/>
    <n v="27"/>
    <n v="9"/>
    <n v="34"/>
    <s v="Preventive Maintenance"/>
    <n v="64"/>
    <n v="62"/>
    <n v="72.7"/>
    <n v="2.73"/>
    <n v="15"/>
    <n v="11048.58"/>
    <n v="7.4"/>
    <s v="Overdue"/>
    <n v="21"/>
    <n v="17718.599999999999"/>
    <n v="0.92602739726027405"/>
    <n v="14513.58"/>
    <n v="272.43073972602701"/>
    <n v="486.4"/>
    <n v="0.93009868421052599"/>
    <n v="2932.58926027397"/>
    <n v="0.80043859649122806"/>
    <n v="7.3972602739726029E-2"/>
    <n v="2.4657534246575342E-2"/>
    <n v="0.92602739726027394"/>
    <n v="0.56666666666666665"/>
    <n v="452.4"/>
    <n v="0.80680813439434129"/>
    <n v="0.9375"/>
    <n v="0.86059534335396404"/>
    <n v="0.92602739726027394"/>
    <n v="0.74122807017543835"/>
    <n v="39.76323287671233"/>
    <n v="8.0344911240382739"/>
    <s v="High"/>
    <s v="Critical"/>
  </r>
  <r>
    <n v="570"/>
    <d v="2026-06-01T00:00:00"/>
    <x v="0"/>
    <s v="Plant A"/>
    <x v="1"/>
    <x v="5"/>
    <x v="1"/>
    <x v="3"/>
    <s v="B260601-0570"/>
    <s v="OP117"/>
    <n v="862"/>
    <n v="955"/>
    <n v="913"/>
    <n v="42"/>
    <n v="13"/>
    <n v="5"/>
    <s v="Machine Breakdown"/>
    <n v="49"/>
    <n v="52"/>
    <n v="68.599999999999994"/>
    <n v="1.75"/>
    <n v="27.26"/>
    <n v="20978.35"/>
    <n v="11.29"/>
    <s v="Completed"/>
    <n v="18"/>
    <n v="34785.040000000001"/>
    <n v="0.95602094240837698"/>
    <n v="26304.19"/>
    <n v="285.569162303665"/>
    <n v="703.96666666666704"/>
    <n v="0.992897390974951"/>
    <n v="8195.2808376963403"/>
    <n v="1.1078886310904872"/>
    <n v="4.3979057591623037E-2"/>
    <n v="1.3612565445026177E-2"/>
    <n v="0.95602094240837698"/>
    <n v="8.3333333333333329E-2"/>
    <n v="698.96666666666704"/>
    <n v="1.3663026372263811"/>
    <n v="1.2244897959183674"/>
    <n v="1.1158138204015446"/>
    <n v="0.95602094240837698"/>
    <n v="1.0591647331786533"/>
    <n v="27.54365445026178"/>
    <n v="8.5814459033469532"/>
    <s v="Low"/>
    <s v="Normal"/>
  </r>
  <r>
    <n v="571"/>
    <d v="2026-01-22T00:00:00"/>
    <x v="2"/>
    <s v="Plant A"/>
    <x v="0"/>
    <x v="1"/>
    <x v="0"/>
    <x v="3"/>
    <s v="B260122-0571"/>
    <s v="OP131"/>
    <n v="637"/>
    <n v="665"/>
    <n v="635"/>
    <n v="30"/>
    <n v="9"/>
    <n v="13"/>
    <s v="Power Failure"/>
    <n v="49"/>
    <n v="51"/>
    <n v="76.3"/>
    <n v="1.51"/>
    <n v="19.77"/>
    <n v="14234.54"/>
    <n v="9.4600000000000009"/>
    <s v="Scheduled"/>
    <n v="6"/>
    <n v="24181.63"/>
    <n v="0.95488721804511301"/>
    <n v="18669.47"/>
    <n v="192.64790977443599"/>
    <n v="520.21666666666704"/>
    <n v="0.97501041232819696"/>
    <n v="5319.5120902255603"/>
    <n v="1.043956043956044"/>
    <n v="4.5112781954887216E-2"/>
    <n v="1.3533834586466165E-2"/>
    <n v="0.95488721804511278"/>
    <n v="0.21666666666666667"/>
    <n v="507.21666666666704"/>
    <n v="1.3110767916406523"/>
    <n v="1.2244897959183674"/>
    <n v="1.0707127131731993"/>
    <n v="0.95488721804511278"/>
    <n v="0.99686028257456794"/>
    <n v="28.07439097744361"/>
    <n v="7.9992663010910681"/>
    <s v="Low"/>
    <s v="Normal"/>
  </r>
  <r>
    <n v="572"/>
    <d v="2026-01-13T00:00:00"/>
    <x v="2"/>
    <s v="Plant B"/>
    <x v="2"/>
    <x v="4"/>
    <x v="1"/>
    <x v="4"/>
    <s v="B260113-0572"/>
    <s v="OP129"/>
    <n v="595"/>
    <n v="583"/>
    <n v="546"/>
    <n v="37"/>
    <n v="9"/>
    <n v="43"/>
    <s v="Power Failure"/>
    <n v="57"/>
    <n v="60"/>
    <n v="74"/>
    <n v="2.0499999999999998"/>
    <n v="22.04"/>
    <n v="16328.53"/>
    <n v="7.63"/>
    <s v="Completed"/>
    <n v="14"/>
    <n v="24818.04"/>
    <n v="0.93653516295025696"/>
    <n v="19960.39"/>
    <n v="252.069931389365"/>
    <n v="565.25"/>
    <n v="0.923927465723131"/>
    <n v="4605.5800686106404"/>
    <n v="0.9798319327731092"/>
    <n v="6.3464837049742706E-2"/>
    <n v="1.5437392795883362E-2"/>
    <n v="0.93653516295025729"/>
    <n v="0.71666666666666667"/>
    <n v="522.25"/>
    <n v="1.1163235998085208"/>
    <n v="1.0526315789473684"/>
    <n v="1.0605074198180948"/>
    <n v="0.93653516295025729"/>
    <n v="0.91764705882352904"/>
    <n v="34.237375643224702"/>
    <n v="7.8997942857815442"/>
    <s v="Low"/>
    <s v="Normal"/>
  </r>
  <r>
    <n v="573"/>
    <d v="2026-02-27T00:00:00"/>
    <x v="4"/>
    <s v="Plant B"/>
    <x v="2"/>
    <x v="10"/>
    <x v="0"/>
    <x v="3"/>
    <s v="B260227-0573"/>
    <s v="OP108"/>
    <n v="671"/>
    <n v="578"/>
    <n v="514"/>
    <n v="64"/>
    <n v="12"/>
    <n v="69"/>
    <s v="Machine Breakdown"/>
    <n v="49"/>
    <n v="52"/>
    <n v="70.7"/>
    <n v="2.63"/>
    <n v="23.81"/>
    <n v="12055.18"/>
    <n v="6.45"/>
    <s v="Overdue"/>
    <n v="46"/>
    <n v="19725.02"/>
    <n v="0.88927335640138405"/>
    <n v="15171.97"/>
    <n v="250.28055363321801"/>
    <n v="547.98333333333301"/>
    <n v="0.87408376167158397"/>
    <n v="4302.7694463667804"/>
    <n v="0.86140089418777943"/>
    <n v="0.11072664359861592"/>
    <n v="2.0761245674740483E-2"/>
    <n v="0.88927335640138405"/>
    <n v="1.1499999999999999"/>
    <n v="478.98333333333301"/>
    <n v="1.2067225721145489"/>
    <n v="1.2244897959183674"/>
    <n v="0.98549010056021491"/>
    <n v="0.88927335640138405"/>
    <n v="0.76602086438152073"/>
    <n v="26.249083044982697"/>
    <n v="7.4442377964823185"/>
    <s v="High"/>
    <s v="Warning"/>
  </r>
  <r>
    <n v="574"/>
    <d v="2026-05-02T00:00:00"/>
    <x v="3"/>
    <s v="Plant B"/>
    <x v="2"/>
    <x v="4"/>
    <x v="2"/>
    <x v="2"/>
    <s v="B260502-0574"/>
    <s v="OP108"/>
    <n v="456"/>
    <n v="371"/>
    <n v="343"/>
    <n v="28"/>
    <n v="5"/>
    <n v="0"/>
    <s v="No Downtime"/>
    <n v="64"/>
    <n v="67"/>
    <n v="76.8"/>
    <n v="2.08"/>
    <n v="15"/>
    <n v="11381.28"/>
    <n v="7.36"/>
    <s v="Completed"/>
    <n v="1"/>
    <n v="17458.650000000001"/>
    <n v="0.92452830188679302"/>
    <n v="14828.28"/>
    <n v="153.386522911051"/>
    <n v="486.4"/>
    <n v="1"/>
    <n v="2476.9834770889502"/>
    <n v="0.81359649122807021"/>
    <n v="7.5471698113207544E-2"/>
    <n v="1.3477088948787063E-2"/>
    <n v="0.92452830188679247"/>
    <n v="0"/>
    <n v="486.4"/>
    <n v="0.76274671052631582"/>
    <n v="0.9375"/>
    <n v="0.81359649122807021"/>
    <n v="0.92452830188679247"/>
    <n v="0.75219298245614041"/>
    <n v="39.968409703504044"/>
    <n v="6.6765053290807286"/>
    <s v="High"/>
    <s v="Warning"/>
  </r>
  <r>
    <n v="575"/>
    <d v="2026-02-04T00:00:00"/>
    <x v="4"/>
    <s v="Plant B"/>
    <x v="0"/>
    <x v="1"/>
    <x v="0"/>
    <x v="1"/>
    <s v="B260204-0575"/>
    <s v="OP108"/>
    <n v="948"/>
    <n v="1029"/>
    <n v="973"/>
    <n v="56"/>
    <n v="17"/>
    <n v="20"/>
    <s v="Setup Time"/>
    <n v="45"/>
    <n v="44"/>
    <n v="67.3"/>
    <n v="2.16"/>
    <n v="31.15"/>
    <n v="21432.17"/>
    <n v="9.75"/>
    <s v="Pending"/>
    <n v="22"/>
    <n v="33331.9"/>
    <n v="0.94557823129251695"/>
    <n v="26100.02"/>
    <n v="354.07861030126298"/>
    <n v="711"/>
    <n v="0.97187060478199705"/>
    <n v="6877.8013896987404"/>
    <n v="1.0854430379746836"/>
    <n v="5.4421768707482991E-2"/>
    <n v="1.6520894071914479E-2"/>
    <n v="0.94557823129251706"/>
    <n v="0.33333333333333331"/>
    <n v="691"/>
    <n v="1.4891461649782922"/>
    <n v="1.3333333333333333"/>
    <n v="1.1168596237337192"/>
    <n v="0.94557823129251706"/>
    <n v="1.0263713080168775"/>
    <n v="25.364450923226435"/>
    <n v="6.6839663651105345"/>
    <s v="Medium"/>
    <s v="Normal"/>
  </r>
  <r>
    <n v="576"/>
    <d v="2026-02-02T00:00:00"/>
    <x v="4"/>
    <s v="Plant A"/>
    <x v="0"/>
    <x v="1"/>
    <x v="1"/>
    <x v="2"/>
    <s v="B260202-0576"/>
    <s v="OP111"/>
    <n v="513"/>
    <n v="544"/>
    <n v="507"/>
    <n v="37"/>
    <n v="7"/>
    <n v="0"/>
    <s v="No Downtime"/>
    <n v="64"/>
    <n v="70"/>
    <n v="74.400000000000006"/>
    <n v="1.67"/>
    <n v="17.5"/>
    <n v="16241.93"/>
    <n v="10.18"/>
    <s v="Completed"/>
    <n v="16"/>
    <n v="26284.639999999999"/>
    <n v="0.93198529411764697"/>
    <n v="20980.43"/>
    <n v="208.99542279411801"/>
    <n v="547.20000000000005"/>
    <n v="1"/>
    <n v="5095.2145772058802"/>
    <n v="1.0604288499025341"/>
    <n v="6.8014705882352935E-2"/>
    <n v="1.2867647058823529E-2"/>
    <n v="0.93198529411764708"/>
    <n v="0"/>
    <n v="547.20000000000005"/>
    <n v="0.99415204678362568"/>
    <n v="0.9375"/>
    <n v="1.0604288499025341"/>
    <n v="0.93198529411764708"/>
    <n v="0.98830409356725146"/>
    <n v="38.566966911764709"/>
    <n v="9.3662032669225734"/>
    <s v="Low"/>
    <s v="Normal"/>
  </r>
  <r>
    <n v="577"/>
    <d v="2026-02-27T00:00:00"/>
    <x v="4"/>
    <s v="Plant A"/>
    <x v="1"/>
    <x v="6"/>
    <x v="2"/>
    <x v="4"/>
    <s v="B260227-0577"/>
    <s v="OP127"/>
    <n v="685"/>
    <n v="708"/>
    <n v="661"/>
    <n v="47"/>
    <n v="17"/>
    <n v="12"/>
    <s v="Tool Change"/>
    <n v="57"/>
    <n v="60"/>
    <n v="75.099999999999994"/>
    <n v="1.57"/>
    <n v="27.38"/>
    <n v="18949.89"/>
    <n v="8.4"/>
    <s v="Scheduled"/>
    <n v="18"/>
    <n v="31293.88"/>
    <n v="0.93361581920904002"/>
    <n v="22976.31"/>
    <n v="455.011483050847"/>
    <n v="650.75"/>
    <n v="0.98155973876296598"/>
    <n v="7862.5585169491596"/>
    <n v="1.0335766423357664"/>
    <n v="6.6384180790960451E-2"/>
    <n v="2.4011299435028249E-2"/>
    <n v="0.93361581920903958"/>
    <n v="0.2"/>
    <n v="638.75"/>
    <n v="1.1084148727984344"/>
    <n v="1.0526315789473684"/>
    <n v="1.0529941291585128"/>
    <n v="0.93361581920903958"/>
    <n v="0.96496350364963523"/>
    <n v="32.452415254237287"/>
    <n v="11.1053086397587"/>
    <s v="Low"/>
    <s v="Normal"/>
  </r>
  <r>
    <n v="578"/>
    <d v="2026-03-29T00:00:00"/>
    <x v="1"/>
    <s v="Plant B"/>
    <x v="2"/>
    <x v="9"/>
    <x v="0"/>
    <x v="3"/>
    <s v="B260329-0578"/>
    <s v="OP131"/>
    <n v="881"/>
    <n v="810"/>
    <n v="770"/>
    <n v="40"/>
    <n v="9"/>
    <n v="22"/>
    <s v="Tool Change"/>
    <n v="49"/>
    <n v="51"/>
    <n v="69.2"/>
    <n v="1.5"/>
    <n v="27.61"/>
    <n v="18836.22"/>
    <n v="8.24"/>
    <s v="Pending"/>
    <n v="31"/>
    <n v="28492.69"/>
    <n v="0.95061728395061695"/>
    <n v="22792.71"/>
    <n v="209.291333333333"/>
    <n v="719.48333333333301"/>
    <n v="0.96942250225856497"/>
    <n v="5490.6886666666596"/>
    <n v="0.91940976163450627"/>
    <n v="4.9382716049382713E-2"/>
    <n v="1.1111111111111112E-2"/>
    <n v="0.95061728395061729"/>
    <n v="0.36666666666666664"/>
    <n v="697.48333333333301"/>
    <n v="1.1613180721164191"/>
    <n v="1.2244897959183674"/>
    <n v="0.94840975889507562"/>
    <n v="0.95061728395061729"/>
    <n v="0.87400681044267903"/>
    <n v="28.139148148148148"/>
    <n v="6.7786279835390859"/>
    <s v="Medium"/>
    <s v="Normal"/>
  </r>
  <r>
    <n v="579"/>
    <d v="2026-06-11T00:00:00"/>
    <x v="0"/>
    <s v="Plant B"/>
    <x v="4"/>
    <x v="13"/>
    <x v="1"/>
    <x v="0"/>
    <s v="B260611-0579"/>
    <s v="OP121"/>
    <n v="842"/>
    <n v="728"/>
    <n v="685"/>
    <n v="43"/>
    <n v="17"/>
    <n v="32"/>
    <s v="Operator Issue"/>
    <n v="42"/>
    <n v="43"/>
    <n v="74.099999999999994"/>
    <n v="1.49"/>
    <n v="23.81"/>
    <n v="13136.71"/>
    <n v="8.19"/>
    <s v="Completed"/>
    <n v="18"/>
    <n v="21976.26"/>
    <n v="0.94093406593406603"/>
    <n v="17036.5"/>
    <n v="306.76383241758202"/>
    <n v="589.4"/>
    <n v="0.94570749915167995"/>
    <n v="4632.9961675824197"/>
    <n v="0.86460807600950118"/>
    <n v="5.9065934065934064E-2"/>
    <n v="2.3351648351648352E-2"/>
    <n v="0.94093406593406592"/>
    <n v="0.53333333333333333"/>
    <n v="557.4"/>
    <n v="1.3060638679583783"/>
    <n v="1.4285714285714286"/>
    <n v="0.91424470757086473"/>
    <n v="0.94093406593406592"/>
    <n v="0.81353919239905004"/>
    <n v="23.401785714285715"/>
    <n v="6.3640057247011264"/>
    <s v="Medium"/>
    <s v="Warning"/>
  </r>
  <r>
    <n v="580"/>
    <d v="2026-03-24T00:00:00"/>
    <x v="1"/>
    <s v="Plant A"/>
    <x v="1"/>
    <x v="6"/>
    <x v="1"/>
    <x v="0"/>
    <s v="B260324-0580"/>
    <s v="OP119"/>
    <n v="846"/>
    <n v="737"/>
    <n v="697"/>
    <n v="40"/>
    <n v="10"/>
    <n v="30"/>
    <s v="Machine Breakdown"/>
    <n v="42"/>
    <n v="44"/>
    <n v="68.2"/>
    <n v="2.08"/>
    <n v="27.77"/>
    <n v="13055.86"/>
    <n v="8.01"/>
    <s v="Completed"/>
    <n v="32"/>
    <n v="22928.31"/>
    <n v="0.94572591587516996"/>
    <n v="16910.29"/>
    <n v="177.148710990502"/>
    <n v="592.20000000000005"/>
    <n v="0.94934143870314103"/>
    <n v="5840.8712890095003"/>
    <n v="0.87115839243498816"/>
    <n v="5.4274084124830396E-2"/>
    <n v="1.3568521031207599E-2"/>
    <n v="0.94572591587516963"/>
    <n v="0.5"/>
    <n v="562.20000000000005"/>
    <n v="1.310921380291711"/>
    <n v="1.4285714285714286"/>
    <n v="0.91764496620419767"/>
    <n v="0.94572591587516963"/>
    <n v="0.82387706855791976"/>
    <n v="22.944762550881954"/>
    <n v="7.9251984925502041"/>
    <s v="Medium"/>
    <s v="Warning"/>
  </r>
  <r>
    <n v="581"/>
    <d v="2026-05-21T00:00:00"/>
    <x v="3"/>
    <s v="Plant B"/>
    <x v="0"/>
    <x v="3"/>
    <x v="0"/>
    <x v="2"/>
    <s v="B260521-0581"/>
    <s v="OP132"/>
    <n v="566"/>
    <n v="612"/>
    <n v="581"/>
    <n v="31"/>
    <n v="9"/>
    <n v="10"/>
    <s v="Tool Change"/>
    <n v="64"/>
    <n v="65"/>
    <n v="86.1"/>
    <n v="1.67"/>
    <n v="20.03"/>
    <n v="18113.52"/>
    <n v="10.5"/>
    <s v="Overdue"/>
    <n v="2"/>
    <n v="29380.02"/>
    <n v="0.94934640522875802"/>
    <n v="23018.79"/>
    <n v="266.375294117647"/>
    <n v="603.73333333333301"/>
    <n v="0.98343639575971697"/>
    <n v="6094.8547058823497"/>
    <n v="1.0812720848056536"/>
    <n v="5.0653594771241831E-2"/>
    <n v="1.4705882352941176E-2"/>
    <n v="0.94934640522875813"/>
    <n v="0.16666666666666666"/>
    <n v="593.73333333333301"/>
    <n v="1.0307657758814288"/>
    <n v="0.9375"/>
    <n v="1.0994834942735241"/>
    <n v="0.94934640522875813"/>
    <n v="1.0265017667844525"/>
    <n v="37.612401960784318"/>
    <n v="9.9589129181084139"/>
    <s v="High"/>
    <s v="Warning"/>
  </r>
  <r>
    <n v="582"/>
    <d v="2026-01-18T00:00:00"/>
    <x v="2"/>
    <s v="Plant B"/>
    <x v="0"/>
    <x v="0"/>
    <x v="1"/>
    <x v="0"/>
    <s v="B260118-0582"/>
    <s v="OP107"/>
    <n v="936"/>
    <n v="813"/>
    <n v="778"/>
    <n v="35"/>
    <n v="8"/>
    <n v="36"/>
    <s v="Machine Breakdown"/>
    <n v="42"/>
    <n v="42"/>
    <n v="69.099999999999994"/>
    <n v="1.8"/>
    <n v="31.38"/>
    <n v="14619.49"/>
    <n v="7.84"/>
    <s v="Scheduled"/>
    <n v="13"/>
    <n v="24375.73"/>
    <n v="0.95694956949569498"/>
    <n v="18429.91"/>
    <n v="143.85722017220201"/>
    <n v="655.20000000000005"/>
    <n v="0.94505494505494503"/>
    <n v="5801.9627798277997"/>
    <n v="0.86858974358974361"/>
    <n v="4.3050430504305043E-2"/>
    <n v="9.8400984009840101E-3"/>
    <n v="0.95694956949569498"/>
    <n v="0.6"/>
    <n v="619.20000000000005"/>
    <n v="1.3129844961240309"/>
    <n v="1.4285714285714286"/>
    <n v="0.91908914728682156"/>
    <n v="0.95694956949569498"/>
    <n v="0.83119658119658102"/>
    <n v="22.669015990159902"/>
    <n v="7.136485584044034"/>
    <s v="Medium"/>
    <s v="Warning"/>
  </r>
  <r>
    <n v="583"/>
    <d v="2026-05-22T00:00:00"/>
    <x v="3"/>
    <s v="Plant B"/>
    <x v="3"/>
    <x v="8"/>
    <x v="2"/>
    <x v="1"/>
    <s v="B260522-0583"/>
    <s v="OP114"/>
    <n v="688"/>
    <n v="590"/>
    <n v="548"/>
    <n v="42"/>
    <n v="9"/>
    <n v="43"/>
    <s v="Setup Time"/>
    <n v="45"/>
    <n v="46"/>
    <n v="72.2"/>
    <n v="2.27"/>
    <n v="19.739999999999998"/>
    <n v="11525.16"/>
    <n v="6.85"/>
    <s v="Completed"/>
    <n v="40"/>
    <n v="19271.650000000001"/>
    <n v="0.92881355932203402"/>
    <n v="14785.32"/>
    <n v="175.807525423729"/>
    <n v="516"/>
    <n v="0.91666666666666696"/>
    <n v="4310.5224745762698"/>
    <n v="0.85755813953488369"/>
    <n v="7.1186440677966104E-2"/>
    <n v="1.5254237288135594E-2"/>
    <n v="0.92881355932203391"/>
    <n v="0.71666666666666667"/>
    <n v="473"/>
    <n v="1.2473572938689217"/>
    <n v="1.3333333333333333"/>
    <n v="0.93551797040169127"/>
    <n v="0.92881355932203391"/>
    <n v="0.79651162790697694"/>
    <n v="25.05986440677966"/>
    <n v="7.3059702958919823"/>
    <s v="High"/>
    <s v="Warning"/>
  </r>
  <r>
    <n v="584"/>
    <d v="2026-06-03T00:00:00"/>
    <x v="0"/>
    <s v="Plant B"/>
    <x v="1"/>
    <x v="5"/>
    <x v="0"/>
    <x v="1"/>
    <s v="B260603-0584"/>
    <s v="OP127"/>
    <n v="907"/>
    <n v="908"/>
    <n v="870"/>
    <n v="38"/>
    <n v="11"/>
    <n v="18"/>
    <s v="Preventive Maintenance"/>
    <n v="45"/>
    <n v="46"/>
    <n v="68.2"/>
    <n v="1.94"/>
    <n v="35.75"/>
    <n v="18216.580000000002"/>
    <n v="8.86"/>
    <s v="Scheduled"/>
    <n v="16"/>
    <n v="31067.93"/>
    <n v="0.95814977973568305"/>
    <n v="22525.33"/>
    <n v="220.68544052863399"/>
    <n v="680.25"/>
    <n v="0.973539140022051"/>
    <n v="8321.91455947137"/>
    <n v="1.0011025358324146"/>
    <n v="4.185022026431718E-2"/>
    <n v="1.2114537444933921E-2"/>
    <n v="0.95814977973568283"/>
    <n v="0.3"/>
    <n v="662.25"/>
    <n v="1.3710834277085693"/>
    <n v="1.3333333333333333"/>
    <n v="1.0283125707814271"/>
    <n v="0.95814977973568283"/>
    <n v="0.95920617420066201"/>
    <n v="24.807632158590309"/>
    <n v="9.1651041403869709"/>
    <s v="Low"/>
    <s v="Normal"/>
  </r>
  <r>
    <n v="585"/>
    <d v="2026-06-05T00:00:00"/>
    <x v="0"/>
    <s v="Plant A"/>
    <x v="4"/>
    <x v="14"/>
    <x v="1"/>
    <x v="4"/>
    <s v="B260605-0585"/>
    <s v="OP125"/>
    <n v="563"/>
    <n v="507"/>
    <n v="469"/>
    <n v="38"/>
    <n v="15"/>
    <n v="38"/>
    <s v="Power Failure"/>
    <n v="57"/>
    <n v="57"/>
    <n v="75.5"/>
    <n v="1.72"/>
    <n v="18.2"/>
    <n v="13862.6"/>
    <n v="8.86"/>
    <s v="Scheduled"/>
    <n v="26"/>
    <n v="21373.599999999999"/>
    <n v="0.92504930966469401"/>
    <n v="18013.400000000001"/>
    <n v="410.13609467455598"/>
    <n v="534.85"/>
    <n v="0.92895204262877396"/>
    <n v="2950.0639053254399"/>
    <n v="0.90053285968028418"/>
    <n v="7.4950690335305714E-2"/>
    <n v="2.9585798816568046E-2"/>
    <n v="0.92504930966469423"/>
    <n v="0.6333333333333333"/>
    <n v="496.85"/>
    <n v="1.0204287008151354"/>
    <n v="1.0526315789473684"/>
    <n v="0.96940726577437863"/>
    <n v="0.92504930966469423"/>
    <n v="0.83303730017761946"/>
    <n v="35.529388560157791"/>
    <n v="5.8186664799318342"/>
    <s v="Medium"/>
    <s v="Warning"/>
  </r>
  <r>
    <n v="586"/>
    <d v="2026-04-08T00:00:00"/>
    <x v="5"/>
    <s v="Plant A"/>
    <x v="1"/>
    <x v="2"/>
    <x v="1"/>
    <x v="2"/>
    <s v="B260408-0586"/>
    <s v="OP106"/>
    <n v="561"/>
    <n v="561"/>
    <n v="530"/>
    <n v="31"/>
    <n v="10"/>
    <n v="22"/>
    <s v="Setup Time"/>
    <n v="64"/>
    <n v="66"/>
    <n v="76.8"/>
    <n v="2.82"/>
    <n v="23.13"/>
    <n v="18390.97"/>
    <n v="8.4"/>
    <s v="Scheduled"/>
    <n v="16"/>
    <n v="26881.98"/>
    <n v="0.94474153297682695"/>
    <n v="22379.14"/>
    <n v="327.82477718360099"/>
    <n v="598.4"/>
    <n v="0.96323529411764697"/>
    <n v="4175.0152228163997"/>
    <n v="1"/>
    <n v="5.5258467023172907E-2"/>
    <n v="1.7825311942959002E-2"/>
    <n v="0.94474153297682706"/>
    <n v="0.36666666666666664"/>
    <n v="576.4"/>
    <n v="0.97328244274809161"/>
    <n v="0.9375"/>
    <n v="1.0381679389312977"/>
    <n v="0.94474153297682706"/>
    <n v="0.94474153297682695"/>
    <n v="39.891515151515151"/>
    <n v="7.4420948713304806"/>
    <s v="Low"/>
    <s v="Normal"/>
  </r>
  <r>
    <n v="587"/>
    <d v="2026-02-10T00:00:00"/>
    <x v="4"/>
    <s v="Plant A"/>
    <x v="2"/>
    <x v="9"/>
    <x v="1"/>
    <x v="3"/>
    <s v="B260210-0587"/>
    <s v="OP134"/>
    <n v="750"/>
    <n v="669"/>
    <n v="644"/>
    <n v="25"/>
    <n v="5"/>
    <n v="51"/>
    <s v="Material Shortage"/>
    <n v="49"/>
    <n v="53"/>
    <n v="76.3"/>
    <n v="1.73"/>
    <n v="27.81"/>
    <n v="15519.55"/>
    <n v="9.19"/>
    <s v="Completed"/>
    <n v="17"/>
    <n v="24542.39"/>
    <n v="0.96263079222720505"/>
    <n v="19905.34"/>
    <n v="115.99065769805701"/>
    <n v="612.5"/>
    <n v="0.91673469387755102"/>
    <n v="4521.05934230194"/>
    <n v="0.89200000000000002"/>
    <n v="3.7369207772795218E-2"/>
    <n v="7.4738415545590429E-3"/>
    <n v="0.96263079222720482"/>
    <n v="0.85"/>
    <n v="561.5"/>
    <n v="1.1914514692787177"/>
    <n v="1.2244897959183674"/>
    <n v="0.9730186999109528"/>
    <n v="0.96263079222720482"/>
    <n v="0.85866666666666669"/>
    <n v="29.753871449925263"/>
    <n v="6.7579362366247233"/>
    <s v="Low"/>
    <s v="Normal"/>
  </r>
  <r>
    <n v="588"/>
    <d v="2026-04-19T00:00:00"/>
    <x v="5"/>
    <s v="Plant A"/>
    <x v="3"/>
    <x v="8"/>
    <x v="2"/>
    <x v="0"/>
    <s v="B260419-0588"/>
    <s v="OP105"/>
    <n v="754"/>
    <n v="720"/>
    <n v="672"/>
    <n v="48"/>
    <n v="15"/>
    <n v="19"/>
    <s v="Tool Change"/>
    <n v="42"/>
    <n v="46"/>
    <n v="67.5"/>
    <n v="1.95"/>
    <n v="23.17"/>
    <n v="13041.04"/>
    <n v="7.42"/>
    <s v="Completed"/>
    <n v="22"/>
    <n v="21908.240000000002"/>
    <n v="0.93333333333333302"/>
    <n v="16588.57"/>
    <n v="271.68833333333299"/>
    <n v="527.79999999999995"/>
    <n v="0.96400151572565396"/>
    <n v="5047.9816666666702"/>
    <n v="0.95490716180371349"/>
    <n v="6.6666666666666666E-2"/>
    <n v="2.0833333333333332E-2"/>
    <n v="0.93333333333333335"/>
    <n v="0.31666666666666665"/>
    <n v="508.79999999999995"/>
    <n v="1.4150943396226416"/>
    <n v="1.4285714285714286"/>
    <n v="0.99056603773584917"/>
    <n v="0.93333333333333335"/>
    <n v="0.89124668435013299"/>
    <n v="23.039680555555556"/>
    <n v="7.0110856481481534"/>
    <s v="Low"/>
    <s v="Normal"/>
  </r>
  <r>
    <n v="589"/>
    <d v="2026-05-09T00:00:00"/>
    <x v="3"/>
    <s v="Plant A"/>
    <x v="1"/>
    <x v="5"/>
    <x v="0"/>
    <x v="3"/>
    <s v="B260509-0589"/>
    <s v="OP109"/>
    <n v="743"/>
    <n v="842"/>
    <n v="811"/>
    <n v="31"/>
    <n v="11"/>
    <n v="0"/>
    <s v="No Downtime"/>
    <n v="49"/>
    <n v="49"/>
    <n v="75.099999999999994"/>
    <n v="2.2999999999999998"/>
    <n v="24.31"/>
    <n v="17413.830000000002"/>
    <n v="9.8800000000000008"/>
    <s v="Pending"/>
    <n v="31"/>
    <n v="31146.26"/>
    <n v="0.96318289786223299"/>
    <n v="22078.62"/>
    <n v="227.49659144893101"/>
    <n v="606.78333333333296"/>
    <n v="1"/>
    <n v="8840.14340855107"/>
    <n v="1.133243606998654"/>
    <n v="3.6817102137767219E-2"/>
    <n v="1.3064133016627079E-2"/>
    <n v="0.96318289786223277"/>
    <n v="0"/>
    <n v="606.78333333333296"/>
    <n v="1.3876452330595772"/>
    <n v="1.2244897959183674"/>
    <n v="1.1332436069986547"/>
    <n v="0.96318289786223277"/>
    <n v="1.0915208613728133"/>
    <n v="26.221638954869359"/>
    <n v="10.498982670488207"/>
    <s v="Medium"/>
    <s v="Normal"/>
  </r>
  <r>
    <n v="590"/>
    <d v="2026-04-12T00:00:00"/>
    <x v="5"/>
    <s v="Plant B"/>
    <x v="2"/>
    <x v="10"/>
    <x v="2"/>
    <x v="2"/>
    <s v="B260412-0590"/>
    <s v="OP123"/>
    <n v="651"/>
    <n v="529"/>
    <n v="467"/>
    <n v="62"/>
    <n v="14"/>
    <n v="20"/>
    <s v="Tool Change"/>
    <n v="64"/>
    <n v="70"/>
    <n v="66.099999999999994"/>
    <n v="2.13"/>
    <n v="19.93"/>
    <n v="16002.36"/>
    <n v="7.47"/>
    <s v="Scheduled"/>
    <n v="29"/>
    <n v="24103.25"/>
    <n v="0.88279773156899799"/>
    <n v="19543.23"/>
    <n v="423.50291115311899"/>
    <n v="694.4"/>
    <n v="0.97119815668202802"/>
    <n v="4136.5170888468801"/>
    <n v="0.8125960061443932"/>
    <n v="0.11720226843100189"/>
    <n v="2.6465028355387523E-2"/>
    <n v="0.8827977315689981"/>
    <n v="0.33333333333333331"/>
    <n v="674.4"/>
    <n v="0.78440094899169632"/>
    <n v="0.9375"/>
    <n v="0.83669434559114275"/>
    <n v="0.8827977315689981"/>
    <n v="0.7173579109062983"/>
    <n v="36.943724007561435"/>
    <n v="7.8195030034912669"/>
    <s v="High"/>
    <s v="Critical"/>
  </r>
  <r>
    <n v="591"/>
    <d v="2026-04-06T00:00:00"/>
    <x v="5"/>
    <s v="Plant A"/>
    <x v="4"/>
    <x v="13"/>
    <x v="0"/>
    <x v="0"/>
    <s v="B260406-0591"/>
    <s v="OP128"/>
    <n v="795"/>
    <n v="741"/>
    <n v="703"/>
    <n v="38"/>
    <n v="10"/>
    <n v="7"/>
    <s v="Machine Breakdown"/>
    <n v="42"/>
    <n v="45"/>
    <n v="73.7"/>
    <n v="2.86"/>
    <n v="27.96"/>
    <n v="13222.71"/>
    <n v="7.11"/>
    <s v="Overdue"/>
    <n v="6"/>
    <n v="22152.31"/>
    <n v="0.94871794871794901"/>
    <n v="16673.849999999999"/>
    <n v="178.444129554656"/>
    <n v="556.5"/>
    <n v="0.98742138364779897"/>
    <n v="5300.0158704453497"/>
    <n v="0.93207547169811322"/>
    <n v="5.128205128205128E-2"/>
    <n v="1.3495276653171391E-2"/>
    <n v="0.94871794871794868"/>
    <n v="0.11666666666666667"/>
    <n v="549.5"/>
    <n v="1.348498635122839"/>
    <n v="1.4285714285714286"/>
    <n v="0.94394904458598727"/>
    <n v="0.94871794871794868"/>
    <n v="0.88427672955974856"/>
    <n v="22.501821862348176"/>
    <n v="7.1525180437858973"/>
    <s v="High"/>
    <s v="Normal"/>
  </r>
  <r>
    <n v="592"/>
    <d v="2026-02-07T00:00:00"/>
    <x v="4"/>
    <s v="Plant A"/>
    <x v="4"/>
    <x v="13"/>
    <x v="0"/>
    <x v="3"/>
    <s v="B260207-0592"/>
    <s v="OP125"/>
    <n v="841"/>
    <n v="790"/>
    <n v="753"/>
    <n v="37"/>
    <n v="10"/>
    <n v="13"/>
    <s v="Tool Change"/>
    <n v="49"/>
    <n v="47"/>
    <n v="81.599999999999994"/>
    <n v="1.97"/>
    <n v="26.03"/>
    <n v="16360.26"/>
    <n v="7.08"/>
    <s v="Scheduled"/>
    <n v="8"/>
    <n v="28719.74"/>
    <n v="0.95316455696202496"/>
    <n v="19780.53"/>
    <n v="207.09189873417699"/>
    <n v="686.81666666666695"/>
    <n v="0.981072095901381"/>
    <n v="8732.1181012658199"/>
    <n v="0.93935790725326995"/>
    <n v="4.6835443037974683E-2"/>
    <n v="1.2658227848101266E-2"/>
    <n v="0.95316455696202529"/>
    <n v="0.21666666666666667"/>
    <n v="673.81666666666695"/>
    <n v="1.1724257340028192"/>
    <n v="1.2244897959183674"/>
    <n v="0.95748101610230241"/>
    <n v="0.95316455696202529"/>
    <n v="0.89536266349583804"/>
    <n v="25.03864556962025"/>
    <n v="11.053314052235216"/>
    <s v="Medium"/>
    <s v="Warning"/>
  </r>
  <r>
    <n v="593"/>
    <d v="2026-01-16T00:00:00"/>
    <x v="2"/>
    <s v="Plant A"/>
    <x v="2"/>
    <x v="4"/>
    <x v="1"/>
    <x v="3"/>
    <s v="B260116-0593"/>
    <s v="OP129"/>
    <n v="826"/>
    <n v="782"/>
    <n v="733"/>
    <n v="49"/>
    <n v="15"/>
    <n v="13"/>
    <s v="Material Shortage"/>
    <n v="49"/>
    <n v="50"/>
    <n v="65.7"/>
    <n v="2.65"/>
    <n v="29.41"/>
    <n v="17717.93"/>
    <n v="8.4"/>
    <s v="Overdue"/>
    <n v="15"/>
    <n v="27274.63"/>
    <n v="0.93734015345268495"/>
    <n v="21762.62"/>
    <n v="339.85799232736599"/>
    <n v="674.56666666666695"/>
    <n v="0.98072836882937198"/>
    <n v="5172.1520076726401"/>
    <n v="0.94673123486682809"/>
    <n v="6.2659846547314574E-2"/>
    <n v="1.9181585677749361E-2"/>
    <n v="0.9373401534526854"/>
    <n v="0.21666666666666667"/>
    <n v="661.56666666666695"/>
    <n v="1.1820426260895849"/>
    <n v="1.2244897959183674"/>
    <n v="0.96533481130649434"/>
    <n v="0.9373401534526854"/>
    <n v="0.88740920096852272"/>
    <n v="27.829437340153451"/>
    <n v="6.6140051249010741"/>
    <s v="High"/>
    <s v="Normal"/>
  </r>
  <r>
    <n v="594"/>
    <d v="2026-04-07T00:00:00"/>
    <x v="5"/>
    <s v="Plant B"/>
    <x v="1"/>
    <x v="6"/>
    <x v="1"/>
    <x v="3"/>
    <s v="B260407-0594"/>
    <s v="OP110"/>
    <n v="720"/>
    <n v="701"/>
    <n v="662"/>
    <n v="39"/>
    <n v="11"/>
    <n v="9"/>
    <s v="Machine Breakdown"/>
    <n v="49"/>
    <n v="49"/>
    <n v="75.099999999999994"/>
    <n v="1.99"/>
    <n v="27.52"/>
    <n v="15509.08"/>
    <n v="7.83"/>
    <s v="Pending"/>
    <n v="10"/>
    <n v="24402.18"/>
    <n v="0.944365192582026"/>
    <n v="19280.259999999998"/>
    <n v="243.36644793152601"/>
    <n v="588"/>
    <n v="0.98469387755102"/>
    <n v="4878.5535520684698"/>
    <n v="0.97361111111111109"/>
    <n v="5.5634807417974323E-2"/>
    <n v="1.5691868758915834E-2"/>
    <n v="0.94436519258202567"/>
    <n v="0.15"/>
    <n v="579"/>
    <n v="1.2107081174438687"/>
    <n v="1.2244897959183674"/>
    <n v="0.98874496257915945"/>
    <n v="0.94436519258202567"/>
    <n v="0.91944444444444395"/>
    <n v="27.503937232524962"/>
    <n v="6.9594201884000997"/>
    <s v="Medium"/>
    <s v="Normal"/>
  </r>
  <r>
    <n v="595"/>
    <d v="2026-01-17T00:00:00"/>
    <x v="2"/>
    <s v="Plant A"/>
    <x v="0"/>
    <x v="1"/>
    <x v="1"/>
    <x v="1"/>
    <s v="B260117-0595"/>
    <s v="OP115"/>
    <n v="919"/>
    <n v="922"/>
    <n v="872"/>
    <n v="50"/>
    <n v="20"/>
    <n v="44"/>
    <s v="Machine Breakdown"/>
    <n v="45"/>
    <n v="47"/>
    <n v="67.8"/>
    <n v="2.0099999999999998"/>
    <n v="35.24"/>
    <n v="19811.259999999998"/>
    <n v="9.68"/>
    <s v="Pending"/>
    <n v="33"/>
    <n v="30202.35"/>
    <n v="0.94577006507592198"/>
    <n v="24484.42"/>
    <n v="429.74533622559699"/>
    <n v="689.25"/>
    <n v="0.93616249546608599"/>
    <n v="5288.1846637744002"/>
    <n v="1.0032644178454841"/>
    <n v="5.4229934924078092E-2"/>
    <n v="2.1691973969631236E-2"/>
    <n v="0.94577006507592187"/>
    <n v="0.73333333333333328"/>
    <n v="645.25"/>
    <n v="1.4289035257652072"/>
    <n v="1.3333333333333333"/>
    <n v="1.0716776443239056"/>
    <n v="0.94577006507592187"/>
    <n v="0.94885745375408026"/>
    <n v="26.555770065075919"/>
    <n v="5.7355582036598705"/>
    <s v="Medium"/>
    <s v="Normal"/>
  </r>
  <r>
    <n v="596"/>
    <d v="2026-02-09T00:00:00"/>
    <x v="4"/>
    <s v="Plant B"/>
    <x v="2"/>
    <x v="4"/>
    <x v="0"/>
    <x v="0"/>
    <s v="B260209-0596"/>
    <s v="OP131"/>
    <n v="859"/>
    <n v="850"/>
    <n v="798"/>
    <n v="52"/>
    <n v="20"/>
    <n v="0"/>
    <s v="No Downtime"/>
    <n v="42"/>
    <n v="45"/>
    <n v="61.8"/>
    <n v="2.72"/>
    <n v="24.98"/>
    <n v="15203.48"/>
    <n v="9.68"/>
    <s v="Pending"/>
    <n v="12"/>
    <n v="25151.03"/>
    <n v="0.93882352941176495"/>
    <n v="19784.3"/>
    <n v="357.72894117647098"/>
    <n v="601.29999999999995"/>
    <n v="1"/>
    <n v="5009.00105882353"/>
    <n v="0.98952270081490101"/>
    <n v="6.1176470588235297E-2"/>
    <n v="2.3529411764705882E-2"/>
    <n v="0.93882352941176472"/>
    <n v="0"/>
    <n v="601.29999999999995"/>
    <n v="1.4136038583070016"/>
    <n v="1.4285714285714286"/>
    <n v="0.98952270081490112"/>
    <n v="0.93882352941176472"/>
    <n v="0.9289871944121072"/>
    <n v="23.27564705882353"/>
    <n v="5.892942422145329"/>
    <s v="Medium"/>
    <s v="Normal"/>
  </r>
  <r>
    <n v="597"/>
    <d v="2026-02-09T00:00:00"/>
    <x v="4"/>
    <s v="Plant A"/>
    <x v="2"/>
    <x v="9"/>
    <x v="0"/>
    <x v="1"/>
    <s v="B260209-0597"/>
    <s v="OP127"/>
    <n v="849"/>
    <n v="787"/>
    <n v="753"/>
    <n v="34"/>
    <n v="10"/>
    <n v="43"/>
    <s v="Setup Time"/>
    <n v="45"/>
    <n v="47"/>
    <n v="60.7"/>
    <n v="2.48"/>
    <n v="34.119999999999997"/>
    <n v="15882.55"/>
    <n v="7.62"/>
    <s v="Scheduled"/>
    <n v="24"/>
    <n v="27142.17"/>
    <n v="0.956797966963151"/>
    <n v="19618.63"/>
    <n v="201.81130876747099"/>
    <n v="636.75"/>
    <n v="0.93246957204554404"/>
    <n v="7321.7286912325299"/>
    <n v="0.92697290930506482"/>
    <n v="4.3202033036848796E-2"/>
    <n v="1.2706480304955527E-2"/>
    <n v="0.95679796696315123"/>
    <n v="0.71666666666666667"/>
    <n v="593.75"/>
    <n v="1.3254736842105264"/>
    <n v="1.3333333333333333"/>
    <n v="0.99410526315789483"/>
    <n v="0.95679796696315123"/>
    <n v="0.88692579505300395"/>
    <n v="24.928373570520968"/>
    <n v="9.3033401413373955"/>
    <s v="Low"/>
    <s v="Normal"/>
  </r>
  <r>
    <n v="598"/>
    <d v="2026-04-12T00:00:00"/>
    <x v="5"/>
    <s v="Plant A"/>
    <x v="1"/>
    <x v="2"/>
    <x v="2"/>
    <x v="3"/>
    <s v="B260412-0598"/>
    <s v="OP111"/>
    <n v="792"/>
    <n v="717"/>
    <n v="679"/>
    <n v="38"/>
    <n v="11"/>
    <n v="13"/>
    <s v="Machine Breakdown"/>
    <n v="49"/>
    <n v="49"/>
    <n v="72.2"/>
    <n v="2"/>
    <n v="21.9"/>
    <n v="16357.19"/>
    <n v="8.4499999999999993"/>
    <s v="Overdue"/>
    <n v="28"/>
    <n v="25031.17"/>
    <n v="0.947001394700139"/>
    <n v="20356.79"/>
    <n v="250.94712691771301"/>
    <n v="646.79999999999995"/>
    <n v="0.97990105132962302"/>
    <n v="4423.4328730822899"/>
    <n v="0.90530303030303028"/>
    <n v="5.2998605299860529E-2"/>
    <n v="1.5341701534170154E-2"/>
    <n v="0.94700139470013944"/>
    <n v="0.21666666666666667"/>
    <n v="633.79999999999995"/>
    <n v="1.1312716945408647"/>
    <n v="1.2244897959183674"/>
    <n v="0.92387188387503949"/>
    <n v="0.94700139470013944"/>
    <n v="0.8573232323232326"/>
    <n v="28.391617852161787"/>
    <n v="6.169362445024114"/>
    <s v="High"/>
    <s v="Normal"/>
  </r>
  <r>
    <n v="599"/>
    <d v="2026-02-15T00:00:00"/>
    <x v="4"/>
    <s v="Plant A"/>
    <x v="3"/>
    <x v="7"/>
    <x v="2"/>
    <x v="3"/>
    <s v="B260215-0599"/>
    <s v="OP123"/>
    <n v="664"/>
    <n v="567"/>
    <n v="541"/>
    <n v="26"/>
    <n v="7"/>
    <n v="13"/>
    <s v="Machine Breakdown"/>
    <n v="49"/>
    <n v="53"/>
    <n v="71.5"/>
    <n v="2.1800000000000002"/>
    <n v="23.71"/>
    <n v="12613.76"/>
    <n v="7.88"/>
    <s v="Scheduled"/>
    <n v="32"/>
    <n v="20967.27"/>
    <n v="0.95414462081128804"/>
    <n v="16373.15"/>
    <n v="155.725432098765"/>
    <n v="542.26666666666699"/>
    <n v="0.97602655520039305"/>
    <n v="4438.3945679012404"/>
    <n v="0.85391566265060237"/>
    <n v="4.585537918871252E-2"/>
    <n v="1.2345679012345678E-2"/>
    <n v="0.95414462081128748"/>
    <n v="0.21666666666666667"/>
    <n v="529.26666666666699"/>
    <n v="1.0712936138052644"/>
    <n v="1.2244897959183674"/>
    <n v="0.87488978460763256"/>
    <n v="0.95414462081128748"/>
    <n v="0.81475903614457745"/>
    <n v="28.876807760141094"/>
    <n v="7.8278563807782016"/>
    <s v="Medium"/>
    <s v="Warning"/>
  </r>
  <r>
    <n v="600"/>
    <d v="2026-03-14T00:00:00"/>
    <x v="1"/>
    <s v="Plant A"/>
    <x v="0"/>
    <x v="1"/>
    <x v="1"/>
    <x v="3"/>
    <s v="B260314-0600"/>
    <s v="OP133"/>
    <n v="669"/>
    <n v="666"/>
    <n v="630"/>
    <n v="36"/>
    <n v="15"/>
    <n v="23"/>
    <s v="Material Shortage"/>
    <n v="49"/>
    <n v="49"/>
    <n v="74.900000000000006"/>
    <n v="2.5099999999999998"/>
    <n v="22.71"/>
    <n v="15205.21"/>
    <n v="8.5399999999999991"/>
    <s v="Pending"/>
    <n v="16"/>
    <n v="24362.67"/>
    <n v="0.94594594594594605"/>
    <n v="19252.599999999999"/>
    <n v="342.45968468468499"/>
    <n v="546.35"/>
    <n v="0.95790244348860598"/>
    <n v="4767.6103153153199"/>
    <n v="0.99551569506726456"/>
    <n v="5.4054054054054057E-2"/>
    <n v="2.2522522522522521E-2"/>
    <n v="0.94594594594594594"/>
    <n v="0.38333333333333336"/>
    <n v="523.35"/>
    <n v="1.2725709372312983"/>
    <n v="1.2244897959183674"/>
    <n v="1.0392662654055602"/>
    <n v="0.94594594594594594"/>
    <n v="0.94170403587443918"/>
    <n v="28.907807807807806"/>
    <n v="7.1585740470200001"/>
    <s v="Medium"/>
    <s v="Normal"/>
  </r>
  <r>
    <n v="601"/>
    <d v="2026-03-21T00:00:00"/>
    <x v="1"/>
    <s v="Plant B"/>
    <x v="3"/>
    <x v="8"/>
    <x v="1"/>
    <x v="1"/>
    <s v="B260321-0601"/>
    <s v="OP103"/>
    <n v="720"/>
    <n v="619"/>
    <n v="582"/>
    <n v="37"/>
    <n v="11"/>
    <n v="16"/>
    <s v="Setup Time"/>
    <n v="45"/>
    <n v="44"/>
    <n v="68"/>
    <n v="1.89"/>
    <n v="21.79"/>
    <n v="12945.73"/>
    <n v="8.1"/>
    <s v="Pending"/>
    <n v="28"/>
    <n v="20128.669999999998"/>
    <n v="0.94022617124394203"/>
    <n v="16786.84"/>
    <n v="230.05336025848101"/>
    <n v="540"/>
    <n v="0.97037037037036999"/>
    <n v="3111.7766397415198"/>
    <n v="0.85972222222222228"/>
    <n v="5.9773828756058162E-2"/>
    <n v="1.7770597738287562E-2"/>
    <n v="0.94022617124394181"/>
    <n v="0.26666666666666666"/>
    <n v="524"/>
    <n v="1.1812977099236641"/>
    <n v="1.3333333333333333"/>
    <n v="0.88597328244274809"/>
    <n v="0.94022617124394181"/>
    <n v="0.8083333333333329"/>
    <n v="27.119289176090469"/>
    <n v="5.0271028105678832"/>
    <s v="Medium"/>
    <s v="Warning"/>
  </r>
  <r>
    <n v="602"/>
    <d v="2026-02-23T00:00:00"/>
    <x v="4"/>
    <s v="Plant B"/>
    <x v="0"/>
    <x v="1"/>
    <x v="0"/>
    <x v="0"/>
    <s v="B260223-0602"/>
    <s v="OP105"/>
    <n v="745"/>
    <n v="661"/>
    <n v="622"/>
    <n v="39"/>
    <n v="10"/>
    <n v="31"/>
    <s v="Machine Breakdown"/>
    <n v="42"/>
    <n v="43"/>
    <n v="69.3"/>
    <n v="1.69"/>
    <n v="21.14"/>
    <n v="12913.34"/>
    <n v="7.62"/>
    <s v="Completed"/>
    <n v="33"/>
    <n v="20400.2"/>
    <n v="0.940998487140696"/>
    <n v="16532.599999999999"/>
    <n v="195.36066565809401"/>
    <n v="521.5"/>
    <n v="0.94055608820709502"/>
    <n v="3672.2393343419099"/>
    <n v="0.88724832214765104"/>
    <n v="5.9001512859304085E-2"/>
    <n v="1.5128593040847202E-2"/>
    <n v="0.94099848714069589"/>
    <n v="0.51666666666666672"/>
    <n v="490.5"/>
    <n v="1.3476044852191642"/>
    <n v="1.4285714285714286"/>
    <n v="0.94332313965341497"/>
    <n v="0.94099848714069589"/>
    <n v="0.83489932885906049"/>
    <n v="25.011497730711042"/>
    <n v="5.5555814437850373"/>
    <s v="Medium"/>
    <s v="Warning"/>
  </r>
  <r>
    <n v="603"/>
    <d v="2026-05-26T00:00:00"/>
    <x v="3"/>
    <s v="Plant A"/>
    <x v="0"/>
    <x v="3"/>
    <x v="2"/>
    <x v="3"/>
    <s v="B260526-0603"/>
    <s v="OP132"/>
    <n v="791"/>
    <n v="708"/>
    <n v="676"/>
    <n v="32"/>
    <n v="11"/>
    <n v="12"/>
    <s v="Preventive Maintenance"/>
    <n v="49"/>
    <n v="55"/>
    <n v="67.599999999999994"/>
    <n v="1.36"/>
    <n v="27.79"/>
    <n v="14646.56"/>
    <n v="7.87"/>
    <s v="Pending"/>
    <n v="30"/>
    <n v="25689.66"/>
    <n v="0.95480225988700596"/>
    <n v="18438.169999999998"/>
    <n v="227.55954802259899"/>
    <n v="645.98333333333301"/>
    <n v="0.98142366934131398"/>
    <n v="7023.9304519773996"/>
    <n v="0.89506953223767383"/>
    <n v="4.519774011299435E-2"/>
    <n v="1.5536723163841809E-2"/>
    <n v="0.95480225988700562"/>
    <n v="0.2"/>
    <n v="633.98333333333301"/>
    <n v="1.116748600120929"/>
    <n v="1.2244897959183674"/>
    <n v="0.91201135676542533"/>
    <n v="0.95480225988700562"/>
    <n v="0.85461441213653611"/>
    <n v="26.042612994350279"/>
    <n v="9.9208057231319202"/>
    <s v="Medium"/>
    <s v="Normal"/>
  </r>
  <r>
    <n v="604"/>
    <d v="2026-02-24T00:00:00"/>
    <x v="4"/>
    <s v="Plant A"/>
    <x v="4"/>
    <x v="12"/>
    <x v="1"/>
    <x v="1"/>
    <s v="B260224-0604"/>
    <s v="OP133"/>
    <n v="820"/>
    <n v="673"/>
    <n v="572"/>
    <n v="101"/>
    <n v="26"/>
    <n v="67"/>
    <s v="Power Failure"/>
    <n v="45"/>
    <n v="51"/>
    <n v="85"/>
    <n v="3.63"/>
    <n v="26.43"/>
    <n v="14279.66"/>
    <n v="7.19"/>
    <s v="Overdue"/>
    <n v="55"/>
    <n v="20535.37"/>
    <n v="0.84992570579494797"/>
    <n v="17753.03"/>
    <n v="551.66591381872195"/>
    <n v="615"/>
    <n v="0.89105691056910596"/>
    <n v="2230.67408618128"/>
    <n v="0.82073170731707312"/>
    <n v="0.150074294205052"/>
    <n v="3.8632986627043092E-2"/>
    <n v="0.84992570579494797"/>
    <n v="1.1166666666666667"/>
    <n v="548"/>
    <n v="1.2281021897810218"/>
    <n v="1.3333333333333333"/>
    <n v="0.92107664233576636"/>
    <n v="0.84992570579494797"/>
    <n v="0.69756097560975627"/>
    <n v="26.37894502228826"/>
    <n v="3.3145231592589601"/>
    <s v="High"/>
    <s v="Critical"/>
  </r>
  <r>
    <n v="605"/>
    <d v="2026-06-05T00:00:00"/>
    <x v="0"/>
    <s v="Plant A"/>
    <x v="4"/>
    <x v="12"/>
    <x v="0"/>
    <x v="3"/>
    <s v="B260605-0605"/>
    <s v="OP103"/>
    <n v="737"/>
    <n v="682"/>
    <n v="600"/>
    <n v="82"/>
    <n v="26"/>
    <n v="19"/>
    <s v="Machine Breakdown"/>
    <n v="49"/>
    <n v="56"/>
    <n v="80.599999999999994"/>
    <n v="1.9"/>
    <n v="23.84"/>
    <n v="15818.89"/>
    <n v="9.09"/>
    <s v="Scheduled"/>
    <n v="18"/>
    <n v="22534.89"/>
    <n v="0.87976539589442804"/>
    <n v="20123.95"/>
    <n v="603.06618768328497"/>
    <n v="601.88333333333298"/>
    <n v="0.96843242045800704"/>
    <n v="1807.87381231671"/>
    <n v="0.92537313432835822"/>
    <n v="0.12023460410557185"/>
    <n v="3.8123167155425221E-2"/>
    <n v="0.87976539589442815"/>
    <n v="0.31666666666666665"/>
    <n v="582.88333333333298"/>
    <n v="1.1700454636433828"/>
    <n v="1.2244897959183674"/>
    <n v="0.95553712864209595"/>
    <n v="0.87976539589442815"/>
    <n v="0.81411126187245664"/>
    <n v="29.50725806451613"/>
    <n v="2.6508413670332991"/>
    <s v="High"/>
    <s v="Warning"/>
  </r>
  <r>
    <n v="606"/>
    <d v="2026-06-03T00:00:00"/>
    <x v="0"/>
    <s v="Plant A"/>
    <x v="1"/>
    <x v="6"/>
    <x v="0"/>
    <x v="1"/>
    <s v="B260603-0606"/>
    <s v="OP119"/>
    <n v="739"/>
    <n v="775"/>
    <n v="734"/>
    <n v="41"/>
    <n v="11"/>
    <n v="40"/>
    <s v="Quality Inspection"/>
    <n v="45"/>
    <n v="44"/>
    <n v="71.5"/>
    <n v="2.0099999999999998"/>
    <n v="26.34"/>
    <n v="15123.87"/>
    <n v="10.77"/>
    <s v="Pending"/>
    <n v="36"/>
    <n v="25179.83"/>
    <n v="0.94709677419354799"/>
    <n v="20207.43"/>
    <n v="214.66138064516099"/>
    <n v="554.25"/>
    <n v="0.92783040144339202"/>
    <n v="4757.73861935484"/>
    <n v="1.0487144790257104"/>
    <n v="5.2903225806451612E-2"/>
    <n v="1.4193548387096775E-2"/>
    <n v="0.94709677419354843"/>
    <n v="0.66666666666666663"/>
    <n v="514.25"/>
    <n v="1.5070491006319884"/>
    <n v="1.3333333333333333"/>
    <n v="1.1302868254739913"/>
    <n v="0.94709677419354843"/>
    <n v="0.99323410013531821"/>
    <n v="26.074103225806454"/>
    <n v="6.1390175733610839"/>
    <s v="Medium"/>
    <s v="Normal"/>
  </r>
  <r>
    <n v="607"/>
    <d v="2026-03-16T00:00:00"/>
    <x v="1"/>
    <s v="Plant B"/>
    <x v="1"/>
    <x v="5"/>
    <x v="2"/>
    <x v="0"/>
    <s v="B260316-0607"/>
    <s v="OP111"/>
    <n v="905"/>
    <n v="851"/>
    <n v="823"/>
    <n v="28"/>
    <n v="7"/>
    <n v="16"/>
    <s v="Tool Change"/>
    <n v="42"/>
    <n v="45"/>
    <n v="78"/>
    <n v="2.65"/>
    <n v="33.51"/>
    <n v="16583"/>
    <n v="9.77"/>
    <s v="Completed"/>
    <n v="33"/>
    <n v="26259.03"/>
    <n v="0.96709753231492401"/>
    <n v="21281.09"/>
    <n v="136.40540540540499"/>
    <n v="633.5"/>
    <n v="0.97474348855564297"/>
    <n v="4841.5345945945901"/>
    <n v="0.94033149171270713"/>
    <n v="3.2902467685076382E-2"/>
    <n v="8.2256169212690956E-3"/>
    <n v="0.96709753231492357"/>
    <n v="0.26666666666666666"/>
    <n v="617.5"/>
    <n v="1.3781376518218624"/>
    <n v="1.4285714285714286"/>
    <n v="0.9646963562753037"/>
    <n v="0.96709753231492357"/>
    <n v="0.90939226519336991"/>
    <n v="25.007156286721504"/>
    <n v="5.6892298408867097"/>
    <s v="Medium"/>
    <s v="Normal"/>
  </r>
  <r>
    <n v="608"/>
    <d v="2026-02-01T00:00:00"/>
    <x v="4"/>
    <s v="Plant B"/>
    <x v="2"/>
    <x v="4"/>
    <x v="1"/>
    <x v="4"/>
    <s v="B260201-0608"/>
    <s v="OP106"/>
    <n v="611"/>
    <n v="635"/>
    <n v="593"/>
    <n v="42"/>
    <n v="17"/>
    <n v="13"/>
    <s v="Machine Breakdown"/>
    <n v="57"/>
    <n v="62"/>
    <n v="70.3"/>
    <n v="1.1100000000000001"/>
    <n v="25.08"/>
    <n v="16754.830000000002"/>
    <n v="8.66"/>
    <s v="Completed"/>
    <n v="7"/>
    <n v="27588.2"/>
    <n v="0.93385826771653602"/>
    <n v="20877.55"/>
    <n v="448.55450393700801"/>
    <n v="580.45000000000005"/>
    <n v="0.97760358342665199"/>
    <n v="6262.0954960629897"/>
    <n v="1.039279869067103"/>
    <n v="6.6141732283464566E-2"/>
    <n v="2.6771653543307086E-2"/>
    <n v="0.93385826771653546"/>
    <n v="0.21666666666666667"/>
    <n v="567.45000000000005"/>
    <n v="1.1190413252268923"/>
    <n v="1.0526315789473684"/>
    <n v="1.0630892589655476"/>
    <n v="0.93385826771653546"/>
    <n v="0.97054009819967302"/>
    <n v="32.878031496062988"/>
    <n v="9.8615677103354162"/>
    <s v="Low"/>
    <s v="Normal"/>
  </r>
  <r>
    <n v="609"/>
    <d v="2026-02-19T00:00:00"/>
    <x v="4"/>
    <s v="Plant B"/>
    <x v="4"/>
    <x v="14"/>
    <x v="0"/>
    <x v="3"/>
    <s v="B260219-0609"/>
    <s v="OP128"/>
    <n v="673"/>
    <n v="637"/>
    <n v="580"/>
    <n v="57"/>
    <n v="22"/>
    <n v="8"/>
    <s v="Machine Breakdown"/>
    <n v="49"/>
    <n v="51"/>
    <n v="72.7"/>
    <n v="1.73"/>
    <n v="26.1"/>
    <n v="14110.63"/>
    <n v="8.24"/>
    <s v="Completed"/>
    <n v="25"/>
    <n v="21866.59"/>
    <n v="0.91051805337519598"/>
    <n v="18053.53"/>
    <n v="487.33729984301402"/>
    <n v="549.61666666666702"/>
    <n v="0.98544440064287198"/>
    <n v="3325.72270015699"/>
    <n v="0.94650817236255569"/>
    <n v="8.9481946624803771E-2"/>
    <n v="3.453689167974882E-2"/>
    <n v="0.9105180533751962"/>
    <n v="0.13333333333333333"/>
    <n v="541.61666666666702"/>
    <n v="1.1761085638674331"/>
    <n v="1.2244897959183674"/>
    <n v="0.96048866049173698"/>
    <n v="0.9105180533751962"/>
    <n v="0.86181277860326799"/>
    <n v="28.341491365777078"/>
    <n v="5.2209147569183516"/>
    <s v="Medium"/>
    <s v="Warning"/>
  </r>
  <r>
    <n v="610"/>
    <d v="2026-01-11T00:00:00"/>
    <x v="2"/>
    <s v="Plant A"/>
    <x v="1"/>
    <x v="5"/>
    <x v="0"/>
    <x v="3"/>
    <s v="B260111-0610"/>
    <s v="OP124"/>
    <n v="793"/>
    <n v="721"/>
    <n v="695"/>
    <n v="26"/>
    <n v="5"/>
    <n v="41"/>
    <s v="Setup Time"/>
    <n v="49"/>
    <n v="48"/>
    <n v="75.7"/>
    <n v="1.53"/>
    <n v="23.71"/>
    <n v="16806.36"/>
    <n v="8.7200000000000006"/>
    <s v="Completed"/>
    <n v="1"/>
    <n v="26607.99"/>
    <n v="0.96393897364771197"/>
    <n v="20943.75"/>
    <n v="116.548959778086"/>
    <n v="647.61666666666702"/>
    <n v="0.93669094371670503"/>
    <n v="5547.69104022192"/>
    <n v="0.90920554854981084"/>
    <n v="3.6061026352288486E-2"/>
    <n v="6.9348127600554789E-3"/>
    <n v="0.96393897364771153"/>
    <n v="0.68333333333333335"/>
    <n v="606.61666666666702"/>
    <n v="1.188559496661812"/>
    <n v="1.2244897959183674"/>
    <n v="0.97065692227381317"/>
    <n v="0.96393897364771153"/>
    <n v="0.87641866330390894"/>
    <n v="29.048196948682385"/>
    <n v="7.6944397229152841"/>
    <s v="Low"/>
    <s v="Normal"/>
  </r>
  <r>
    <n v="611"/>
    <d v="2026-01-09T00:00:00"/>
    <x v="2"/>
    <s v="Plant B"/>
    <x v="3"/>
    <x v="7"/>
    <x v="1"/>
    <x v="3"/>
    <s v="B260109-0611"/>
    <s v="OP103"/>
    <n v="674"/>
    <n v="522"/>
    <n v="503"/>
    <n v="19"/>
    <n v="6"/>
    <n v="60"/>
    <s v="Machine Breakdown"/>
    <n v="49"/>
    <n v="49"/>
    <n v="74"/>
    <n v="1.81"/>
    <n v="17.97"/>
    <n v="11208.14"/>
    <n v="5.63"/>
    <s v="Overdue"/>
    <n v="14"/>
    <n v="18916.46"/>
    <n v="0.96360153256704995"/>
    <n v="13903.37"/>
    <n v="128.82919540229901"/>
    <n v="550.43333333333305"/>
    <n v="0.89099497365711899"/>
    <n v="4884.2608045977004"/>
    <n v="0.77448071216617209"/>
    <n v="3.6398467432950193E-2"/>
    <n v="1.1494252873563218E-2"/>
    <n v="0.96360153256704983"/>
    <n v="1"/>
    <n v="490.43333333333305"/>
    <n v="1.0643648474138523"/>
    <n v="1.2244897959183674"/>
    <n v="0.869231292054646"/>
    <n v="0.96360153256704983"/>
    <n v="0.74629080118694435"/>
    <n v="26.634808429118774"/>
    <n v="9.3568214647465524"/>
    <s v="High"/>
    <s v="Critical"/>
  </r>
  <r>
    <n v="612"/>
    <d v="2026-01-24T00:00:00"/>
    <x v="2"/>
    <s v="Plant A"/>
    <x v="2"/>
    <x v="9"/>
    <x v="1"/>
    <x v="0"/>
    <s v="B260124-0612"/>
    <s v="OP108"/>
    <n v="768"/>
    <n v="753"/>
    <n v="726"/>
    <n v="27"/>
    <n v="7"/>
    <n v="25"/>
    <s v="Machine Breakdown"/>
    <n v="42"/>
    <n v="44"/>
    <n v="70.2"/>
    <n v="1.96"/>
    <n v="30.16"/>
    <n v="14620.85"/>
    <n v="7.32"/>
    <s v="Pending"/>
    <n v="34"/>
    <n v="23838.65"/>
    <n v="0.96414342629482097"/>
    <n v="18186.29"/>
    <n v="135.91759628154099"/>
    <n v="537.6"/>
    <n v="0.95349702380952395"/>
    <n v="5516.4424037184599"/>
    <n v="0.98046875"/>
    <n v="3.5856573705179286E-2"/>
    <n v="9.2961487383798145E-3"/>
    <n v="0.96414342629482075"/>
    <n v="0.41666666666666669"/>
    <n v="512.6"/>
    <n v="1.4689816621147092"/>
    <n v="1.4285714285714286"/>
    <n v="1.0282871634802964"/>
    <n v="0.96414342629482075"/>
    <n v="0.9453125"/>
    <n v="24.151779548472778"/>
    <n v="7.3259527273817531"/>
    <s v="Medium"/>
    <s v="Normal"/>
  </r>
  <r>
    <n v="613"/>
    <d v="2026-06-26T00:00:00"/>
    <x v="0"/>
    <s v="Plant B"/>
    <x v="2"/>
    <x v="9"/>
    <x v="0"/>
    <x v="2"/>
    <s v="B260626-0613"/>
    <s v="OP103"/>
    <n v="529"/>
    <n v="609"/>
    <n v="577"/>
    <n v="32"/>
    <n v="9"/>
    <n v="32"/>
    <s v="Material Shortage"/>
    <n v="64"/>
    <n v="62"/>
    <n v="77.099999999999994"/>
    <n v="1.87"/>
    <n v="21.72"/>
    <n v="18344.990000000002"/>
    <n v="10.53"/>
    <s v="Scheduled"/>
    <n v="8"/>
    <n v="30533.46"/>
    <n v="0.94745484400656799"/>
    <n v="23278.97"/>
    <n v="271.10822660098501"/>
    <n v="564.26666666666699"/>
    <n v="0.94328922495274103"/>
    <n v="6983.3817733990099"/>
    <n v="1.1512287334593572"/>
    <n v="5.2545155993431854E-2"/>
    <n v="1.4778325123152709E-2"/>
    <n v="0.9474548440065681"/>
    <n v="0.53333333333333333"/>
    <n v="532.26666666666699"/>
    <n v="1.144163326653306"/>
    <n v="0.9375"/>
    <n v="1.2204408817635264"/>
    <n v="0.9474548440065681"/>
    <n v="1.0907372400756137"/>
    <n v="38.224909688013135"/>
    <n v="11.466965145154369"/>
    <s v="Low"/>
    <s v="Normal"/>
  </r>
  <r>
    <n v="614"/>
    <d v="2026-01-21T00:00:00"/>
    <x v="2"/>
    <s v="Plant B"/>
    <x v="3"/>
    <x v="8"/>
    <x v="1"/>
    <x v="4"/>
    <s v="B260121-0614"/>
    <s v="OP107"/>
    <n v="681"/>
    <n v="695"/>
    <n v="648"/>
    <n v="47"/>
    <n v="11"/>
    <n v="0"/>
    <s v="No Downtime"/>
    <n v="57"/>
    <n v="56"/>
    <n v="71.3"/>
    <n v="1.26"/>
    <n v="23.15"/>
    <n v="19972.73"/>
    <n v="9.2899999999999991"/>
    <s v="Scheduled"/>
    <n v="20"/>
    <n v="30419.37"/>
    <n v="0.93237410071942495"/>
    <n v="24361.58"/>
    <n v="316.11515107913698"/>
    <n v="646.95000000000005"/>
    <n v="1"/>
    <n v="5741.6748489208603"/>
    <n v="1.0205580029368575"/>
    <n v="6.7625899280575538E-2"/>
    <n v="1.5827338129496403E-2"/>
    <n v="0.9323741007194245"/>
    <n v="0"/>
    <n v="646.95000000000005"/>
    <n v="1.0742715820387974"/>
    <n v="1.0526315789473684"/>
    <n v="1.0205580029368575"/>
    <n v="0.9323741007194245"/>
    <n v="0.95154185022026427"/>
    <n v="35.052633093525181"/>
    <n v="8.2614026603177848"/>
    <s v="Low"/>
    <s v="Normal"/>
  </r>
  <r>
    <n v="615"/>
    <d v="2026-05-07T00:00:00"/>
    <x v="3"/>
    <s v="Plant A"/>
    <x v="0"/>
    <x v="1"/>
    <x v="0"/>
    <x v="1"/>
    <s v="B260507-0615"/>
    <s v="OP113"/>
    <n v="950"/>
    <n v="849"/>
    <n v="807"/>
    <n v="42"/>
    <n v="14"/>
    <n v="64"/>
    <s v="Power Failure"/>
    <n v="45"/>
    <n v="47"/>
    <n v="78.900000000000006"/>
    <n v="2.61"/>
    <n v="26.32"/>
    <n v="17594.009999999998"/>
    <n v="8.64"/>
    <s v="Overdue"/>
    <n v="45"/>
    <n v="28374.84"/>
    <n v="0.95053003533568903"/>
    <n v="21718.89"/>
    <n v="290.12501766784499"/>
    <n v="712.5"/>
    <n v="0.91017543859649097"/>
    <n v="6365.8249823321603"/>
    <n v="0.89368421052631575"/>
    <n v="4.9469964664310952E-2"/>
    <n v="1.6489988221436984E-2"/>
    <n v="0.95053003533568903"/>
    <n v="1.0666666666666667"/>
    <n v="648.5"/>
    <n v="1.3091750192752505"/>
    <n v="1.3333333333333333"/>
    <n v="0.98188126445643786"/>
    <n v="0.95053003533568903"/>
    <n v="0.84947368421052605"/>
    <n v="25.58173144876325"/>
    <n v="7.4980270698847589"/>
    <s v="High"/>
    <s v="Warning"/>
  </r>
  <r>
    <n v="616"/>
    <d v="2026-06-14T00:00:00"/>
    <x v="0"/>
    <s v="Plant A"/>
    <x v="3"/>
    <x v="8"/>
    <x v="1"/>
    <x v="0"/>
    <s v="B260614-0616"/>
    <s v="OP116"/>
    <n v="743"/>
    <n v="702"/>
    <n v="654"/>
    <n v="48"/>
    <n v="18"/>
    <n v="19"/>
    <s v="Machine Breakdown"/>
    <n v="42"/>
    <n v="46"/>
    <n v="65.5"/>
    <n v="1.79"/>
    <n v="20.53"/>
    <n v="12529.34"/>
    <n v="7.25"/>
    <s v="Scheduled"/>
    <n v="11"/>
    <n v="21286.62"/>
    <n v="0.93162393162393198"/>
    <n v="15976.61"/>
    <n v="321.26512820512801"/>
    <n v="520.1"/>
    <n v="0.96346856373774303"/>
    <n v="4988.7448717948701"/>
    <n v="0.94481830417227453"/>
    <n v="6.8376068376068383E-2"/>
    <n v="2.564102564102564E-2"/>
    <n v="0.93162393162393164"/>
    <n v="0.31666666666666665"/>
    <n v="501.1"/>
    <n v="1.4009179804430252"/>
    <n v="1.4285714285714286"/>
    <n v="0.98064258631011758"/>
    <n v="0.93162393162393164"/>
    <n v="0.88021534320323036"/>
    <n v="22.758703703703706"/>
    <n v="7.1064741763459685"/>
    <s v="Low"/>
    <s v="Normal"/>
  </r>
  <r>
    <n v="617"/>
    <d v="2026-04-05T00:00:00"/>
    <x v="5"/>
    <s v="Plant B"/>
    <x v="1"/>
    <x v="2"/>
    <x v="1"/>
    <x v="1"/>
    <s v="B260405-0617"/>
    <s v="OP129"/>
    <n v="783"/>
    <n v="828"/>
    <n v="798"/>
    <n v="30"/>
    <n v="5"/>
    <n v="34"/>
    <s v="Machine Breakdown"/>
    <n v="45"/>
    <n v="47"/>
    <n v="70.8"/>
    <n v="1.69"/>
    <n v="29.45"/>
    <n v="17766.22"/>
    <n v="7.82"/>
    <s v="Scheduled"/>
    <n v="31"/>
    <n v="27576.53"/>
    <n v="0.96376811594202905"/>
    <n v="21550.27"/>
    <n v="107.283937198068"/>
    <n v="587.25"/>
    <n v="0.94210302256279299"/>
    <n v="5918.9760628019303"/>
    <n v="1.0574712643678161"/>
    <n v="3.6231884057971016E-2"/>
    <n v="6.038647342995169E-3"/>
    <n v="0.96376811594202894"/>
    <n v="0.56666666666666665"/>
    <n v="553.25"/>
    <n v="1.4966109353818347"/>
    <n v="1.3333333333333333"/>
    <n v="1.122458201536376"/>
    <n v="0.96376811594202894"/>
    <n v="1.0191570881226057"/>
    <n v="26.026896135265702"/>
    <n v="7.1485218149781771"/>
    <s v="Medium"/>
    <s v="Normal"/>
  </r>
  <r>
    <n v="618"/>
    <d v="2026-04-16T00:00:00"/>
    <x v="5"/>
    <s v="Plant A"/>
    <x v="4"/>
    <x v="14"/>
    <x v="0"/>
    <x v="0"/>
    <s v="B260416-0618"/>
    <s v="OP101"/>
    <n v="962"/>
    <n v="966"/>
    <n v="881"/>
    <n v="85"/>
    <n v="21"/>
    <n v="0"/>
    <s v="No Downtime"/>
    <n v="42"/>
    <n v="42"/>
    <n v="68.599999999999994"/>
    <n v="1.74"/>
    <n v="33.04"/>
    <n v="17142.849999999999"/>
    <n v="7.96"/>
    <s v="Overdue"/>
    <n v="24"/>
    <n v="27375.24"/>
    <n v="0.912008281573499"/>
    <n v="21022.21"/>
    <n v="372.67065217391303"/>
    <n v="673.4"/>
    <n v="1"/>
    <n v="5980.35934782609"/>
    <n v="1.004158004158004"/>
    <n v="8.7991718426501039E-2"/>
    <n v="2.1739130434782608E-2"/>
    <n v="0.912008281573499"/>
    <n v="0"/>
    <n v="673.4"/>
    <n v="1.4345114345114345"/>
    <n v="1.4285714285714286"/>
    <n v="1.004158004158004"/>
    <n v="0.912008281573499"/>
    <n v="0.91580041580041571"/>
    <n v="21.762122153209109"/>
    <n v="6.1908481861553728"/>
    <s v="High"/>
    <s v="Warning"/>
  </r>
  <r>
    <n v="619"/>
    <d v="2026-03-02T00:00:00"/>
    <x v="1"/>
    <s v="Plant B"/>
    <x v="1"/>
    <x v="5"/>
    <x v="2"/>
    <x v="4"/>
    <s v="B260302-0619"/>
    <s v="OP110"/>
    <n v="548"/>
    <n v="450"/>
    <n v="427"/>
    <n v="23"/>
    <n v="5"/>
    <n v="28"/>
    <s v="Machine Breakdown"/>
    <n v="57"/>
    <n v="63"/>
    <n v="71.599999999999994"/>
    <n v="1.9"/>
    <n v="19.12"/>
    <n v="11995.28"/>
    <n v="8.51"/>
    <s v="Pending"/>
    <n v="17"/>
    <n v="20061.38"/>
    <n v="0.948888888888889"/>
    <n v="15996.86"/>
    <n v="133.280888888889"/>
    <n v="520.6"/>
    <n v="0.94621590472531703"/>
    <n v="3931.2391111111101"/>
    <n v="0.82116788321167888"/>
    <n v="5.1111111111111114E-2"/>
    <n v="1.1111111111111112E-2"/>
    <n v="0.94888888888888889"/>
    <n v="0.46666666666666667"/>
    <n v="492.6"/>
    <n v="0.91352009744214369"/>
    <n v="1.0526315789473684"/>
    <n v="0.86784409257003658"/>
    <n v="0.94888888888888889"/>
    <n v="0.77919708029197099"/>
    <n v="35.54857777777778"/>
    <n v="8.7360869135802446"/>
    <s v="High"/>
    <s v="Warning"/>
  </r>
  <r>
    <n v="620"/>
    <d v="2026-05-28T00:00:00"/>
    <x v="3"/>
    <s v="Plant A"/>
    <x v="1"/>
    <x v="6"/>
    <x v="0"/>
    <x v="2"/>
    <s v="B260528-0620"/>
    <s v="OP121"/>
    <n v="646"/>
    <n v="701"/>
    <n v="660"/>
    <n v="41"/>
    <n v="15"/>
    <n v="0"/>
    <s v="No Downtime"/>
    <n v="64"/>
    <n v="61"/>
    <n v="72.8"/>
    <n v="2.27"/>
    <n v="21.92"/>
    <n v="21955.77"/>
    <n v="10.06"/>
    <s v="Pending"/>
    <n v="26"/>
    <n v="35268.58"/>
    <n v="0.94151212553495001"/>
    <n v="26680.05"/>
    <n v="469.80962910128397"/>
    <n v="689.06666666666695"/>
    <n v="1"/>
    <n v="8118.7203708987199"/>
    <n v="1.085139318885449"/>
    <n v="5.8487874465049931E-2"/>
    <n v="2.1398002853067047E-2"/>
    <n v="0.94151212553495012"/>
    <n v="0"/>
    <n v="689.06666666666695"/>
    <n v="1.017318111455108"/>
    <n v="0.9375"/>
    <n v="1.0851393188854486"/>
    <n v="0.94151212553495012"/>
    <n v="1.0216718266253868"/>
    <n v="38.059985734664764"/>
    <n v="11.581626777316291"/>
    <s v="Medium"/>
    <s v="Normal"/>
  </r>
  <r>
    <n v="621"/>
    <d v="2026-05-25T00:00:00"/>
    <x v="3"/>
    <s v="Plant B"/>
    <x v="0"/>
    <x v="1"/>
    <x v="1"/>
    <x v="0"/>
    <s v="B260525-0621"/>
    <s v="OP116"/>
    <n v="886"/>
    <n v="777"/>
    <n v="726"/>
    <n v="51"/>
    <n v="11"/>
    <n v="37"/>
    <s v="Material Shortage"/>
    <n v="42"/>
    <n v="42"/>
    <n v="84.4"/>
    <n v="2.25"/>
    <n v="27.26"/>
    <n v="14317.72"/>
    <n v="7.86"/>
    <s v="Scheduled"/>
    <n v="17"/>
    <n v="22678.080000000002"/>
    <n v="0.93436293436293405"/>
    <n v="18100.060000000001"/>
    <n v="202.696164736165"/>
    <n v="620.20000000000005"/>
    <n v="0.94034182521767196"/>
    <n v="4375.32383526384"/>
    <n v="0.87697516930022579"/>
    <n v="6.5637065637065631E-2"/>
    <n v="1.4157014157014158E-2"/>
    <n v="0.93436293436293438"/>
    <n v="0.6166666666666667"/>
    <n v="583.20000000000005"/>
    <n v="1.332304526748971"/>
    <n v="1.4285714285714286"/>
    <n v="0.93261316872427968"/>
    <n v="0.93436293436293438"/>
    <n v="0.81941309255079009"/>
    <n v="23.294800514800517"/>
    <n v="5.6310474070319687"/>
    <s v="Medium"/>
    <s v="Warning"/>
  </r>
  <r>
    <n v="622"/>
    <d v="2026-05-21T00:00:00"/>
    <x v="3"/>
    <s v="Plant B"/>
    <x v="3"/>
    <x v="8"/>
    <x v="1"/>
    <x v="0"/>
    <s v="B260521-0622"/>
    <s v="OP107"/>
    <n v="738"/>
    <n v="621"/>
    <n v="586"/>
    <n v="35"/>
    <n v="14"/>
    <n v="37"/>
    <s v="Setup Time"/>
    <n v="42"/>
    <n v="44"/>
    <n v="80.099999999999994"/>
    <n v="1.48"/>
    <n v="23.76"/>
    <n v="11144.28"/>
    <n v="7.72"/>
    <s v="Pending"/>
    <n v="24"/>
    <n v="19245.11"/>
    <n v="0.94363929146537795"/>
    <n v="14832.12"/>
    <n v="251.239806763285"/>
    <n v="516.6"/>
    <n v="0.92837785520712401"/>
    <n v="4161.7501932367204"/>
    <n v="0.84146341463414631"/>
    <n v="5.6360708534621579E-2"/>
    <n v="2.2544283413848631E-2"/>
    <n v="0.94363929146537839"/>
    <n v="0.6166666666666667"/>
    <n v="479.6"/>
    <n v="1.2948290241868223"/>
    <n v="1.4285714285714286"/>
    <n v="0.90638031693077559"/>
    <n v="0.94363929146537839"/>
    <n v="0.79403794037940412"/>
    <n v="23.88425120772947"/>
    <n v="6.7016911324262809"/>
    <s v="High"/>
    <s v="Warning"/>
  </r>
  <r>
    <n v="623"/>
    <d v="2026-03-03T00:00:00"/>
    <x v="1"/>
    <s v="Plant A"/>
    <x v="1"/>
    <x v="6"/>
    <x v="0"/>
    <x v="0"/>
    <s v="B260303-0623"/>
    <s v="OP101"/>
    <n v="970"/>
    <n v="977"/>
    <n v="927"/>
    <n v="50"/>
    <n v="13"/>
    <n v="37"/>
    <s v="Material Shortage"/>
    <n v="42"/>
    <n v="41"/>
    <n v="66.3"/>
    <n v="1.99"/>
    <n v="35.43"/>
    <n v="17048.37"/>
    <n v="7.58"/>
    <s v="Pending"/>
    <n v="26"/>
    <n v="28812.1"/>
    <n v="0.948822927328557"/>
    <n v="20778.240000000002"/>
    <n v="226.84627430910999"/>
    <n v="679"/>
    <n v="0.94550810014727504"/>
    <n v="7807.0137256908902"/>
    <n v="1.0072164948453608"/>
    <n v="5.1177072671443197E-2"/>
    <n v="1.3306038894575231E-2"/>
    <n v="0.94882292732855678"/>
    <n v="0.6166666666666667"/>
    <n v="642"/>
    <n v="1.5218068535825544"/>
    <n v="1.4285714285714286"/>
    <n v="1.065264797507788"/>
    <n v="0.94882292732855678"/>
    <n v="0.955670103092783"/>
    <n v="21.26738996929376"/>
    <n v="7.9908021757327434"/>
    <s v="Medium"/>
    <s v="Normal"/>
  </r>
  <r>
    <n v="624"/>
    <d v="2026-03-12T00:00:00"/>
    <x v="1"/>
    <s v="Plant A"/>
    <x v="3"/>
    <x v="8"/>
    <x v="0"/>
    <x v="0"/>
    <s v="B260312-0624"/>
    <s v="OP112"/>
    <n v="820"/>
    <n v="841"/>
    <n v="783"/>
    <n v="58"/>
    <n v="21"/>
    <n v="31"/>
    <s v="Machine Breakdown"/>
    <n v="42"/>
    <n v="43"/>
    <n v="71.099999999999994"/>
    <n v="2.0099999999999998"/>
    <n v="29.58"/>
    <n v="16045.97"/>
    <n v="10.210000000000001"/>
    <s v="Scheduled"/>
    <n v="36"/>
    <n v="25338.51"/>
    <n v="0.931034482758621"/>
    <n v="20906.689999999999"/>
    <n v="400.67225921521998"/>
    <n v="574"/>
    <n v="0.94599303135888502"/>
    <n v="4031.1477407847801"/>
    <n v="1.025609756097561"/>
    <n v="6.8965517241379309E-2"/>
    <n v="2.4970273483947682E-2"/>
    <n v="0.93103448275862066"/>
    <n v="0.51666666666666672"/>
    <n v="543"/>
    <n v="1.5488029465930018"/>
    <n v="1.4285714285714286"/>
    <n v="1.0841620626151012"/>
    <n v="0.93103448275862066"/>
    <n v="0.95487804878048754"/>
    <n v="24.859322235434007"/>
    <n v="4.7932791210282764"/>
    <s v="Medium"/>
    <s v="Normal"/>
  </r>
  <r>
    <n v="625"/>
    <d v="2026-02-10T00:00:00"/>
    <x v="4"/>
    <s v="Plant B"/>
    <x v="1"/>
    <x v="5"/>
    <x v="0"/>
    <x v="0"/>
    <s v="B260210-0625"/>
    <s v="OP112"/>
    <n v="935"/>
    <n v="933"/>
    <n v="900"/>
    <n v="33"/>
    <n v="11"/>
    <n v="8"/>
    <s v="Machine Breakdown"/>
    <n v="42"/>
    <n v="41"/>
    <n v="81.099999999999994"/>
    <n v="1.98"/>
    <n v="38.22"/>
    <n v="18086.88"/>
    <n v="10.199999999999999"/>
    <s v="Overdue"/>
    <n v="24"/>
    <n v="29467.68"/>
    <n v="0.96463022508038598"/>
    <n v="23020.86"/>
    <n v="213.24295819935699"/>
    <n v="654.5"/>
    <n v="0.98777692895339997"/>
    <n v="6233.5770418006396"/>
    <n v="0.99786096256684487"/>
    <n v="3.5369774919614148E-2"/>
    <n v="1.1789924973204717E-2"/>
    <n v="0.96463022508038587"/>
    <n v="0.13333333333333333"/>
    <n v="646.5"/>
    <n v="1.4431554524361949"/>
    <n v="1.4285714285714286"/>
    <n v="1.0102088167053365"/>
    <n v="0.96463022508038587"/>
    <n v="0.96256684491978661"/>
    <n v="24.674019292604502"/>
    <n v="6.6812186943200853"/>
    <s v="High"/>
    <s v="Warning"/>
  </r>
  <r>
    <n v="626"/>
    <d v="2026-02-10T00:00:00"/>
    <x v="4"/>
    <s v="Plant A"/>
    <x v="1"/>
    <x v="2"/>
    <x v="0"/>
    <x v="1"/>
    <s v="B260210-0626"/>
    <s v="OP129"/>
    <n v="822"/>
    <n v="815"/>
    <n v="782"/>
    <n v="33"/>
    <n v="12"/>
    <n v="0"/>
    <s v="No Downtime"/>
    <n v="45"/>
    <n v="48"/>
    <n v="73.7"/>
    <n v="1.8"/>
    <n v="27.75"/>
    <n v="16870.7"/>
    <n v="9.75"/>
    <s v="Completed"/>
    <n v="38"/>
    <n v="26637.24"/>
    <n v="0.95950920245398796"/>
    <n v="21507.95"/>
    <n v="248.40294478527599"/>
    <n v="616.5"/>
    <n v="1"/>
    <n v="4880.88705521473"/>
    <n v="0.9914841849148418"/>
    <n v="4.0490797546012272E-2"/>
    <n v="1.4723926380368098E-2"/>
    <n v="0.95950920245398774"/>
    <n v="0"/>
    <n v="616.5"/>
    <n v="1.3219789132197892"/>
    <n v="1.3333333333333333"/>
    <n v="0.99148418491484192"/>
    <n v="0.95950920245398774"/>
    <n v="0.95133819951338205"/>
    <n v="26.390122699386502"/>
    <n v="5.9888184726561109"/>
    <s v="Medium"/>
    <s v="Normal"/>
  </r>
  <r>
    <n v="627"/>
    <d v="2026-06-29T00:00:00"/>
    <x v="0"/>
    <s v="Plant A"/>
    <x v="2"/>
    <x v="10"/>
    <x v="0"/>
    <x v="4"/>
    <s v="B260629-0627"/>
    <s v="OP109"/>
    <n v="533"/>
    <n v="480"/>
    <n v="436"/>
    <n v="44"/>
    <n v="14"/>
    <n v="22"/>
    <s v="Setup Time"/>
    <n v="57"/>
    <n v="61"/>
    <n v="65.5"/>
    <n v="2.17"/>
    <n v="16.12"/>
    <n v="12623.71"/>
    <n v="7.01"/>
    <s v="Completed"/>
    <n v="15"/>
    <n v="20477.47"/>
    <n v="0.90833333333333299"/>
    <n v="15923.29"/>
    <n v="368.19154166666698"/>
    <n v="506.35"/>
    <n v="0.95655179223857001"/>
    <n v="4185.9884583333396"/>
    <n v="0.90056285178236395"/>
    <n v="9.166666666666666E-2"/>
    <n v="2.9166666666666667E-2"/>
    <n v="0.90833333333333333"/>
    <n v="0.36666666666666664"/>
    <n v="484.35"/>
    <n v="0.99101889129761533"/>
    <n v="1.0526315789473684"/>
    <n v="0.9414679467327346"/>
    <n v="0.90833333333333333"/>
    <n v="0.81801125703564714"/>
    <n v="33.173520833333335"/>
    <n v="8.7208092881944577"/>
    <s v="Medium"/>
    <s v="Warning"/>
  </r>
  <r>
    <n v="628"/>
    <d v="2026-02-22T00:00:00"/>
    <x v="4"/>
    <s v="Plant A"/>
    <x v="3"/>
    <x v="11"/>
    <x v="1"/>
    <x v="4"/>
    <s v="B260222-0628"/>
    <s v="OP129"/>
    <n v="538"/>
    <n v="479"/>
    <n v="448"/>
    <n v="31"/>
    <n v="6"/>
    <n v="25"/>
    <s v="Power Failure"/>
    <n v="57"/>
    <n v="60"/>
    <n v="76.5"/>
    <n v="2.09"/>
    <n v="15.12"/>
    <n v="12420.41"/>
    <n v="8.7899999999999991"/>
    <s v="Completed"/>
    <n v="39"/>
    <n v="20388.52"/>
    <n v="0.93528183716075197"/>
    <n v="16511.990000000002"/>
    <n v="155.579248434238"/>
    <n v="511.1"/>
    <n v="0.95108589317159098"/>
    <n v="3720.9507515657601"/>
    <n v="0.89033457249070636"/>
    <n v="6.471816283924843E-2"/>
    <n v="1.2526096033402923E-2"/>
    <n v="0.93528183716075153"/>
    <n v="0.41666666666666669"/>
    <n v="486.1"/>
    <n v="0.98539395186175682"/>
    <n v="1.0526315789473684"/>
    <n v="0.93612425426866908"/>
    <n v="0.93528183716075153"/>
    <n v="0.8327137546468405"/>
    <n v="34.471795407098128"/>
    <n v="7.7681644082792491"/>
    <s v="Medium"/>
    <s v="Warning"/>
  </r>
  <r>
    <n v="629"/>
    <d v="2026-06-13T00:00:00"/>
    <x v="0"/>
    <s v="Plant A"/>
    <x v="0"/>
    <x v="0"/>
    <x v="0"/>
    <x v="2"/>
    <s v="B260613-0629"/>
    <s v="OP107"/>
    <n v="562"/>
    <n v="560"/>
    <n v="529"/>
    <n v="31"/>
    <n v="11"/>
    <n v="17"/>
    <s v="Operator Issue"/>
    <n v="64"/>
    <n v="68"/>
    <n v="67.099999999999994"/>
    <n v="2.44"/>
    <n v="20.14"/>
    <n v="16926.98"/>
    <n v="7.7"/>
    <s v="Completed"/>
    <n v="12"/>
    <n v="26926.94"/>
    <n v="0.94464285714285701"/>
    <n v="20573.240000000002"/>
    <n v="332.49425000000002"/>
    <n v="599.46666666666704"/>
    <n v="0.97164145907473298"/>
    <n v="6021.2057500000001"/>
    <n v="0.99644128113879005"/>
    <n v="5.5357142857142855E-2"/>
    <n v="1.9642857142857142E-2"/>
    <n v="0.94464285714285712"/>
    <n v="0.28333333333333333"/>
    <n v="582.46666666666704"/>
    <n v="0.96142840792033812"/>
    <n v="0.9375"/>
    <n v="1.0255236351150274"/>
    <n v="0.94464285714285712"/>
    <n v="0.94128113879003483"/>
    <n v="36.737928571428576"/>
    <n v="10.752153125"/>
    <s v="Low"/>
    <s v="Normal"/>
  </r>
  <r>
    <n v="630"/>
    <d v="2026-06-21T00:00:00"/>
    <x v="0"/>
    <s v="Plant B"/>
    <x v="4"/>
    <x v="13"/>
    <x v="1"/>
    <x v="1"/>
    <s v="B260621-0630"/>
    <s v="OP110"/>
    <n v="769"/>
    <n v="770"/>
    <n v="735"/>
    <n v="35"/>
    <n v="11"/>
    <n v="16"/>
    <s v="Machine Breakdown"/>
    <n v="45"/>
    <n v="46"/>
    <n v="77.2"/>
    <n v="2.19"/>
    <n v="22.32"/>
    <n v="15303.14"/>
    <n v="8.35"/>
    <s v="Completed"/>
    <n v="23"/>
    <n v="25511.17"/>
    <n v="0.95454545454545503"/>
    <n v="19261.52"/>
    <n v="218.61628571428599"/>
    <n v="576.75"/>
    <n v="0.97225834416991797"/>
    <n v="6031.0337142857097"/>
    <n v="1.0013003901170352"/>
    <n v="4.5454545454545456E-2"/>
    <n v="1.4285714285714285E-2"/>
    <n v="0.95454545454545459"/>
    <n v="0.26666666666666666"/>
    <n v="560.75"/>
    <n v="1.3731609451627285"/>
    <n v="1.3333333333333333"/>
    <n v="1.0298707088720465"/>
    <n v="0.95454545454545459"/>
    <n v="0.95578673602080677"/>
    <n v="25.01496103896104"/>
    <n v="7.832511317254168"/>
    <s v="Low"/>
    <s v="Normal"/>
  </r>
  <r>
    <n v="631"/>
    <d v="2026-05-13T00:00:00"/>
    <x v="3"/>
    <s v="Plant B"/>
    <x v="2"/>
    <x v="4"/>
    <x v="0"/>
    <x v="4"/>
    <s v="B260513-0631"/>
    <s v="OP116"/>
    <n v="625"/>
    <n v="531"/>
    <n v="501"/>
    <n v="30"/>
    <n v="11"/>
    <n v="34"/>
    <s v="Material Shortage"/>
    <n v="57"/>
    <n v="60"/>
    <n v="78.900000000000006"/>
    <n v="2.19"/>
    <n v="20.440000000000001"/>
    <n v="14090.68"/>
    <n v="7.27"/>
    <s v="Overdue"/>
    <n v="22"/>
    <n v="23126.560000000001"/>
    <n v="0.94350282485875703"/>
    <n v="17546.14"/>
    <n v="291.89732580037702"/>
    <n v="593.75"/>
    <n v="0.94273684210526298"/>
    <n v="5288.5226741996303"/>
    <n v="0.84960000000000002"/>
    <n v="5.6497175141242938E-2"/>
    <n v="2.0715630885122412E-2"/>
    <n v="0.94350282485875703"/>
    <n v="0.56666666666666665"/>
    <n v="559.75"/>
    <n v="0.94863778472532378"/>
    <n v="1.0526315789473684"/>
    <n v="0.90120589548905761"/>
    <n v="0.94350282485875703"/>
    <n v="0.80159999999999976"/>
    <n v="33.04357815442561"/>
    <n v="9.9595530587563665"/>
    <s v="High"/>
    <s v="Warning"/>
  </r>
  <r>
    <n v="632"/>
    <d v="2026-06-08T00:00:00"/>
    <x v="0"/>
    <s v="Plant B"/>
    <x v="0"/>
    <x v="0"/>
    <x v="1"/>
    <x v="2"/>
    <s v="B260608-0632"/>
    <s v="OP134"/>
    <n v="497"/>
    <n v="447"/>
    <n v="420"/>
    <n v="27"/>
    <n v="11"/>
    <n v="47"/>
    <s v="Setup Time"/>
    <n v="64"/>
    <n v="69"/>
    <n v="71.900000000000006"/>
    <n v="2.61"/>
    <n v="18.940000000000001"/>
    <n v="14244.92"/>
    <n v="9.33"/>
    <s v="Scheduled"/>
    <n v="12"/>
    <n v="21902.21"/>
    <n v="0.93959731543624203"/>
    <n v="18613.88"/>
    <n v="350.54612975391501"/>
    <n v="530.13333333333298"/>
    <n v="0.91134305835010099"/>
    <n v="2937.7838702460899"/>
    <n v="0.89939637826961771"/>
    <n v="6.0402684563758392E-2"/>
    <n v="2.4608501118568233E-2"/>
    <n v="0.93959731543624159"/>
    <n v="0.78333333333333333"/>
    <n v="483.13333333333298"/>
    <n v="0.92521043190285701"/>
    <n v="0.9375"/>
    <n v="0.98689112736304752"/>
    <n v="0.93959731543624159"/>
    <n v="0.84507042253521214"/>
    <n v="41.641789709172265"/>
    <n v="6.5722234233693291"/>
    <s v="Medium"/>
    <s v="Warning"/>
  </r>
  <r>
    <n v="633"/>
    <d v="2026-05-02T00:00:00"/>
    <x v="3"/>
    <s v="Plant B"/>
    <x v="3"/>
    <x v="11"/>
    <x v="0"/>
    <x v="1"/>
    <s v="B260502-0633"/>
    <s v="OP113"/>
    <n v="950"/>
    <n v="904"/>
    <n v="834"/>
    <n v="70"/>
    <n v="18"/>
    <n v="30"/>
    <s v="Machine Breakdown"/>
    <n v="45"/>
    <n v="46"/>
    <n v="64.8"/>
    <n v="1.47"/>
    <n v="29.88"/>
    <n v="19375.830000000002"/>
    <n v="9.23"/>
    <s v="Completed"/>
    <n v="16"/>
    <n v="29579.25"/>
    <n v="0.92256637168141598"/>
    <n v="23798.25"/>
    <n v="385.80192477876102"/>
    <n v="712.5"/>
    <n v="0.95789473684210502"/>
    <n v="5395.1980752212403"/>
    <n v="0.95157894736842108"/>
    <n v="7.7433628318584066E-2"/>
    <n v="1.9911504424778761E-2"/>
    <n v="0.92256637168141598"/>
    <n v="0.5"/>
    <n v="682.5"/>
    <n v="1.3245421245421245"/>
    <n v="1.3333333333333333"/>
    <n v="0.99340659340659343"/>
    <n v="0.92256637168141598"/>
    <n v="0.87789473684210517"/>
    <n v="26.325497787610619"/>
    <n v="5.96813946374031"/>
    <s v="Low"/>
    <s v="Normal"/>
  </r>
  <r>
    <n v="634"/>
    <d v="2026-05-16T00:00:00"/>
    <x v="3"/>
    <s v="Plant B"/>
    <x v="3"/>
    <x v="8"/>
    <x v="0"/>
    <x v="1"/>
    <s v="B260516-0634"/>
    <s v="OP106"/>
    <n v="916"/>
    <n v="906"/>
    <n v="843"/>
    <n v="63"/>
    <n v="24"/>
    <n v="28"/>
    <s v="Setup Time"/>
    <n v="45"/>
    <n v="46"/>
    <n v="66.900000000000006"/>
    <n v="2.68"/>
    <n v="27.3"/>
    <n v="17969.18"/>
    <n v="9.33"/>
    <s v="Completed"/>
    <n v="21"/>
    <n v="29829.29"/>
    <n v="0.93046357615894004"/>
    <n v="22413.38"/>
    <n v="476.00476821192098"/>
    <n v="687"/>
    <n v="0.95924308588064"/>
    <n v="6939.9052317880796"/>
    <n v="0.98908296943231444"/>
    <n v="6.9536423841059597E-2"/>
    <n v="2.6490066225165563E-2"/>
    <n v="0.93046357615894038"/>
    <n v="0.46666666666666667"/>
    <n v="659"/>
    <n v="1.3748103186646434"/>
    <n v="1.3333333333333333"/>
    <n v="1.0311077389984826"/>
    <n v="0.93046357615894038"/>
    <n v="0.92030567685589482"/>
    <n v="24.738830022075057"/>
    <n v="7.6599395494349665"/>
    <s v="Low"/>
    <s v="Normal"/>
  </r>
  <r>
    <n v="635"/>
    <d v="2026-03-17T00:00:00"/>
    <x v="1"/>
    <s v="Plant A"/>
    <x v="0"/>
    <x v="0"/>
    <x v="0"/>
    <x v="3"/>
    <s v="B260317-0635"/>
    <s v="OP127"/>
    <n v="763"/>
    <n v="838"/>
    <n v="798"/>
    <n v="40"/>
    <n v="12"/>
    <n v="17"/>
    <s v="Tool Change"/>
    <n v="49"/>
    <n v="53"/>
    <n v="72.5"/>
    <n v="2.31"/>
    <n v="33.29"/>
    <n v="18934.87"/>
    <n v="8.39"/>
    <s v="Scheduled"/>
    <n v="1"/>
    <n v="30682.78"/>
    <n v="0.95226730310262497"/>
    <n v="23009.98"/>
    <n v="271.14372315035803"/>
    <n v="623.11666666666702"/>
    <n v="0.97271778960601296"/>
    <n v="7401.6562768496397"/>
    <n v="1.0982961992136304"/>
    <n v="4.77326968973747E-2"/>
    <n v="1.4319809069212411E-2"/>
    <n v="0.95226730310262531"/>
    <n v="0.28333333333333333"/>
    <n v="606.11666666666702"/>
    <n v="1.3825721120796319"/>
    <n v="1.2244897959183674"/>
    <n v="1.129100558198366"/>
    <n v="0.95226730310262531"/>
    <n v="1.045871559633027"/>
    <n v="27.458210023866346"/>
    <n v="8.8325253900353697"/>
    <s v="Low"/>
    <s v="Normal"/>
  </r>
  <r>
    <n v="636"/>
    <d v="2026-06-22T00:00:00"/>
    <x v="0"/>
    <s v="Plant B"/>
    <x v="0"/>
    <x v="1"/>
    <x v="1"/>
    <x v="0"/>
    <s v="B260622-0636"/>
    <s v="OP119"/>
    <n v="842"/>
    <n v="832"/>
    <n v="781"/>
    <n v="51"/>
    <n v="11"/>
    <n v="30"/>
    <s v="Operator Issue"/>
    <n v="42"/>
    <n v="41"/>
    <n v="65.400000000000006"/>
    <n v="1.97"/>
    <n v="33.19"/>
    <n v="15957.1"/>
    <n v="7.41"/>
    <s v="Pending"/>
    <n v="29"/>
    <n v="24924.14"/>
    <n v="0.93870192307692302"/>
    <n v="19590.310000000001"/>
    <n v="210.97127403846201"/>
    <n v="589.4"/>
    <n v="0.94910078045470003"/>
    <n v="5122.8587259615397"/>
    <n v="0.98812351543942989"/>
    <n v="6.129807692307692E-2"/>
    <n v="1.3221153846153846E-2"/>
    <n v="0.93870192307692313"/>
    <n v="0.5"/>
    <n v="559.4"/>
    <n v="1.4873078298176619"/>
    <n v="1.4285714285714286"/>
    <n v="1.0411154808723633"/>
    <n v="0.93870192307692313"/>
    <n v="0.92755344418052299"/>
    <n v="23.546045673076925"/>
    <n v="6.1572821225499279"/>
    <s v="Medium"/>
    <s v="Normal"/>
  </r>
  <r>
    <n v="637"/>
    <d v="2026-04-30T00:00:00"/>
    <x v="5"/>
    <s v="Plant A"/>
    <x v="2"/>
    <x v="4"/>
    <x v="1"/>
    <x v="0"/>
    <s v="B260430-0637"/>
    <s v="OP106"/>
    <n v="821"/>
    <n v="739"/>
    <n v="688"/>
    <n v="51"/>
    <n v="18"/>
    <n v="43"/>
    <s v="Setup Time"/>
    <n v="42"/>
    <n v="41"/>
    <n v="72.7"/>
    <n v="2.2599999999999998"/>
    <n v="28.62"/>
    <n v="14477.72"/>
    <n v="6.76"/>
    <s v="Overdue"/>
    <n v="35"/>
    <n v="22489.4"/>
    <n v="0.93098782138024405"/>
    <n v="17777.3"/>
    <n v="352.637293640054"/>
    <n v="574.70000000000005"/>
    <n v="0.925178353923786"/>
    <n v="4359.4627063599501"/>
    <n v="0.90012180267965891"/>
    <n v="6.9012178619756434E-2"/>
    <n v="2.4357239512855209E-2"/>
    <n v="0.93098782138024361"/>
    <n v="0.71666666666666667"/>
    <n v="531.70000000000005"/>
    <n v="1.3898815121309007"/>
    <n v="1.4285714285714286"/>
    <n v="0.97291705849163046"/>
    <n v="0.93098782138024361"/>
    <n v="0.83800243605359281"/>
    <n v="24.055886332882274"/>
    <n v="5.8991376270094049"/>
    <s v="High"/>
    <s v="Warning"/>
  </r>
  <r>
    <n v="638"/>
    <d v="2026-05-22T00:00:00"/>
    <x v="3"/>
    <s v="Plant A"/>
    <x v="0"/>
    <x v="3"/>
    <x v="0"/>
    <x v="0"/>
    <s v="B260522-0638"/>
    <s v="OP102"/>
    <n v="774"/>
    <n v="802"/>
    <n v="771"/>
    <n v="31"/>
    <n v="8"/>
    <n v="0"/>
    <s v="No Downtime"/>
    <n v="42"/>
    <n v="45"/>
    <n v="71.2"/>
    <n v="2.0299999999999998"/>
    <n v="29.1"/>
    <n v="15245.19"/>
    <n v="10.27"/>
    <s v="Scheduled"/>
    <n v="26"/>
    <n v="25353.49"/>
    <n v="0.96134663341645898"/>
    <n v="20128.59"/>
    <n v="152.07172069825401"/>
    <n v="541.79999999999995"/>
    <n v="1"/>
    <n v="5072.8282793017397"/>
    <n v="1.0361757105943152"/>
    <n v="3.8653366583541147E-2"/>
    <n v="9.9750623441396506E-3"/>
    <n v="0.96134663341645887"/>
    <n v="0"/>
    <n v="541.79999999999995"/>
    <n v="1.4802510151347361"/>
    <n v="1.4285714285714286"/>
    <n v="1.0361757105943152"/>
    <n v="0.96134663341645887"/>
    <n v="0.99612403100775193"/>
    <n v="25.097992518703244"/>
    <n v="6.3252222933936908"/>
    <s v="Low"/>
    <s v="Normal"/>
  </r>
  <r>
    <n v="639"/>
    <d v="2026-04-17T00:00:00"/>
    <x v="5"/>
    <s v="Plant A"/>
    <x v="2"/>
    <x v="9"/>
    <x v="0"/>
    <x v="3"/>
    <s v="B260417-0639"/>
    <s v="OP123"/>
    <n v="688"/>
    <n v="680"/>
    <n v="653"/>
    <n v="27"/>
    <n v="8"/>
    <n v="36"/>
    <s v="Operator Issue"/>
    <n v="49"/>
    <n v="53"/>
    <n v="67"/>
    <n v="2.34"/>
    <n v="23.37"/>
    <n v="14312.46"/>
    <n v="10.37"/>
    <s v="Completed"/>
    <n v="38"/>
    <n v="25282.9"/>
    <n v="0.96029411764705896"/>
    <n v="19189.29"/>
    <n v="168.38188235294101"/>
    <n v="561.86666666666702"/>
    <n v="0.93592785951589896"/>
    <n v="5925.2281176470597"/>
    <n v="0.98837209302325579"/>
    <n v="3.9705882352941174E-2"/>
    <n v="1.1764705882352941E-2"/>
    <n v="0.96029411764705885"/>
    <n v="0.6"/>
    <n v="525.86666666666702"/>
    <n v="1.2931034482758612"/>
    <n v="1.2244897959183674"/>
    <n v="1.0560344827586199"/>
    <n v="0.96029411764705885"/>
    <n v="0.94912790697674299"/>
    <n v="28.219544117647061"/>
    <n v="8.7135707612456752"/>
    <s v="Medium"/>
    <s v="Normal"/>
  </r>
  <r>
    <n v="640"/>
    <d v="2026-02-10T00:00:00"/>
    <x v="4"/>
    <s v="Plant A"/>
    <x v="2"/>
    <x v="9"/>
    <x v="1"/>
    <x v="0"/>
    <s v="B260210-0640"/>
    <s v="OP129"/>
    <n v="860"/>
    <n v="807"/>
    <n v="771"/>
    <n v="36"/>
    <n v="10"/>
    <n v="14"/>
    <s v="Setup Time"/>
    <n v="42"/>
    <n v="44"/>
    <n v="74.599999999999994"/>
    <n v="1.76"/>
    <n v="31.39"/>
    <n v="15163.26"/>
    <n v="9.17"/>
    <s v="Completed"/>
    <n v="30"/>
    <n v="24660.71"/>
    <n v="0.95539033457249101"/>
    <n v="19572.27"/>
    <n v="187.896654275093"/>
    <n v="602"/>
    <n v="0.97674418604651203"/>
    <n v="4900.5433457249101"/>
    <n v="0.93837209302325586"/>
    <n v="4.4609665427509292E-2"/>
    <n v="1.2391573729863693E-2"/>
    <n v="0.95539033457249067"/>
    <n v="0.23333333333333334"/>
    <n v="588"/>
    <n v="1.3724489795918366"/>
    <n v="1.4285714285714286"/>
    <n v="0.96071428571428563"/>
    <n v="0.95539033457249067"/>
    <n v="0.89651162790697692"/>
    <n v="24.253122676579927"/>
    <n v="6.0725444184943127"/>
    <s v="Medium"/>
    <s v="Normal"/>
  </r>
  <r>
    <n v="641"/>
    <d v="2026-04-12T00:00:00"/>
    <x v="5"/>
    <s v="Plant B"/>
    <x v="1"/>
    <x v="6"/>
    <x v="0"/>
    <x v="1"/>
    <s v="B260412-0641"/>
    <s v="OP108"/>
    <n v="745"/>
    <n v="795"/>
    <n v="753"/>
    <n v="42"/>
    <n v="14"/>
    <n v="0"/>
    <s v="No Downtime"/>
    <n v="45"/>
    <n v="49"/>
    <n v="70.8"/>
    <n v="2.39"/>
    <n v="30.72"/>
    <n v="16075.11"/>
    <n v="10.1"/>
    <s v="Completed"/>
    <n v="40"/>
    <n v="27051.26"/>
    <n v="0.94716981132075495"/>
    <n v="20896.59"/>
    <n v="283.08369811320802"/>
    <n v="558.75"/>
    <n v="1"/>
    <n v="5871.5863018867904"/>
    <n v="1.0671140939597314"/>
    <n v="5.2830188679245285E-2"/>
    <n v="1.7610062893081761E-2"/>
    <n v="0.94716981132075473"/>
    <n v="0"/>
    <n v="558.75"/>
    <n v="1.4228187919463087"/>
    <n v="1.3333333333333333"/>
    <n v="1.0671140939597317"/>
    <n v="0.94716981132075473"/>
    <n v="1.0107382550335571"/>
    <n v="26.285018867924528"/>
    <n v="7.3856431470274089"/>
    <s v="Medium"/>
    <s v="Normal"/>
  </r>
  <r>
    <n v="642"/>
    <d v="2026-02-24T00:00:00"/>
    <x v="4"/>
    <s v="Plant A"/>
    <x v="3"/>
    <x v="8"/>
    <x v="0"/>
    <x v="3"/>
    <s v="B260224-0642"/>
    <s v="OP104"/>
    <n v="840"/>
    <n v="830"/>
    <n v="770"/>
    <n v="60"/>
    <n v="20"/>
    <n v="31"/>
    <s v="Tool Change"/>
    <n v="49"/>
    <n v="53"/>
    <n v="66.3"/>
    <n v="2.35"/>
    <n v="35.97"/>
    <n v="17800.73"/>
    <n v="10.25"/>
    <s v="Completed"/>
    <n v="16"/>
    <n v="28915.91"/>
    <n v="0.92771084337349397"/>
    <n v="22736.959999999999"/>
    <n v="428.933253012048"/>
    <n v="686"/>
    <n v="0.95481049562682196"/>
    <n v="5750.0167469879498"/>
    <n v="0.98809523809523814"/>
    <n v="7.2289156626506021E-2"/>
    <n v="2.4096385542168676E-2"/>
    <n v="0.92771084337349397"/>
    <n v="0.51666666666666672"/>
    <n v="655"/>
    <n v="1.2671755725190839"/>
    <n v="1.2244897959183674"/>
    <n v="1.0348600508905852"/>
    <n v="0.92771084337349397"/>
    <n v="0.91666666666666641"/>
    <n v="27.393927710843371"/>
    <n v="6.9277310204674096"/>
    <s v="Low"/>
    <s v="Normal"/>
  </r>
  <r>
    <n v="643"/>
    <d v="2026-05-22T00:00:00"/>
    <x v="3"/>
    <s v="Plant A"/>
    <x v="2"/>
    <x v="10"/>
    <x v="2"/>
    <x v="3"/>
    <s v="B260522-0643"/>
    <s v="OP116"/>
    <n v="864"/>
    <n v="775"/>
    <n v="697"/>
    <n v="78"/>
    <n v="27"/>
    <n v="18"/>
    <s v="Power Failure"/>
    <n v="49"/>
    <n v="52"/>
    <n v="66.5"/>
    <n v="2.29"/>
    <n v="23.1"/>
    <n v="17065.14"/>
    <n v="9.4"/>
    <s v="Scheduled"/>
    <n v="40"/>
    <n v="25794.46"/>
    <n v="0.89935483870967803"/>
    <n v="21503.040000000001"/>
    <n v="594.52745806451605"/>
    <n v="705.6"/>
    <n v="0.97448979591836704"/>
    <n v="3696.89254193548"/>
    <n v="0.8969907407407407"/>
    <n v="0.10064516129032258"/>
    <n v="3.4838709677419352E-2"/>
    <n v="0.89935483870967747"/>
    <n v="0.3"/>
    <n v="687.6"/>
    <n v="1.127108784176847"/>
    <n v="1.2244897959183674"/>
    <n v="0.92047217374442503"/>
    <n v="0.89935483870967747"/>
    <n v="0.8067129629629628"/>
    <n v="27.745858064516131"/>
    <n v="4.7701839250780385"/>
    <s v="Medium"/>
    <s v="Warning"/>
  </r>
  <r>
    <n v="644"/>
    <d v="2026-03-16T00:00:00"/>
    <x v="1"/>
    <s v="Plant B"/>
    <x v="2"/>
    <x v="4"/>
    <x v="2"/>
    <x v="1"/>
    <s v="B260316-0644"/>
    <s v="OP129"/>
    <n v="810"/>
    <n v="732"/>
    <n v="678"/>
    <n v="54"/>
    <n v="15"/>
    <n v="36"/>
    <s v="Quality Inspection"/>
    <n v="45"/>
    <n v="48"/>
    <n v="66"/>
    <n v="1.54"/>
    <n v="29.61"/>
    <n v="15100.9"/>
    <n v="8.31"/>
    <s v="Pending"/>
    <n v="27"/>
    <n v="24057.13"/>
    <n v="0.92622950819672101"/>
    <n v="19106.89"/>
    <n v="309.44467213114802"/>
    <n v="607.5"/>
    <n v="0.94074074074074099"/>
    <n v="4640.7953278688501"/>
    <n v="0.90370370370370368"/>
    <n v="7.3770491803278687E-2"/>
    <n v="2.0491803278688523E-2"/>
    <n v="0.92622950819672134"/>
    <n v="0.6"/>
    <n v="571.5"/>
    <n v="1.2808398950131235"/>
    <n v="1.3333333333333333"/>
    <n v="0.96062992125984259"/>
    <n v="0.92622950819672134"/>
    <n v="0.83703703703703736"/>
    <n v="26.102308743169399"/>
    <n v="6.3398843276896857"/>
    <s v="Medium"/>
    <s v="Warning"/>
  </r>
  <r>
    <n v="645"/>
    <d v="2026-06-23T00:00:00"/>
    <x v="0"/>
    <s v="Plant B"/>
    <x v="0"/>
    <x v="0"/>
    <x v="0"/>
    <x v="4"/>
    <s v="B260623-0645"/>
    <s v="OP124"/>
    <n v="668"/>
    <n v="694"/>
    <n v="657"/>
    <n v="37"/>
    <n v="8"/>
    <n v="18"/>
    <s v="Material Shortage"/>
    <n v="57"/>
    <n v="56"/>
    <n v="72.8"/>
    <n v="1.83"/>
    <n v="21.78"/>
    <n v="18363.48"/>
    <n v="10.16"/>
    <s v="Pending"/>
    <n v="32"/>
    <n v="29849.24"/>
    <n v="0.94668587896253598"/>
    <n v="23131.5"/>
    <n v="211.682766570605"/>
    <n v="634.6"/>
    <n v="0.97163567601638801"/>
    <n v="6506.0572334294002"/>
    <n v="1.0389221556886228"/>
    <n v="5.3314121037463975E-2"/>
    <n v="1.1527377521613832E-2"/>
    <n v="0.94668587896253598"/>
    <n v="0.3"/>
    <n v="616.6"/>
    <n v="1.1255270840090821"/>
    <n v="1.0526315789473684"/>
    <n v="1.069250729808628"/>
    <n v="0.94668587896253598"/>
    <n v="0.98353293413173626"/>
    <n v="33.330691642651296"/>
    <n v="9.374722238370893"/>
    <s v="Medium"/>
    <s v="Normal"/>
  </r>
  <r>
    <n v="646"/>
    <d v="2026-02-06T00:00:00"/>
    <x v="4"/>
    <s v="Plant B"/>
    <x v="1"/>
    <x v="6"/>
    <x v="1"/>
    <x v="2"/>
    <s v="B260206-0646"/>
    <s v="OP127"/>
    <n v="609"/>
    <n v="599"/>
    <n v="567"/>
    <n v="32"/>
    <n v="9"/>
    <n v="46"/>
    <s v="Material Shortage"/>
    <n v="64"/>
    <n v="62"/>
    <n v="73.2"/>
    <n v="0.87"/>
    <n v="24.79"/>
    <n v="19556.2"/>
    <n v="9.43"/>
    <s v="Scheduled"/>
    <n v="39"/>
    <n v="28989.37"/>
    <n v="0.94657762938230405"/>
    <n v="24022.81"/>
    <n v="293.83272120200297"/>
    <n v="649.6"/>
    <n v="0.92918719211822698"/>
    <n v="4672.727278798"/>
    <n v="0.98357963875205257"/>
    <n v="5.3422370617696162E-2"/>
    <n v="1.5025041736227046E-2"/>
    <n v="0.94657762938230383"/>
    <n v="0.76666666666666672"/>
    <n v="603.6"/>
    <n v="0.99237905897945655"/>
    <n v="0.9375"/>
    <n v="1.0585376629114203"/>
    <n v="0.94657762938230383"/>
    <n v="0.931034482758621"/>
    <n v="40.104858096828046"/>
    <n v="7.8008802651051754"/>
    <s v="Medium"/>
    <s v="Normal"/>
  </r>
  <r>
    <n v="647"/>
    <d v="2026-06-21T00:00:00"/>
    <x v="0"/>
    <s v="Plant B"/>
    <x v="3"/>
    <x v="11"/>
    <x v="0"/>
    <x v="2"/>
    <s v="B260621-0647"/>
    <s v="OP102"/>
    <n v="664"/>
    <n v="730"/>
    <n v="676"/>
    <n v="54"/>
    <n v="20"/>
    <n v="24"/>
    <s v="Power Failure"/>
    <n v="64"/>
    <n v="67"/>
    <n v="70.8"/>
    <n v="1.67"/>
    <n v="29.11"/>
    <n v="23344.49"/>
    <n v="9.89"/>
    <s v="Completed"/>
    <n v="23"/>
    <n v="35491.4"/>
    <n v="0.92602739726027405"/>
    <n v="28056.98"/>
    <n v="639.57506849315098"/>
    <n v="708.26666666666699"/>
    <n v="0.96611445783132499"/>
    <n v="6794.8449315068501"/>
    <n v="1.0993975903614457"/>
    <n v="7.3972602739726029E-2"/>
    <n v="2.7397260273972601E-2"/>
    <n v="0.92602739726027394"/>
    <n v="0.4"/>
    <n v="684.26666666666699"/>
    <n v="1.0668355416991422"/>
    <n v="0.9375"/>
    <n v="1.1379579111457516"/>
    <n v="0.92602739726027394"/>
    <n v="1.0180722891566258"/>
    <n v="38.434219178082188"/>
    <n v="9.3080067554888366"/>
    <s v="Low"/>
    <s v="Normal"/>
  </r>
  <r>
    <n v="648"/>
    <d v="2026-01-24T00:00:00"/>
    <x v="2"/>
    <s v="Plant B"/>
    <x v="2"/>
    <x v="10"/>
    <x v="0"/>
    <x v="4"/>
    <s v="B260124-0648"/>
    <s v="OP114"/>
    <n v="523"/>
    <n v="502"/>
    <n v="456"/>
    <n v="46"/>
    <n v="18"/>
    <n v="28"/>
    <s v="Setup Time"/>
    <n v="57"/>
    <n v="63"/>
    <n v="73.5"/>
    <n v="1.78"/>
    <n v="16.760000000000002"/>
    <n v="14264.24"/>
    <n v="8.17"/>
    <s v="Completed"/>
    <n v="18"/>
    <n v="21086.26"/>
    <n v="0.90836653386454203"/>
    <n v="18091.580000000002"/>
    <n v="511.46677290836698"/>
    <n v="496.85"/>
    <n v="0.94364496326859204"/>
    <n v="2483.21322709163"/>
    <n v="0.95984703632887192"/>
    <n v="9.1633466135458169E-2"/>
    <n v="3.5856573705179286E-2"/>
    <n v="0.9083665338645418"/>
    <n v="0.46666666666666667"/>
    <n v="468.85"/>
    <n v="1.0707049162845259"/>
    <n v="1.0526315789473684"/>
    <n v="1.0171696704702997"/>
    <n v="0.9083665338645418"/>
    <n v="0.87189292543021024"/>
    <n v="36.039003984063747"/>
    <n v="4.9466398946048402"/>
    <s v="Medium"/>
    <s v="Warning"/>
  </r>
  <r>
    <n v="649"/>
    <d v="2026-03-21T00:00:00"/>
    <x v="1"/>
    <s v="Plant B"/>
    <x v="0"/>
    <x v="3"/>
    <x v="2"/>
    <x v="0"/>
    <s v="B260321-0649"/>
    <s v="OP115"/>
    <n v="720"/>
    <n v="612"/>
    <n v="586"/>
    <n v="26"/>
    <n v="5"/>
    <n v="6"/>
    <s v="Material Shortage"/>
    <n v="42"/>
    <n v="47"/>
    <n v="72.599999999999994"/>
    <n v="2.42"/>
    <n v="22.86"/>
    <n v="11097.61"/>
    <n v="8.84"/>
    <s v="Overdue"/>
    <n v="31"/>
    <n v="18243.349999999999"/>
    <n v="0.95751633986928097"/>
    <n v="15281.35"/>
    <n v="90.666748366013096"/>
    <n v="504"/>
    <n v="0.98809523809523803"/>
    <n v="2871.3332516339901"/>
    <n v="0.85"/>
    <n v="4.2483660130718956E-2"/>
    <n v="8.1699346405228763E-3"/>
    <n v="0.95751633986928109"/>
    <n v="0.1"/>
    <n v="498"/>
    <n v="1.2289156626506024"/>
    <n v="1.4285714285714286"/>
    <n v="0.86024096385542159"/>
    <n v="0.95751633986928109"/>
    <n v="0.81388888888888877"/>
    <n v="24.969526143790851"/>
    <n v="4.6917209994019444"/>
    <s v="High"/>
    <s v="Warning"/>
  </r>
  <r>
    <n v="650"/>
    <d v="2026-01-17T00:00:00"/>
    <x v="2"/>
    <s v="Plant B"/>
    <x v="2"/>
    <x v="4"/>
    <x v="1"/>
    <x v="3"/>
    <s v="B260117-0650"/>
    <s v="OP119"/>
    <n v="657"/>
    <n v="692"/>
    <n v="641"/>
    <n v="51"/>
    <n v="17"/>
    <n v="15"/>
    <s v="Operator Issue"/>
    <n v="49"/>
    <n v="53"/>
    <n v="62"/>
    <n v="1.97"/>
    <n v="25.57"/>
    <n v="14983.51"/>
    <n v="9.8000000000000007"/>
    <s v="Completed"/>
    <n v="6"/>
    <n v="24936.33"/>
    <n v="0.92630057803468202"/>
    <n v="19623.64"/>
    <n v="368.09200867051999"/>
    <n v="536.54999999999995"/>
    <n v="0.97204361196533395"/>
    <n v="4944.5979913294796"/>
    <n v="1.0532724505327244"/>
    <n v="7.3699421965317924E-2"/>
    <n v="2.4566473988439308E-2"/>
    <n v="0.92630057803468213"/>
    <n v="0.25"/>
    <n v="521.54999999999995"/>
    <n v="1.3268143035183588"/>
    <n v="1.2244897959183674"/>
    <n v="1.0835650145399931"/>
    <n v="0.92630057803468213"/>
    <n v="0.9756468797564688"/>
    <n v="28.357861271676299"/>
    <n v="7.1453728198402882"/>
    <s v="Low"/>
    <s v="Normal"/>
  </r>
  <r>
    <n v="651"/>
    <d v="2026-04-23T00:00:00"/>
    <x v="5"/>
    <s v="Plant B"/>
    <x v="2"/>
    <x v="10"/>
    <x v="0"/>
    <x v="0"/>
    <s v="B260423-0651"/>
    <s v="OP129"/>
    <n v="791"/>
    <n v="837"/>
    <n v="758"/>
    <n v="79"/>
    <n v="22"/>
    <n v="9"/>
    <s v="Machine Breakdown"/>
    <n v="42"/>
    <n v="42"/>
    <n v="64.099999999999994"/>
    <n v="1.51"/>
    <n v="24.33"/>
    <n v="15854.79"/>
    <n v="9.7200000000000006"/>
    <s v="Pending"/>
    <n v="25"/>
    <n v="23911.87"/>
    <n v="0.90561529271206698"/>
    <n v="20447.759999999998"/>
    <n v="416.73283154121901"/>
    <n v="553.70000000000005"/>
    <n v="0.98374571067365002"/>
    <n v="3047.37716845878"/>
    <n v="1.0581542351453856"/>
    <n v="9.4384707287933092E-2"/>
    <n v="2.6284348864994027E-2"/>
    <n v="0.90561529271206687"/>
    <n v="0.15"/>
    <n v="544.70000000000005"/>
    <n v="1.536625665503947"/>
    <n v="1.4285714285714286"/>
    <n v="1.0756379658527628"/>
    <n v="0.90561529271206687"/>
    <n v="0.95828065739570145"/>
    <n v="24.429820788530463"/>
    <n v="3.6408329372267385"/>
    <s v="Medium"/>
    <s v="Warning"/>
  </r>
  <r>
    <n v="652"/>
    <d v="2026-04-12T00:00:00"/>
    <x v="5"/>
    <s v="Plant B"/>
    <x v="0"/>
    <x v="3"/>
    <x v="0"/>
    <x v="3"/>
    <s v="B260412-0652"/>
    <s v="OP106"/>
    <n v="687"/>
    <n v="797"/>
    <n v="769"/>
    <n v="28"/>
    <n v="6"/>
    <n v="9"/>
    <s v="Machine Breakdown"/>
    <n v="49"/>
    <n v="49"/>
    <n v="74.3"/>
    <n v="1.98"/>
    <n v="23.05"/>
    <n v="18373.77"/>
    <n v="8.98"/>
    <s v="Completed"/>
    <n v="24"/>
    <n v="29402.46"/>
    <n v="0.96486825595985004"/>
    <n v="22622.22"/>
    <n v="138.32198243412799"/>
    <n v="561.04999999999995"/>
    <n v="0.98395864896176799"/>
    <n v="6641.9180175658703"/>
    <n v="1.1601164483260553"/>
    <n v="3.5131744040150563E-2"/>
    <n v="7.5282308657465494E-3"/>
    <n v="0.96486825595984949"/>
    <n v="0.15"/>
    <n v="552.04999999999995"/>
    <n v="1.443709808894122"/>
    <n v="1.2244897959183674"/>
    <n v="1.1790296772635329"/>
    <n v="0.96486825595984949"/>
    <n v="1.1193595342066955"/>
    <n v="28.384215809284818"/>
    <n v="8.333648704599586"/>
    <s v="Low"/>
    <s v="Normal"/>
  </r>
  <r>
    <n v="653"/>
    <d v="2026-01-01T00:00:00"/>
    <x v="2"/>
    <s v="Plant B"/>
    <x v="0"/>
    <x v="3"/>
    <x v="1"/>
    <x v="0"/>
    <s v="B260101-0653"/>
    <s v="OP133"/>
    <n v="882"/>
    <n v="803"/>
    <n v="779"/>
    <n v="24"/>
    <n v="5"/>
    <n v="20"/>
    <s v="Material Shortage"/>
    <n v="42"/>
    <n v="41"/>
    <n v="73.900000000000006"/>
    <n v="1.85"/>
    <n v="33.909999999999997"/>
    <n v="14540.01"/>
    <n v="6.98"/>
    <s v="Completed"/>
    <n v="8"/>
    <n v="24943.360000000001"/>
    <n v="0.97011207970112101"/>
    <n v="17986.2"/>
    <n v="90.535554171855594"/>
    <n v="617.4"/>
    <n v="0.96760609005507003"/>
    <n v="6866.6244458281399"/>
    <n v="0.91043083900226762"/>
    <n v="2.9887920298879204E-2"/>
    <n v="6.2266500622665004E-3"/>
    <n v="0.97011207970112079"/>
    <n v="0.33333333333333331"/>
    <n v="597.4"/>
    <n v="1.3441580180783395"/>
    <n v="1.4285714285714286"/>
    <n v="0.94091061265483755"/>
    <n v="0.97011207970112079"/>
    <n v="0.88321995464852632"/>
    <n v="22.398754669987547"/>
    <n v="8.5512135066352926"/>
    <s v="Low"/>
    <s v="Normal"/>
  </r>
  <r>
    <n v="654"/>
    <d v="2026-01-25T00:00:00"/>
    <x v="2"/>
    <s v="Plant B"/>
    <x v="4"/>
    <x v="13"/>
    <x v="2"/>
    <x v="0"/>
    <s v="B260125-0654"/>
    <s v="OP114"/>
    <n v="848"/>
    <n v="778"/>
    <n v="729"/>
    <n v="49"/>
    <n v="20"/>
    <n v="5"/>
    <s v="Setup Time"/>
    <n v="42"/>
    <n v="47"/>
    <n v="71.7"/>
    <n v="1.54"/>
    <n v="22.89"/>
    <n v="14633.18"/>
    <n v="9.26"/>
    <s v="Pending"/>
    <n v="15"/>
    <n v="23452.560000000001"/>
    <n v="0.93701799485861204"/>
    <n v="19006.189999999999"/>
    <n v="376.174293059126"/>
    <n v="593.6"/>
    <n v="0.99157681940700804"/>
    <n v="4070.19570694088"/>
    <n v="0.91745283018867929"/>
    <n v="6.2982005141388173E-2"/>
    <n v="2.570694087403599E-2"/>
    <n v="0.93701799485861181"/>
    <n v="8.3333333333333329E-2"/>
    <n v="588.6"/>
    <n v="1.3217804960924227"/>
    <n v="1.4285714285714286"/>
    <n v="0.92524634726469579"/>
    <n v="0.93701799485861181"/>
    <n v="0.8596698113207546"/>
    <n v="24.429550128534704"/>
    <n v="5.2316140192042155"/>
    <s v="Medium"/>
    <s v="Normal"/>
  </r>
  <r>
    <n v="655"/>
    <d v="2026-02-16T00:00:00"/>
    <x v="4"/>
    <s v="Plant A"/>
    <x v="3"/>
    <x v="7"/>
    <x v="1"/>
    <x v="2"/>
    <s v="B260216-0655"/>
    <s v="OP111"/>
    <n v="596"/>
    <n v="560"/>
    <n v="527"/>
    <n v="33"/>
    <n v="10"/>
    <n v="0"/>
    <s v="No Downtime"/>
    <n v="64"/>
    <n v="68"/>
    <n v="69.7"/>
    <n v="1.3"/>
    <n v="22.06"/>
    <n v="16687.580000000002"/>
    <n v="8.8800000000000008"/>
    <s v="Completed"/>
    <n v="22"/>
    <n v="26629.82"/>
    <n v="0.941071428571429"/>
    <n v="20882.12"/>
    <n v="297.99250000000001"/>
    <n v="635.73333333333301"/>
    <n v="1"/>
    <n v="5449.7075000000004"/>
    <n v="0.93959731543624159"/>
    <n v="5.8928571428571427E-2"/>
    <n v="1.7857142857142856E-2"/>
    <n v="0.94107142857142856"/>
    <n v="0"/>
    <n v="635.73333333333301"/>
    <n v="0.88087248322147693"/>
    <n v="0.9375"/>
    <n v="0.93959731543624203"/>
    <n v="0.94107142857142856"/>
    <n v="0.88422818791946345"/>
    <n v="37.289499999999997"/>
    <n v="9.7316205357142866"/>
    <s v="Low"/>
    <s v="Normal"/>
  </r>
  <r>
    <n v="656"/>
    <d v="2026-02-28T00:00:00"/>
    <x v="4"/>
    <s v="Plant B"/>
    <x v="0"/>
    <x v="1"/>
    <x v="2"/>
    <x v="4"/>
    <s v="B260228-0656"/>
    <s v="OP128"/>
    <n v="623"/>
    <n v="545"/>
    <n v="512"/>
    <n v="33"/>
    <n v="12"/>
    <n v="42"/>
    <s v="Quality Inspection"/>
    <n v="57"/>
    <n v="60"/>
    <n v="75.400000000000006"/>
    <n v="1.95"/>
    <n v="19.100000000000001"/>
    <n v="14744.86"/>
    <n v="6.31"/>
    <s v="Scheduled"/>
    <n v="34"/>
    <n v="22964.639999999999"/>
    <n v="0.93944954128440405"/>
    <n v="17756.259999999998"/>
    <n v="324.65746788990799"/>
    <n v="591.85"/>
    <n v="0.92903607332939098"/>
    <n v="4883.7225321100896"/>
    <n v="0.8747993579454254"/>
    <n v="6.0550458715596334E-2"/>
    <n v="2.2018348623853212E-2"/>
    <n v="0.93944954128440372"/>
    <n v="0.7"/>
    <n v="549.85"/>
    <n v="0.99117941256706366"/>
    <n v="1.0526315789473684"/>
    <n v="0.94162044193871053"/>
    <n v="0.93944954128440372"/>
    <n v="0.82182985553772081"/>
    <n v="32.580293577981649"/>
    <n v="8.9609587745139265"/>
    <s v="Medium"/>
    <s v="Warning"/>
  </r>
  <r>
    <n v="657"/>
    <d v="2026-02-13T00:00:00"/>
    <x v="4"/>
    <s v="Plant A"/>
    <x v="3"/>
    <x v="11"/>
    <x v="0"/>
    <x v="1"/>
    <s v="B260213-0657"/>
    <s v="OP106"/>
    <n v="881"/>
    <n v="863"/>
    <n v="796"/>
    <n v="67"/>
    <n v="27"/>
    <n v="21"/>
    <s v="Setup Time"/>
    <n v="45"/>
    <n v="49"/>
    <n v="67.3"/>
    <n v="2.21"/>
    <n v="26.19"/>
    <n v="17325.060000000001"/>
    <n v="8.34"/>
    <s v="Scheduled"/>
    <n v="22"/>
    <n v="28017.42"/>
    <n v="0.92236384704519103"/>
    <n v="21313.77"/>
    <n v="542.03548088064895"/>
    <n v="660.75"/>
    <n v="0.96821793416572099"/>
    <n v="6161.61451911935"/>
    <n v="0.97956867196367758"/>
    <n v="7.7636152954808801E-2"/>
    <n v="3.1286210892236384E-2"/>
    <n v="0.92236384704519114"/>
    <n v="0.35"/>
    <n v="639.75"/>
    <n v="1.3489644392340758"/>
    <n v="1.3333333333333333"/>
    <n v="1.011723329425557"/>
    <n v="0.92236384704519114"/>
    <n v="0.90351872871736694"/>
    <n v="24.697300115874857"/>
    <n v="7.1397618993271728"/>
    <s v="Low"/>
    <s v="Normal"/>
  </r>
  <r>
    <n v="658"/>
    <d v="2026-01-11T00:00:00"/>
    <x v="2"/>
    <s v="Plant B"/>
    <x v="3"/>
    <x v="7"/>
    <x v="1"/>
    <x v="4"/>
    <s v="B260111-0658"/>
    <s v="OP135"/>
    <n v="742"/>
    <n v="659"/>
    <n v="627"/>
    <n v="32"/>
    <n v="11"/>
    <n v="39"/>
    <s v="Machine Breakdown"/>
    <n v="57"/>
    <n v="57"/>
    <n v="78.7"/>
    <n v="2.1800000000000002"/>
    <n v="25.98"/>
    <n v="18336.11"/>
    <n v="8.42"/>
    <s v="Scheduled"/>
    <n v="27"/>
    <n v="28481.82"/>
    <n v="0.95144157814871"/>
    <n v="22358.93"/>
    <n v="306.065569044006"/>
    <n v="704.9"/>
    <n v="0.94467300326287396"/>
    <n v="5816.8244309559896"/>
    <n v="0.88814016172506738"/>
    <n v="4.8558421851289835E-2"/>
    <n v="1.6691957511380879E-2"/>
    <n v="0.95144157814871022"/>
    <n v="0.65"/>
    <n v="665.9"/>
    <n v="0.98963808379636586"/>
    <n v="1.0526315789473684"/>
    <n v="0.94015617960654763"/>
    <n v="0.95144157814871022"/>
    <n v="0.84501347708894869"/>
    <n v="33.92857359635812"/>
    <n v="8.8267442047890583"/>
    <s v="Medium"/>
    <s v="Warning"/>
  </r>
  <r>
    <n v="659"/>
    <d v="2026-02-03T00:00:00"/>
    <x v="4"/>
    <s v="Plant B"/>
    <x v="2"/>
    <x v="10"/>
    <x v="2"/>
    <x v="4"/>
    <s v="B260203-0659"/>
    <s v="OP105"/>
    <n v="685"/>
    <n v="566"/>
    <n v="509"/>
    <n v="57"/>
    <n v="18"/>
    <n v="44"/>
    <s v="Setup Time"/>
    <n v="57"/>
    <n v="65"/>
    <n v="73.599999999999994"/>
    <n v="3"/>
    <n v="21.52"/>
    <n v="15638.35"/>
    <n v="8.6"/>
    <s v="Completed"/>
    <n v="14"/>
    <n v="24023.57"/>
    <n v="0.899293286219081"/>
    <n v="19702.03"/>
    <n v="497.33268551236802"/>
    <n v="650.75"/>
    <n v="0.93238570879754101"/>
    <n v="3824.2073144876299"/>
    <n v="0.82627737226277376"/>
    <n v="0.10070671378091872"/>
    <n v="3.1802120141342753E-2"/>
    <n v="0.89929328621908122"/>
    <n v="0.73333333333333328"/>
    <n v="606.75"/>
    <n v="0.93283889575607748"/>
    <n v="1.0526315789473684"/>
    <n v="0.88619695096827367"/>
    <n v="0.89929328621908122"/>
    <n v="0.74306569343065676"/>
    <n v="34.809240282685508"/>
    <n v="6.7565500255965194"/>
    <s v="High"/>
    <s v="Critical"/>
  </r>
  <r>
    <n v="660"/>
    <d v="2026-04-26T00:00:00"/>
    <x v="5"/>
    <s v="Plant B"/>
    <x v="1"/>
    <x v="5"/>
    <x v="2"/>
    <x v="0"/>
    <s v="B260426-0660"/>
    <s v="OP130"/>
    <n v="973"/>
    <n v="932"/>
    <n v="886"/>
    <n v="46"/>
    <n v="18"/>
    <n v="5"/>
    <s v="Operator Issue"/>
    <n v="42"/>
    <n v="45"/>
    <n v="66.599999999999994"/>
    <n v="2.2400000000000002"/>
    <n v="27.94"/>
    <n v="16613.330000000002"/>
    <n v="10.039999999999999"/>
    <s v="Completed"/>
    <n v="38"/>
    <n v="28595.78"/>
    <n v="0.950643776824034"/>
    <n v="21382.79"/>
    <n v="320.85830472102998"/>
    <n v="681.1"/>
    <n v="0.99265893407722805"/>
    <n v="6892.1316952789703"/>
    <n v="0.95786228160328879"/>
    <n v="4.9356223175965663E-2"/>
    <n v="1.9313304721030045E-2"/>
    <n v="0.95064377682403434"/>
    <n v="8.3333333333333329E-2"/>
    <n v="676.1"/>
    <n v="1.3784943055760981"/>
    <n v="1.4285714285714286"/>
    <n v="0.96494601390326862"/>
    <n v="0.95064377682403434"/>
    <n v="0.91058581706063713"/>
    <n v="22.942907725321888"/>
    <n v="7.3949910893551181"/>
    <s v="Medium"/>
    <s v="Normal"/>
  </r>
  <r>
    <n v="661"/>
    <d v="2026-03-23T00:00:00"/>
    <x v="1"/>
    <s v="Plant A"/>
    <x v="1"/>
    <x v="6"/>
    <x v="0"/>
    <x v="4"/>
    <s v="B260323-0661"/>
    <s v="OP116"/>
    <n v="614"/>
    <n v="612"/>
    <n v="578"/>
    <n v="34"/>
    <n v="6"/>
    <n v="25"/>
    <s v="Setup Time"/>
    <n v="57"/>
    <n v="58"/>
    <n v="71.8"/>
    <n v="1.57"/>
    <n v="19.28"/>
    <n v="16914.36"/>
    <n v="9.74"/>
    <s v="Completed"/>
    <n v="23"/>
    <n v="26387.84"/>
    <n v="0.94444444444444398"/>
    <n v="21470.880000000001"/>
    <n v="165.827058823529"/>
    <n v="583.29999999999995"/>
    <n v="0.95714040802331601"/>
    <n v="4751.13294117647"/>
    <n v="0.99674267100977199"/>
    <n v="5.5555555555555552E-2"/>
    <n v="9.8039215686274508E-3"/>
    <n v="0.94444444444444442"/>
    <n v="0.41666666666666669"/>
    <n v="558.29999999999995"/>
    <n v="1.0961848468565287"/>
    <n v="1.0526315789473684"/>
    <n v="1.0413756045137024"/>
    <n v="0.94444444444444442"/>
    <n v="0.94136807817589618"/>
    <n v="35.083137254901963"/>
    <n v="7.7632891195693956"/>
    <s v="Low"/>
    <s v="Normal"/>
  </r>
  <r>
    <n v="662"/>
    <d v="2026-03-06T00:00:00"/>
    <x v="1"/>
    <s v="Plant A"/>
    <x v="2"/>
    <x v="10"/>
    <x v="1"/>
    <x v="3"/>
    <s v="B260306-0662"/>
    <s v="OP109"/>
    <n v="800"/>
    <n v="791"/>
    <n v="712"/>
    <n v="79"/>
    <n v="30"/>
    <n v="17"/>
    <s v="Setup Time"/>
    <n v="49"/>
    <n v="54"/>
    <n v="71.400000000000006"/>
    <n v="1.27"/>
    <n v="25.67"/>
    <n v="17498.439999999999"/>
    <n v="10.06"/>
    <s v="Scheduled"/>
    <n v="11"/>
    <n v="26411.69"/>
    <n v="0.90012642225031603"/>
    <n v="22256.47"/>
    <n v="663.65764854614395"/>
    <n v="653.33333333333303"/>
    <n v="0.97397959183673499"/>
    <n v="3491.5623514538602"/>
    <n v="0.98875000000000002"/>
    <n v="9.9873577749683945E-2"/>
    <n v="3.7926675094816689E-2"/>
    <n v="0.90012642225031603"/>
    <n v="0.28333333333333333"/>
    <n v="636.33333333333303"/>
    <n v="1.2430591932949193"/>
    <n v="1.2244897959183674"/>
    <n v="1.0151650078575174"/>
    <n v="0.90012642225031603"/>
    <n v="0.89000000000000057"/>
    <n v="28.137130214917828"/>
    <n v="4.4141116958961568"/>
    <s v="Medium"/>
    <s v="Warning"/>
  </r>
  <r>
    <n v="663"/>
    <d v="2026-04-14T00:00:00"/>
    <x v="5"/>
    <s v="Plant A"/>
    <x v="4"/>
    <x v="14"/>
    <x v="1"/>
    <x v="2"/>
    <s v="B260414-0663"/>
    <s v="OP112"/>
    <n v="586"/>
    <n v="594"/>
    <n v="534"/>
    <n v="60"/>
    <n v="14"/>
    <n v="0"/>
    <s v="No Downtime"/>
    <n v="64"/>
    <n v="63"/>
    <n v="70.3"/>
    <n v="2.4"/>
    <n v="22"/>
    <n v="18652.509999999998"/>
    <n v="9.59"/>
    <s v="Completed"/>
    <n v="19"/>
    <n v="28368.54"/>
    <n v="0.89898989898989901"/>
    <n v="23166.01"/>
    <n v="439.62144781144798"/>
    <n v="625.06666666666695"/>
    <n v="1"/>
    <n v="4762.9085521885499"/>
    <n v="1.0136518771331058"/>
    <n v="0.10101010101010101"/>
    <n v="2.3569023569023569E-2"/>
    <n v="0.89898989898989901"/>
    <n v="0"/>
    <n v="625.06666666666695"/>
    <n v="0.95029863481228627"/>
    <n v="0.9375"/>
    <n v="1.0136518771331053"/>
    <n v="0.89898989898989901"/>
    <n v="0.91126279863481185"/>
    <n v="39.000016835016829"/>
    <n v="8.0183645659739895"/>
    <s v="Medium"/>
    <s v="Warning"/>
  </r>
  <r>
    <n v="664"/>
    <d v="2026-05-10T00:00:00"/>
    <x v="3"/>
    <s v="Plant A"/>
    <x v="2"/>
    <x v="9"/>
    <x v="0"/>
    <x v="3"/>
    <s v="B260510-0664"/>
    <s v="OP132"/>
    <n v="885"/>
    <n v="904"/>
    <n v="859"/>
    <n v="45"/>
    <n v="11"/>
    <n v="0"/>
    <s v="No Downtime"/>
    <n v="49"/>
    <n v="49"/>
    <n v="65.5"/>
    <n v="1.57"/>
    <n v="28.39"/>
    <n v="19426.490000000002"/>
    <n v="9.4600000000000009"/>
    <s v="Overdue"/>
    <n v="22"/>
    <n v="33413.4"/>
    <n v="0.95022123893805299"/>
    <n v="23939"/>
    <n v="236.38428097345101"/>
    <n v="722.75"/>
    <n v="1"/>
    <n v="9238.0157190265509"/>
    <n v="1.0214689265536723"/>
    <n v="4.9778761061946904E-2"/>
    <n v="1.2168141592920354E-2"/>
    <n v="0.9502212389380531"/>
    <n v="0"/>
    <n v="722.75"/>
    <n v="1.2507782774126599"/>
    <n v="1.2244897959183674"/>
    <n v="1.0214689265536723"/>
    <n v="0.9502212389380531"/>
    <n v="0.97062146892655365"/>
    <n v="26.481194690265486"/>
    <n v="10.219043936976274"/>
    <s v="High"/>
    <s v="Normal"/>
  </r>
  <r>
    <n v="665"/>
    <d v="2026-05-28T00:00:00"/>
    <x v="3"/>
    <s v="Plant A"/>
    <x v="0"/>
    <x v="1"/>
    <x v="1"/>
    <x v="0"/>
    <s v="B260528-0665"/>
    <s v="OP113"/>
    <n v="890"/>
    <n v="854"/>
    <n v="810"/>
    <n v="44"/>
    <n v="9"/>
    <n v="26"/>
    <s v="Operator Issue"/>
    <n v="42"/>
    <n v="42"/>
    <n v="76.099999999999994"/>
    <n v="1.69"/>
    <n v="33.299999999999997"/>
    <n v="16531"/>
    <n v="9.5"/>
    <s v="Scheduled"/>
    <n v="23"/>
    <n v="26457.91"/>
    <n v="0.94847775175644"/>
    <n v="21105.7"/>
    <n v="174.21428571428601"/>
    <n v="623"/>
    <n v="0.95826645264847499"/>
    <n v="5177.9957142857102"/>
    <n v="0.95955056179775278"/>
    <n v="5.1522248243559721E-2"/>
    <n v="1.0538641686182669E-2"/>
    <n v="0.94847775175644033"/>
    <n v="0.43333333333333335"/>
    <n v="597"/>
    <n v="1.4304857621440537"/>
    <n v="1.4285714285714286"/>
    <n v="1.0013400335008376"/>
    <n v="0.94847775175644033"/>
    <n v="0.91011235955056169"/>
    <n v="24.71393442622951"/>
    <n v="6.0632268317162881"/>
    <s v="Low"/>
    <s v="Normal"/>
  </r>
  <r>
    <n v="666"/>
    <d v="2026-05-15T00:00:00"/>
    <x v="3"/>
    <s v="Plant A"/>
    <x v="3"/>
    <x v="7"/>
    <x v="1"/>
    <x v="3"/>
    <s v="B260515-0666"/>
    <s v="OP102"/>
    <n v="756"/>
    <n v="774"/>
    <n v="735"/>
    <n v="39"/>
    <n v="9"/>
    <n v="39"/>
    <s v="Operator Issue"/>
    <n v="49"/>
    <n v="49"/>
    <n v="72.3"/>
    <n v="1.86"/>
    <n v="27.72"/>
    <n v="18044.759999999998"/>
    <n v="9.7200000000000006"/>
    <s v="Scheduled"/>
    <n v="27"/>
    <n v="28033.040000000001"/>
    <n v="0.94961240310077499"/>
    <n v="22668.240000000002"/>
    <n v="209.82279069767401"/>
    <n v="617.4"/>
    <n v="0.93683187560738601"/>
    <n v="5154.9772093023303"/>
    <n v="1.0238095238095237"/>
    <n v="5.0387596899224806E-2"/>
    <n v="1.1627906976744186E-2"/>
    <n v="0.94961240310077522"/>
    <n v="0.65"/>
    <n v="578.4"/>
    <n v="1.3381742738589213"/>
    <n v="1.2244897959183674"/>
    <n v="1.0928423236514524"/>
    <n v="0.94961240310077522"/>
    <n v="0.97222222222222254"/>
    <n v="29.287131782945739"/>
    <n v="6.6601772730004267"/>
    <s v="Low"/>
    <s v="Normal"/>
  </r>
  <r>
    <n v="667"/>
    <d v="2026-06-04T00:00:00"/>
    <x v="0"/>
    <s v="Plant A"/>
    <x v="1"/>
    <x v="5"/>
    <x v="0"/>
    <x v="0"/>
    <s v="B260604-0667"/>
    <s v="OP133"/>
    <n v="898"/>
    <n v="943"/>
    <n v="907"/>
    <n v="36"/>
    <n v="10"/>
    <n v="6"/>
    <s v="Tool Change"/>
    <n v="42"/>
    <n v="46"/>
    <n v="66.900000000000006"/>
    <n v="2.9"/>
    <n v="35.99"/>
    <n v="16983.97"/>
    <n v="10.55"/>
    <s v="Completed"/>
    <n v="45"/>
    <n v="29382.91"/>
    <n v="0.96182396606574805"/>
    <n v="22055.38"/>
    <n v="180.10572640509"/>
    <n v="628.6"/>
    <n v="0.99045497931912196"/>
    <n v="7147.4242735949101"/>
    <n v="1.0501113585746102"/>
    <n v="3.8176033934252389E-2"/>
    <n v="1.0604453870625663E-2"/>
    <n v="0.9618239660657476"/>
    <n v="0.1"/>
    <n v="622.6"/>
    <n v="1.5146161259235464"/>
    <n v="1.4285714285714286"/>
    <n v="1.0602312881464824"/>
    <n v="0.9618239660657476"/>
    <n v="1.0100222717149221"/>
    <n v="23.388525980911986"/>
    <n v="7.5794531003127359"/>
    <s v="Medium"/>
    <s v="Normal"/>
  </r>
  <r>
    <n v="668"/>
    <d v="2026-05-11T00:00:00"/>
    <x v="3"/>
    <s v="Plant B"/>
    <x v="4"/>
    <x v="12"/>
    <x v="1"/>
    <x v="1"/>
    <s v="B260511-0668"/>
    <s v="OP128"/>
    <n v="866"/>
    <n v="739"/>
    <n v="643"/>
    <n v="96"/>
    <n v="18"/>
    <n v="36"/>
    <s v="Tool Change"/>
    <n v="45"/>
    <n v="47"/>
    <n v="73.5"/>
    <n v="3.15"/>
    <n v="30.92"/>
    <n v="14312.16"/>
    <n v="6.58"/>
    <s v="Completed"/>
    <n v="32"/>
    <n v="22692.91"/>
    <n v="0.87009472259810605"/>
    <n v="17551.439999999999"/>
    <n v="348.60470906630599"/>
    <n v="649.5"/>
    <n v="0.94457274826789805"/>
    <n v="4792.8652909336997"/>
    <n v="0.85334872979214782"/>
    <n v="0.12990527740189445"/>
    <n v="2.4357239512855209E-2"/>
    <n v="0.8700947225981055"/>
    <n v="0.6"/>
    <n v="613.5"/>
    <n v="1.2045639771801142"/>
    <n v="1.3333333333333333"/>
    <n v="0.90342298288508571"/>
    <n v="0.8700947225981055"/>
    <n v="0.74249422632794437"/>
    <n v="23.750257104194855"/>
    <n v="6.4856093246734776"/>
    <s v="High"/>
    <s v="Critical"/>
  </r>
  <r>
    <n v="669"/>
    <d v="2026-05-31T00:00:00"/>
    <x v="3"/>
    <s v="Plant A"/>
    <x v="0"/>
    <x v="3"/>
    <x v="0"/>
    <x v="2"/>
    <s v="B260531-0669"/>
    <s v="OP108"/>
    <n v="654"/>
    <n v="590"/>
    <n v="563"/>
    <n v="27"/>
    <n v="7"/>
    <n v="29"/>
    <s v="Material Shortage"/>
    <n v="64"/>
    <n v="66"/>
    <n v="71"/>
    <n v="1.38"/>
    <n v="20.32"/>
    <n v="18546.59"/>
    <n v="7.64"/>
    <s v="Scheduled"/>
    <n v="20"/>
    <n v="29656.71"/>
    <n v="0.95423728813559305"/>
    <n v="22167.47"/>
    <n v="220.04428813559301"/>
    <n v="697.6"/>
    <n v="0.95842889908256901"/>
    <n v="7269.1957118644104"/>
    <n v="0.90214067278287458"/>
    <n v="4.576271186440678E-2"/>
    <n v="1.1864406779661017E-2"/>
    <n v="0.95423728813559328"/>
    <n v="0.48333333333333334"/>
    <n v="668.6"/>
    <n v="0.88244092132814833"/>
    <n v="0.9375"/>
    <n v="0.94127031608335821"/>
    <n v="0.95423728813559328"/>
    <n v="0.86085626911315005"/>
    <n v="37.571983050847457"/>
    <n v="12.320670698075272"/>
    <s v="Low"/>
    <s v="Normal"/>
  </r>
  <r>
    <n v="670"/>
    <d v="2026-02-06T00:00:00"/>
    <x v="4"/>
    <s v="Plant B"/>
    <x v="3"/>
    <x v="7"/>
    <x v="1"/>
    <x v="4"/>
    <s v="B260206-0670"/>
    <s v="OP129"/>
    <n v="704"/>
    <n v="693"/>
    <n v="667"/>
    <n v="26"/>
    <n v="7"/>
    <n v="16"/>
    <s v="Machine Breakdown"/>
    <n v="57"/>
    <n v="58"/>
    <n v="63.8"/>
    <n v="1.98"/>
    <n v="22.46"/>
    <n v="19116.57"/>
    <n v="9.6999999999999993"/>
    <s v="Completed"/>
    <n v="32"/>
    <n v="30761.83"/>
    <n v="0.96248196248196305"/>
    <n v="23683.71"/>
    <n v="193.09666666666701"/>
    <n v="668.8"/>
    <n v="0.97607655502392299"/>
    <n v="6885.0233333333399"/>
    <n v="0.984375"/>
    <n v="3.751803751803752E-2"/>
    <n v="1.0101010101010102E-2"/>
    <n v="0.96248196248196249"/>
    <n v="0.26666666666666666"/>
    <n v="652.79999999999995"/>
    <n v="1.0615808823529413"/>
    <n v="1.0526315789473684"/>
    <n v="1.0085018382352944"/>
    <n v="0.96248196248196249"/>
    <n v="0.94744318181818166"/>
    <n v="34.175627705627704"/>
    <n v="9.9350986050986148"/>
    <s v="Medium"/>
    <s v="Normal"/>
  </r>
  <r>
    <n v="671"/>
    <d v="2026-01-28T00:00:00"/>
    <x v="2"/>
    <s v="Plant A"/>
    <x v="3"/>
    <x v="8"/>
    <x v="0"/>
    <x v="4"/>
    <s v="B260128-0671"/>
    <s v="OP101"/>
    <n v="680"/>
    <n v="621"/>
    <n v="581"/>
    <n v="40"/>
    <n v="7"/>
    <n v="33"/>
    <s v="Machine Breakdown"/>
    <n v="57"/>
    <n v="55"/>
    <n v="75.900000000000006"/>
    <n v="2.4700000000000002"/>
    <n v="20.5"/>
    <n v="17115.78"/>
    <n v="6.84"/>
    <s v="Scheduled"/>
    <n v="33"/>
    <n v="27186.1"/>
    <n v="0.93558776167471802"/>
    <n v="20378.28"/>
    <n v="192.93149758454101"/>
    <n v="646"/>
    <n v="0.94891640866873095"/>
    <n v="6614.8885024154597"/>
    <n v="0.91323529411764703"/>
    <n v="6.4412238325281798E-2"/>
    <n v="1.1272141706924315E-2"/>
    <n v="0.93558776167471824"/>
    <n v="0.55000000000000004"/>
    <n v="613"/>
    <n v="1.0130505709624795"/>
    <n v="1.0526315789473684"/>
    <n v="0.96239804241435556"/>
    <n v="0.93558776167471824"/>
    <n v="0.85441176470588254"/>
    <n v="32.815265700483089"/>
    <n v="10.651994367818777"/>
    <s v="Medium"/>
    <s v="Normal"/>
  </r>
  <r>
    <n v="672"/>
    <d v="2026-03-31T00:00:00"/>
    <x v="1"/>
    <s v="Plant B"/>
    <x v="1"/>
    <x v="2"/>
    <x v="0"/>
    <x v="2"/>
    <s v="B260331-0672"/>
    <s v="OP118"/>
    <n v="573"/>
    <n v="571"/>
    <n v="537"/>
    <n v="34"/>
    <n v="12"/>
    <n v="39"/>
    <s v="Machine Breakdown"/>
    <n v="64"/>
    <n v="63"/>
    <n v="79.8"/>
    <n v="2.5"/>
    <n v="21.22"/>
    <n v="17151.04"/>
    <n v="7.51"/>
    <s v="Completed"/>
    <n v="40"/>
    <n v="28542.29"/>
    <n v="0.94045534150612997"/>
    <n v="20721.52"/>
    <n v="360.44217162872201"/>
    <n v="611.20000000000005"/>
    <n v="0.93619109947643997"/>
    <n v="7460.3278283712798"/>
    <n v="0.99650959860383947"/>
    <n v="5.9544658493870403E-2"/>
    <n v="2.1015761821366025E-2"/>
    <n v="0.94045534150612964"/>
    <n v="0.65"/>
    <n v="572.20000000000005"/>
    <n v="0.99790283117790979"/>
    <n v="0.9375"/>
    <n v="1.0644296865897704"/>
    <n v="0.94045534150612964"/>
    <n v="0.9371727748691101"/>
    <n v="36.289877408056043"/>
    <n v="13.065372729196637"/>
    <s v="Medium"/>
    <s v="Normal"/>
  </r>
  <r>
    <n v="673"/>
    <d v="2026-04-23T00:00:00"/>
    <x v="5"/>
    <s v="Plant A"/>
    <x v="1"/>
    <x v="5"/>
    <x v="0"/>
    <x v="1"/>
    <s v="B260423-0673"/>
    <s v="OP113"/>
    <n v="906"/>
    <n v="1084"/>
    <n v="1053"/>
    <n v="31"/>
    <n v="10"/>
    <n v="0"/>
    <s v="No Downtime"/>
    <n v="45"/>
    <n v="47"/>
    <n v="69.400000000000006"/>
    <n v="2.39"/>
    <n v="38.340000000000003"/>
    <n v="22864.65"/>
    <n v="12.1"/>
    <s v="Overdue"/>
    <n v="20"/>
    <n v="37369.800000000003"/>
    <n v="0.97140221402214"/>
    <n v="28654.71"/>
    <n v="210.928505535055"/>
    <n v="679.5"/>
    <n v="1"/>
    <n v="8504.16149446495"/>
    <n v="1.1964679911699778"/>
    <n v="2.859778597785978E-2"/>
    <n v="9.2250922509225092E-3"/>
    <n v="0.97140221402214022"/>
    <n v="0"/>
    <n v="679.5"/>
    <n v="1.5952906548933039"/>
    <n v="1.3333333333333333"/>
    <n v="1.196467991169978"/>
    <n v="0.97140221402214022"/>
    <n v="1.1622516556291391"/>
    <n v="26.434234317343172"/>
    <n v="7.8451674303182193"/>
    <s v="High"/>
    <s v="Normal"/>
  </r>
  <r>
    <n v="674"/>
    <d v="2026-03-25T00:00:00"/>
    <x v="1"/>
    <s v="Plant A"/>
    <x v="4"/>
    <x v="14"/>
    <x v="1"/>
    <x v="0"/>
    <s v="B260325-0674"/>
    <s v="OP111"/>
    <n v="886"/>
    <n v="793"/>
    <n v="729"/>
    <n v="64"/>
    <n v="18"/>
    <n v="21"/>
    <s v="Tool Change"/>
    <n v="42"/>
    <n v="46"/>
    <n v="73.8"/>
    <n v="2.67"/>
    <n v="28.52"/>
    <n v="15087.93"/>
    <n v="9.0500000000000007"/>
    <s v="Completed"/>
    <n v="19"/>
    <n v="23759.439999999999"/>
    <n v="0.91929382093316503"/>
    <n v="19417.11"/>
    <n v="342.47508196721299"/>
    <n v="620.20000000000005"/>
    <n v="0.96613995485327298"/>
    <n v="3999.85491803279"/>
    <n v="0.89503386004514673"/>
    <n v="8.0706179066834804E-2"/>
    <n v="2.269861286254729E-2"/>
    <n v="0.91929382093316514"/>
    <n v="0.35"/>
    <n v="599.20000000000005"/>
    <n v="1.3234312416555407"/>
    <n v="1.4285714285714286"/>
    <n v="0.92640186915887845"/>
    <n v="0.91929382093316514"/>
    <n v="0.8227990970654625"/>
    <n v="24.485636822194198"/>
    <n v="5.0439532383767842"/>
    <s v="Medium"/>
    <s v="Warning"/>
  </r>
  <r>
    <n v="675"/>
    <d v="2026-03-16T00:00:00"/>
    <x v="1"/>
    <s v="Plant A"/>
    <x v="0"/>
    <x v="0"/>
    <x v="0"/>
    <x v="2"/>
    <s v="B260316-0675"/>
    <s v="OP132"/>
    <n v="606"/>
    <n v="599"/>
    <n v="571"/>
    <n v="28"/>
    <n v="7"/>
    <n v="51"/>
    <s v="Preventive Maintenance"/>
    <n v="64"/>
    <n v="69"/>
    <n v="71.8"/>
    <n v="1.62"/>
    <n v="24.96"/>
    <n v="19147.79"/>
    <n v="10.09"/>
    <s v="Overdue"/>
    <n v="42"/>
    <n v="29182.91"/>
    <n v="0.95325542570951605"/>
    <n v="23912.93"/>
    <n v="223.76382303839699"/>
    <n v="646.4"/>
    <n v="0.92110148514851498"/>
    <n v="5046.2161769615996"/>
    <n v="0.98844884488448848"/>
    <n v="4.6744574290484141E-2"/>
    <n v="1.1686143572621035E-2"/>
    <n v="0.95325542570951582"/>
    <n v="0.85"/>
    <n v="595.4"/>
    <n v="1.0060463553913337"/>
    <n v="0.9375"/>
    <n v="1.0731161124174227"/>
    <n v="0.95325542570951582"/>
    <n v="0.9422442244224426"/>
    <n v="39.92141903171953"/>
    <n v="8.4244009632080132"/>
    <s v="High"/>
    <s v="Normal"/>
  </r>
  <r>
    <n v="676"/>
    <d v="2026-03-25T00:00:00"/>
    <x v="1"/>
    <s v="Plant A"/>
    <x v="2"/>
    <x v="9"/>
    <x v="2"/>
    <x v="4"/>
    <s v="B260325-0676"/>
    <s v="OP109"/>
    <n v="558"/>
    <n v="398"/>
    <n v="375"/>
    <n v="23"/>
    <n v="4"/>
    <n v="0"/>
    <s v="No Downtime"/>
    <n v="57"/>
    <n v="58"/>
    <n v="66.7"/>
    <n v="2.6"/>
    <n v="15"/>
    <n v="10346.700000000001"/>
    <n v="6.93"/>
    <s v="Completed"/>
    <n v="18"/>
    <n v="17571.71"/>
    <n v="0.94221105527638205"/>
    <n v="13600.2"/>
    <n v="103.986934673367"/>
    <n v="530.1"/>
    <n v="1"/>
    <n v="3867.5230653266299"/>
    <n v="0.71326164874551967"/>
    <n v="5.7788944723618091E-2"/>
    <n v="1.0050251256281407E-2"/>
    <n v="0.94221105527638194"/>
    <n v="0"/>
    <n v="530.1"/>
    <n v="0.75080173552159968"/>
    <n v="1.0526315789473684"/>
    <n v="0.71326164874551978"/>
    <n v="0.94221105527638194"/>
    <n v="0.67204301075268824"/>
    <n v="34.171356783919599"/>
    <n v="9.7173946364990709"/>
    <s v="High"/>
    <s v="Critical"/>
  </r>
  <r>
    <n v="677"/>
    <d v="2026-06-25T00:00:00"/>
    <x v="0"/>
    <s v="Plant B"/>
    <x v="2"/>
    <x v="9"/>
    <x v="1"/>
    <x v="4"/>
    <s v="B260625-0677"/>
    <s v="OP123"/>
    <n v="695"/>
    <n v="632"/>
    <n v="609"/>
    <n v="23"/>
    <n v="9"/>
    <n v="0"/>
    <s v="No Downtime"/>
    <n v="57"/>
    <n v="58"/>
    <n v="71.7"/>
    <n v="1.76"/>
    <n v="23.86"/>
    <n v="17940.13"/>
    <n v="7.15"/>
    <s v="Completed"/>
    <n v="22"/>
    <n v="27681.37"/>
    <n v="0.963607594936709"/>
    <n v="21372.37"/>
    <n v="255.47653481012699"/>
    <n v="660.25"/>
    <n v="1"/>
    <n v="6053.52346518987"/>
    <n v="0.90935251798561156"/>
    <n v="3.6392405063291139E-2"/>
    <n v="1.4240506329113924E-2"/>
    <n v="0.96360759493670889"/>
    <n v="0"/>
    <n v="660.25"/>
    <n v="0.9572131768269595"/>
    <n v="1.0526315789473684"/>
    <n v="0.90935251798561156"/>
    <n v="0.96360759493670889"/>
    <n v="0.87625899280575548"/>
    <n v="33.817041139240501"/>
    <n v="9.5783599132751114"/>
    <s v="Low"/>
    <s v="Normal"/>
  </r>
  <r>
    <n v="678"/>
    <d v="2026-04-10T00:00:00"/>
    <x v="5"/>
    <s v="Plant A"/>
    <x v="2"/>
    <x v="9"/>
    <x v="0"/>
    <x v="3"/>
    <s v="B260410-0678"/>
    <s v="OP123"/>
    <n v="703"/>
    <n v="701"/>
    <n v="674"/>
    <n v="27"/>
    <n v="11"/>
    <n v="35"/>
    <s v="Setup Time"/>
    <n v="49"/>
    <n v="48"/>
    <n v="73.3"/>
    <n v="1.42"/>
    <n v="30.48"/>
    <n v="15725.52"/>
    <n v="7.48"/>
    <s v="Completed"/>
    <n v="14"/>
    <n v="25269.59"/>
    <n v="0.96148359486447899"/>
    <n v="19365.84"/>
    <n v="246.76279600570601"/>
    <n v="574.11666666666702"/>
    <n v="0.93903678114204403"/>
    <n v="5656.9872039942902"/>
    <n v="0.99715504978662872"/>
    <n v="3.8516405135520682E-2"/>
    <n v="1.5691868758915834E-2"/>
    <n v="0.96148359486447932"/>
    <n v="0.58333333333333337"/>
    <n v="539.11666666666702"/>
    <n v="1.3002751414350626"/>
    <n v="1.2244897959183674"/>
    <n v="1.0618913655053011"/>
    <n v="0.96148359486447932"/>
    <n v="0.95874822190611564"/>
    <n v="27.626019971469329"/>
    <n v="8.0698818887222394"/>
    <s v="Low"/>
    <s v="Normal"/>
  </r>
  <r>
    <n v="679"/>
    <d v="2026-05-11T00:00:00"/>
    <x v="3"/>
    <s v="Plant A"/>
    <x v="0"/>
    <x v="0"/>
    <x v="2"/>
    <x v="2"/>
    <s v="B260511-0679"/>
    <s v="OP127"/>
    <n v="570"/>
    <n v="511"/>
    <n v="484"/>
    <n v="27"/>
    <n v="6"/>
    <n v="0"/>
    <s v="No Downtime"/>
    <n v="64"/>
    <n v="69"/>
    <n v="75.3"/>
    <n v="1.57"/>
    <n v="20.07"/>
    <n v="16715.64"/>
    <n v="7.67"/>
    <s v="Scheduled"/>
    <n v="18"/>
    <n v="24623.82"/>
    <n v="0.94716242661448102"/>
    <n v="20347.77"/>
    <n v="196.269745596869"/>
    <n v="608"/>
    <n v="1"/>
    <n v="4079.7802544031301"/>
    <n v="0.89649122807017545"/>
    <n v="5.2837573385518588E-2"/>
    <n v="1.1741682974559686E-2"/>
    <n v="0.94716242661448136"/>
    <n v="0"/>
    <n v="608"/>
    <n v="0.84046052631578949"/>
    <n v="0.9375"/>
    <n v="0.89649122807017545"/>
    <n v="0.94716242661448136"/>
    <n v="0.84912280701754383"/>
    <n v="39.819510763209394"/>
    <n v="7.9839143921783364"/>
    <s v="Medium"/>
    <s v="Warning"/>
  </r>
  <r>
    <n v="680"/>
    <d v="2026-01-30T00:00:00"/>
    <x v="2"/>
    <s v="Plant A"/>
    <x v="0"/>
    <x v="3"/>
    <x v="0"/>
    <x v="0"/>
    <s v="B260130-0680"/>
    <s v="OP112"/>
    <n v="741"/>
    <n v="674"/>
    <n v="645"/>
    <n v="29"/>
    <n v="7"/>
    <n v="16"/>
    <s v="Quality Inspection"/>
    <n v="42"/>
    <n v="44"/>
    <n v="79.5"/>
    <n v="1.69"/>
    <n v="25.36"/>
    <n v="11776.26"/>
    <n v="8.27"/>
    <s v="Completed"/>
    <n v="9"/>
    <n v="20438.53"/>
    <n v="0.95697329376854601"/>
    <n v="15726"/>
    <n v="122.305370919881"/>
    <n v="518.70000000000005"/>
    <n v="0.96915365336418002"/>
    <n v="4590.2246290801204"/>
    <n v="0.90958164642375172"/>
    <n v="4.3026706231454007E-2"/>
    <n v="1.0385756676557863E-2"/>
    <n v="0.95697329376854601"/>
    <n v="0.26666666666666666"/>
    <n v="502.70000000000005"/>
    <n v="1.3407598965585836"/>
    <n v="1.4285714285714286"/>
    <n v="0.93853192759100856"/>
    <n v="0.95697329376854601"/>
    <n v="0.87044534412955499"/>
    <n v="23.332344213649851"/>
    <n v="6.8104222983384579"/>
    <s v="Low"/>
    <s v="Normal"/>
  </r>
  <r>
    <n v="681"/>
    <d v="2026-05-18T00:00:00"/>
    <x v="3"/>
    <s v="Plant A"/>
    <x v="3"/>
    <x v="7"/>
    <x v="1"/>
    <x v="1"/>
    <s v="B260518-0681"/>
    <s v="OP120"/>
    <n v="946"/>
    <n v="850"/>
    <n v="815"/>
    <n v="35"/>
    <n v="6"/>
    <n v="7"/>
    <s v="Machine Breakdown"/>
    <n v="45"/>
    <n v="45"/>
    <n v="64.7"/>
    <n v="1.88"/>
    <n v="31.67"/>
    <n v="16693.419999999998"/>
    <n v="7.32"/>
    <s v="Completed"/>
    <n v="24"/>
    <n v="29106.9"/>
    <n v="0.95882352941176496"/>
    <n v="20272.45"/>
    <n v="117.835905882353"/>
    <n v="709.5"/>
    <n v="0.99013389711064104"/>
    <n v="8716.6140941176509"/>
    <n v="0.89852008456659616"/>
    <n v="4.1176470588235294E-2"/>
    <n v="7.058823529411765E-3"/>
    <n v="0.95882352941176474"/>
    <n v="0.11666666666666667"/>
    <n v="702.5"/>
    <n v="1.209964412811388"/>
    <n v="1.3333333333333333"/>
    <n v="0.907473309608541"/>
    <n v="0.95882352941176474"/>
    <n v="0.86152219873150093"/>
    <n v="23.84994117647059"/>
    <n v="10.254840110726649"/>
    <s v="Low"/>
    <s v="Normal"/>
  </r>
  <r>
    <n v="682"/>
    <d v="2026-06-01T00:00:00"/>
    <x v="0"/>
    <s v="Plant A"/>
    <x v="4"/>
    <x v="13"/>
    <x v="1"/>
    <x v="1"/>
    <s v="B260601-0682"/>
    <s v="OP105"/>
    <n v="680"/>
    <n v="673"/>
    <n v="642"/>
    <n v="31"/>
    <n v="6"/>
    <n v="27"/>
    <s v="Preventive Maintenance"/>
    <n v="45"/>
    <n v="44"/>
    <n v="70"/>
    <n v="1.58"/>
    <n v="28.39"/>
    <n v="13424.76"/>
    <n v="8.51"/>
    <s v="Completed"/>
    <n v="19"/>
    <n v="22236.27"/>
    <n v="0.95393759286775603"/>
    <n v="17509.77"/>
    <n v="119.68582466567599"/>
    <n v="510"/>
    <n v="0.94705882352941195"/>
    <n v="4606.8141753343198"/>
    <n v="0.98970588235294121"/>
    <n v="4.6062407132243688E-2"/>
    <n v="8.9153046062407128E-3"/>
    <n v="0.95393759286775637"/>
    <n v="0.45"/>
    <n v="483"/>
    <n v="1.3933747412008282"/>
    <n v="1.3333333333333333"/>
    <n v="1.0450310559006213"/>
    <n v="0.95393759286775637"/>
    <n v="0.94411764705882395"/>
    <n v="26.017488855869242"/>
    <n v="6.8451919395755123"/>
    <s v="Low"/>
    <s v="Normal"/>
  </r>
  <r>
    <n v="683"/>
    <d v="2026-04-04T00:00:00"/>
    <x v="5"/>
    <s v="Plant B"/>
    <x v="4"/>
    <x v="14"/>
    <x v="0"/>
    <x v="0"/>
    <s v="B260404-0683"/>
    <s v="OP105"/>
    <n v="799"/>
    <n v="676"/>
    <n v="604"/>
    <n v="72"/>
    <n v="30"/>
    <n v="37"/>
    <s v="Power Failure"/>
    <n v="42"/>
    <n v="42"/>
    <n v="80.099999999999994"/>
    <n v="2.3199999999999998"/>
    <n v="25.29"/>
    <n v="11789.23"/>
    <n v="6.73"/>
    <s v="Completed"/>
    <n v="51"/>
    <n v="19074.490000000002"/>
    <n v="0.89349112426035504"/>
    <n v="15045.34"/>
    <n v="523.19068047337305"/>
    <n v="559.29999999999995"/>
    <n v="0.93384587877704295"/>
    <n v="3505.9593195266302"/>
    <n v="0.84605757196495623"/>
    <n v="0.10650887573964497"/>
    <n v="4.4378698224852069E-2"/>
    <n v="0.89349112426035504"/>
    <n v="0.6166666666666667"/>
    <n v="522.29999999999995"/>
    <n v="1.2942753206969175"/>
    <n v="1.4285714285714286"/>
    <n v="0.90599272448784229"/>
    <n v="0.89349112426035504"/>
    <n v="0.75594493116395522"/>
    <n v="22.256420118343197"/>
    <n v="5.1863303543293346"/>
    <s v="High"/>
    <s v="Warning"/>
  </r>
  <r>
    <n v="684"/>
    <d v="2026-06-16T00:00:00"/>
    <x v="0"/>
    <s v="Plant A"/>
    <x v="4"/>
    <x v="13"/>
    <x v="0"/>
    <x v="2"/>
    <s v="B260616-0684"/>
    <s v="OP101"/>
    <n v="506"/>
    <n v="480"/>
    <n v="446"/>
    <n v="34"/>
    <n v="11"/>
    <n v="24"/>
    <s v="Machine Breakdown"/>
    <n v="64"/>
    <n v="62"/>
    <n v="64.900000000000006"/>
    <n v="2.81"/>
    <n v="19.510000000000002"/>
    <n v="14742.85"/>
    <n v="9.2899999999999991"/>
    <s v="Pending"/>
    <n v="24"/>
    <n v="23012.34"/>
    <n v="0.92916666666666703"/>
    <n v="19098.939999999999"/>
    <n v="337.85697916666697"/>
    <n v="539.73333333333301"/>
    <n v="0.95553359683794503"/>
    <n v="3575.54302083333"/>
    <n v="0.9486166007905138"/>
    <n v="7.0833333333333331E-2"/>
    <n v="2.2916666666666665E-2"/>
    <n v="0.9291666666666667"/>
    <n v="0.4"/>
    <n v="515.73333333333301"/>
    <n v="0.93071354705274101"/>
    <n v="0.9375"/>
    <n v="0.99276111685625712"/>
    <n v="0.9291666666666667"/>
    <n v="0.88142292490118668"/>
    <n v="39.789458333333329"/>
    <n v="7.4490479600694375"/>
    <s v="Medium"/>
    <s v="Normal"/>
  </r>
  <r>
    <n v="685"/>
    <d v="2026-06-01T00:00:00"/>
    <x v="0"/>
    <s v="Plant B"/>
    <x v="4"/>
    <x v="13"/>
    <x v="1"/>
    <x v="0"/>
    <s v="B260601-0685"/>
    <s v="OP116"/>
    <n v="848"/>
    <n v="746"/>
    <n v="705"/>
    <n v="41"/>
    <n v="8"/>
    <n v="48"/>
    <s v="Material Shortage"/>
    <n v="42"/>
    <n v="43"/>
    <n v="76.099999999999994"/>
    <n v="2.17"/>
    <n v="24.58"/>
    <n v="14285.46"/>
    <n v="7.94"/>
    <s v="Completed"/>
    <n v="41"/>
    <n v="22422.799999999999"/>
    <n v="0.94504021447721198"/>
    <n v="18079.68"/>
    <n v="153.19528150133999"/>
    <n v="593.6"/>
    <n v="0.91913746630727799"/>
    <n v="4189.9247184986598"/>
    <n v="0.87971698113207553"/>
    <n v="5.4959785522788206E-2"/>
    <n v="1.0723860589812333E-2"/>
    <n v="0.94504021447721176"/>
    <n v="0.8"/>
    <n v="545.6"/>
    <n v="1.3673020527859236"/>
    <n v="1.4285714285714286"/>
    <n v="0.95711143695014655"/>
    <n v="0.94504021447721176"/>
    <n v="0.8313679245283021"/>
    <n v="24.235495978552279"/>
    <n v="5.6165210703735386"/>
    <s v="Medium"/>
    <s v="Warning"/>
  </r>
  <r>
    <n v="686"/>
    <d v="2026-01-24T00:00:00"/>
    <x v="2"/>
    <s v="Plant B"/>
    <x v="3"/>
    <x v="7"/>
    <x v="1"/>
    <x v="4"/>
    <s v="B260124-0686"/>
    <s v="OP134"/>
    <n v="544"/>
    <n v="511"/>
    <n v="486"/>
    <n v="25"/>
    <n v="7"/>
    <n v="12"/>
    <s v="Machine Breakdown"/>
    <n v="57"/>
    <n v="55"/>
    <n v="69.400000000000006"/>
    <n v="0.86"/>
    <n v="16.05"/>
    <n v="13973.18"/>
    <n v="7.53"/>
    <s v="Completed"/>
    <n v="2"/>
    <n v="21992.74"/>
    <n v="0.95107632093933503"/>
    <n v="17506.13"/>
    <n v="191.41342465753399"/>
    <n v="516.79999999999995"/>
    <n v="0.976780185758514"/>
    <n v="4295.1965753424702"/>
    <n v="0.93933823529411764"/>
    <n v="4.8923679060665359E-2"/>
    <n v="1.3698630136986301E-2"/>
    <n v="0.95107632093933459"/>
    <n v="0.2"/>
    <n v="504.79999999999995"/>
    <n v="1.0122820919175912"/>
    <n v="1.0526315789473684"/>
    <n v="0.96166798732171166"/>
    <n v="0.95107632093933459"/>
    <n v="0.89338235294117652"/>
    <n v="34.258571428571429"/>
    <n v="8.4054727501809587"/>
    <s v="Low"/>
    <s v="Normal"/>
  </r>
  <r>
    <n v="687"/>
    <d v="2026-01-21T00:00:00"/>
    <x v="2"/>
    <s v="Plant A"/>
    <x v="4"/>
    <x v="13"/>
    <x v="2"/>
    <x v="2"/>
    <s v="B260121-0687"/>
    <s v="OP132"/>
    <n v="526"/>
    <n v="382"/>
    <n v="355"/>
    <n v="27"/>
    <n v="9"/>
    <n v="26"/>
    <s v="Machine Breakdown"/>
    <n v="64"/>
    <n v="64"/>
    <n v="73.8"/>
    <n v="2.5"/>
    <n v="15.08"/>
    <n v="11422.17"/>
    <n v="6.57"/>
    <s v="Completed"/>
    <n v="19"/>
    <n v="19013.53"/>
    <n v="0.92931937172774903"/>
    <n v="14514.39"/>
    <n v="269.10871727748702"/>
    <n v="561.06666666666695"/>
    <n v="0.95365969581749099"/>
    <n v="4230.0312827225098"/>
    <n v="0.72623574144486691"/>
    <n v="7.0680628272251314E-2"/>
    <n v="2.356020942408377E-2"/>
    <n v="0.9293193717277487"/>
    <n v="0.43333333333333335"/>
    <n v="535.06666666666695"/>
    <n v="0.7139297283827557"/>
    <n v="0.9375"/>
    <n v="0.76152504360827278"/>
    <n v="0.9293193717277487"/>
    <n v="0.67490494296577952"/>
    <n v="37.995785340314136"/>
    <n v="11.073380321263114"/>
    <s v="High"/>
    <s v="Critical"/>
  </r>
  <r>
    <n v="688"/>
    <d v="2026-02-21T00:00:00"/>
    <x v="4"/>
    <s v="Plant B"/>
    <x v="3"/>
    <x v="7"/>
    <x v="2"/>
    <x v="1"/>
    <s v="B260221-0688"/>
    <s v="OP126"/>
    <n v="903"/>
    <n v="798"/>
    <n v="763"/>
    <n v="35"/>
    <n v="15"/>
    <n v="39"/>
    <s v="Tool Change"/>
    <n v="45"/>
    <n v="50"/>
    <n v="70.2"/>
    <n v="1.57"/>
    <n v="28.55"/>
    <n v="15987.2"/>
    <n v="7.33"/>
    <s v="Scheduled"/>
    <n v="10"/>
    <n v="27113.74"/>
    <n v="0.95614035087719296"/>
    <n v="19542.650000000001"/>
    <n v="300.51127819548901"/>
    <n v="677.25"/>
    <n v="0.94241417497231506"/>
    <n v="7270.5787218045098"/>
    <n v="0.88372093023255816"/>
    <n v="4.3859649122807015E-2"/>
    <n v="1.8796992481203006E-2"/>
    <n v="0.95614035087719296"/>
    <n v="0.65"/>
    <n v="638.25"/>
    <n v="1.2502937720329024"/>
    <n v="1.3333333333333333"/>
    <n v="0.93772032902467684"/>
    <n v="0.95614035087719296"/>
    <n v="0.84496124031007791"/>
    <n v="24.489536340852133"/>
    <n v="9.1110009045169296"/>
    <s v="Medium"/>
    <s v="Warning"/>
  </r>
  <r>
    <n v="689"/>
    <d v="2026-01-30T00:00:00"/>
    <x v="2"/>
    <s v="Plant A"/>
    <x v="1"/>
    <x v="6"/>
    <x v="1"/>
    <x v="3"/>
    <s v="B260130-0689"/>
    <s v="OP117"/>
    <n v="639"/>
    <n v="617"/>
    <n v="579"/>
    <n v="38"/>
    <n v="13"/>
    <n v="0"/>
    <s v="No Downtime"/>
    <n v="49"/>
    <n v="51"/>
    <n v="71.3"/>
    <n v="1.91"/>
    <n v="19.440000000000001"/>
    <n v="13165.62"/>
    <n v="10.130000000000001"/>
    <s v="Completed"/>
    <n v="15"/>
    <n v="22377.52"/>
    <n v="0.93841166936790898"/>
    <n v="17899.080000000002"/>
    <n v="277.39555915721201"/>
    <n v="521.85"/>
    <n v="1"/>
    <n v="4201.0444408427902"/>
    <n v="0.96557120500782467"/>
    <n v="6.1588330632090758E-2"/>
    <n v="2.1069692058346839E-2"/>
    <n v="0.93841166936790921"/>
    <n v="0"/>
    <n v="521.85"/>
    <n v="1.1823320877646832"/>
    <n v="1.2244897959183674"/>
    <n v="0.96557120500782467"/>
    <n v="0.93841166936790921"/>
    <n v="0.90610328638497639"/>
    <n v="29.009854132901136"/>
    <n v="6.8088240532298059"/>
    <s v="Low"/>
    <s v="Normal"/>
  </r>
  <r>
    <n v="690"/>
    <d v="2026-01-11T00:00:00"/>
    <x v="2"/>
    <s v="Plant B"/>
    <x v="2"/>
    <x v="9"/>
    <x v="1"/>
    <x v="1"/>
    <s v="B260111-0690"/>
    <s v="OP120"/>
    <n v="934"/>
    <n v="1002"/>
    <n v="963"/>
    <n v="39"/>
    <n v="13"/>
    <n v="0"/>
    <s v="No Downtime"/>
    <n v="45"/>
    <n v="49"/>
    <n v="67.400000000000006"/>
    <n v="1.56"/>
    <n v="36.979999999999997"/>
    <n v="20250.68"/>
    <n v="9.69"/>
    <s v="Completed"/>
    <n v="4"/>
    <n v="33524.79"/>
    <n v="0.96107784431137699"/>
    <n v="24944"/>
    <n v="262.73337325349303"/>
    <n v="700.5"/>
    <n v="1"/>
    <n v="8318.0566267465092"/>
    <n v="1.0728051391862956"/>
    <n v="3.8922155688622756E-2"/>
    <n v="1.2974051896207584E-2"/>
    <n v="0.96107784431137722"/>
    <n v="0"/>
    <n v="700.5"/>
    <n v="1.4304068522483939"/>
    <n v="1.3333333333333333"/>
    <n v="1.0728051391862956"/>
    <n v="0.96107784431137722"/>
    <n v="1.0310492505353319"/>
    <n v="24.894211576846306"/>
    <n v="8.3014537193078937"/>
    <s v="Low"/>
    <s v="Normal"/>
  </r>
  <r>
    <n v="691"/>
    <d v="2026-04-08T00:00:00"/>
    <x v="5"/>
    <s v="Plant A"/>
    <x v="3"/>
    <x v="8"/>
    <x v="1"/>
    <x v="2"/>
    <s v="B260408-0691"/>
    <s v="OP132"/>
    <n v="572"/>
    <n v="516"/>
    <n v="481"/>
    <n v="35"/>
    <n v="11"/>
    <n v="52"/>
    <s v="Quality Inspection"/>
    <n v="64"/>
    <n v="65"/>
    <n v="79.400000000000006"/>
    <n v="1.49"/>
    <n v="18.3"/>
    <n v="16585.32"/>
    <n v="6.69"/>
    <s v="Pending"/>
    <n v="24"/>
    <n v="24658"/>
    <n v="0.93217054263565902"/>
    <n v="19760.52"/>
    <n v="353.56302325581402"/>
    <n v="610.13333333333298"/>
    <n v="0.91477272727272696"/>
    <n v="4543.9169767441899"/>
    <n v="0.90209790209790208"/>
    <n v="6.7829457364341081E-2"/>
    <n v="2.1317829457364341E-2"/>
    <n v="0.93217054263565891"/>
    <n v="0.8666666666666667"/>
    <n v="558.13333333333298"/>
    <n v="0.92451027233635985"/>
    <n v="0.9375"/>
    <n v="0.98614429049211716"/>
    <n v="0.93217054263565891"/>
    <n v="0.84090909090909105"/>
    <n v="38.29558139534884"/>
    <n v="8.8060406526050201"/>
    <s v="Medium"/>
    <s v="Warning"/>
  </r>
  <r>
    <n v="692"/>
    <d v="2026-04-21T00:00:00"/>
    <x v="5"/>
    <s v="Plant A"/>
    <x v="0"/>
    <x v="3"/>
    <x v="1"/>
    <x v="4"/>
    <s v="B260421-0692"/>
    <s v="OP135"/>
    <n v="736"/>
    <n v="673"/>
    <n v="648"/>
    <n v="25"/>
    <n v="5"/>
    <n v="24"/>
    <s v="Machine Breakdown"/>
    <n v="57"/>
    <n v="60"/>
    <n v="80.900000000000006"/>
    <n v="2.1800000000000002"/>
    <n v="28.73"/>
    <n v="19492.939999999999"/>
    <n v="9"/>
    <s v="Completed"/>
    <n v="22"/>
    <n v="30137.7"/>
    <n v="0.96285289747399705"/>
    <n v="23801.51"/>
    <n v="144.821248142645"/>
    <n v="699.2"/>
    <n v="0.96567505720823799"/>
    <n v="6191.3687518573597"/>
    <n v="0.91440217391304346"/>
    <n v="3.7147102526002972E-2"/>
    <n v="7.429420505200594E-3"/>
    <n v="0.96285289747399705"/>
    <n v="0.4"/>
    <n v="675.2"/>
    <n v="0.99674170616113733"/>
    <n v="1.0526315789473684"/>
    <n v="0.94690462085308047"/>
    <n v="0.96285289747399705"/>
    <n v="0.88043478260869557"/>
    <n v="35.366285289747395"/>
    <n v="9.1996563920614562"/>
    <s v="Medium"/>
    <s v="Warning"/>
  </r>
  <r>
    <n v="693"/>
    <d v="2026-06-07T00:00:00"/>
    <x v="0"/>
    <s v="Plant B"/>
    <x v="3"/>
    <x v="8"/>
    <x v="0"/>
    <x v="3"/>
    <s v="B260607-0693"/>
    <s v="OP102"/>
    <n v="895"/>
    <n v="876"/>
    <n v="823"/>
    <n v="53"/>
    <n v="16"/>
    <n v="15"/>
    <s v="Preventive Maintenance"/>
    <n v="49"/>
    <n v="47"/>
    <n v="70.3"/>
    <n v="1.66"/>
    <n v="26.96"/>
    <n v="20305.29"/>
    <n v="9.9"/>
    <s v="Completed"/>
    <n v="15"/>
    <n v="31719.55"/>
    <n v="0.93949771689497696"/>
    <n v="25002.93"/>
    <n v="370.872876712329"/>
    <n v="730.91666666666697"/>
    <n v="0.97947782464941302"/>
    <n v="6345.7471232876696"/>
    <n v="0.97877094972067036"/>
    <n v="6.0502283105022828E-2"/>
    <n v="1.8264840182648401E-2"/>
    <n v="0.93949771689497719"/>
    <n v="0.25"/>
    <n v="715.91666666666697"/>
    <n v="1.2236060994063549"/>
    <n v="1.2244897959183674"/>
    <n v="0.99927831451518978"/>
    <n v="0.93949771689497719"/>
    <n v="0.91955307262569796"/>
    <n v="28.542157534246577"/>
    <n v="7.2440035653968833"/>
    <s v="Low"/>
    <s v="Normal"/>
  </r>
  <r>
    <n v="694"/>
    <d v="2026-03-01T00:00:00"/>
    <x v="1"/>
    <s v="Plant B"/>
    <x v="2"/>
    <x v="10"/>
    <x v="1"/>
    <x v="0"/>
    <s v="B260301-0694"/>
    <s v="OP112"/>
    <n v="751"/>
    <n v="750"/>
    <n v="681"/>
    <n v="69"/>
    <n v="14"/>
    <n v="25"/>
    <s v="Tool Change"/>
    <n v="42"/>
    <n v="43"/>
    <n v="77.3"/>
    <n v="1.42"/>
    <n v="27.77"/>
    <n v="14121.34"/>
    <n v="7.47"/>
    <s v="Completed"/>
    <n v="20"/>
    <n v="22303.23"/>
    <n v="0.90800000000000003"/>
    <n v="17732.77"/>
    <n v="263.598346666667"/>
    <n v="525.70000000000005"/>
    <n v="0.952444359901084"/>
    <n v="4306.8616533333297"/>
    <n v="0.99866844207723038"/>
    <n v="9.1999999999999998E-2"/>
    <n v="1.8666666666666668E-2"/>
    <n v="0.90800000000000003"/>
    <n v="0.41666666666666669"/>
    <n v="500.70000000000005"/>
    <n v="1.4979029358897542"/>
    <n v="1.4285714285714286"/>
    <n v="1.0485320551228279"/>
    <n v="0.90800000000000003"/>
    <n v="0.90679094540612482"/>
    <n v="23.643693333333335"/>
    <n v="5.7424822044444399"/>
    <s v="Medium"/>
    <s v="Warning"/>
  </r>
  <r>
    <n v="695"/>
    <d v="2026-06-22T00:00:00"/>
    <x v="0"/>
    <s v="Plant B"/>
    <x v="3"/>
    <x v="11"/>
    <x v="1"/>
    <x v="4"/>
    <s v="B260622-0695"/>
    <s v="OP133"/>
    <n v="558"/>
    <n v="493"/>
    <n v="459"/>
    <n v="34"/>
    <n v="7"/>
    <n v="0"/>
    <s v="No Downtime"/>
    <n v="57"/>
    <n v="62"/>
    <n v="73"/>
    <n v="2.04"/>
    <n v="19.600000000000001"/>
    <n v="13689.24"/>
    <n v="6.69"/>
    <s v="Scheduled"/>
    <n v="24"/>
    <n v="21106.85"/>
    <n v="0.931034482758621"/>
    <n v="16876.14"/>
    <n v="194.370547667343"/>
    <n v="530.1"/>
    <n v="1"/>
    <n v="4036.3394523326601"/>
    <n v="0.88351254480286734"/>
    <n v="6.8965517241379309E-2"/>
    <n v="1.4198782961460446E-2"/>
    <n v="0.93103448275862066"/>
    <n v="0"/>
    <n v="530.1"/>
    <n v="0.93001320505564988"/>
    <n v="1.0526315789473684"/>
    <n v="0.88351254480286745"/>
    <n v="0.93103448275862066"/>
    <n v="0.82258064516129037"/>
    <n v="34.231521298174442"/>
    <n v="8.1873011203502237"/>
    <s v="Medium"/>
    <s v="Warning"/>
  </r>
  <r>
    <n v="696"/>
    <d v="2026-05-22T00:00:00"/>
    <x v="3"/>
    <s v="Plant A"/>
    <x v="3"/>
    <x v="7"/>
    <x v="0"/>
    <x v="2"/>
    <s v="B260522-0696"/>
    <s v="OP115"/>
    <n v="535"/>
    <n v="583"/>
    <n v="554"/>
    <n v="29"/>
    <n v="7"/>
    <n v="10"/>
    <s v="Power Failure"/>
    <n v="64"/>
    <n v="69"/>
    <n v="74.5"/>
    <n v="1.42"/>
    <n v="17.260000000000002"/>
    <n v="17903.04"/>
    <n v="10.15"/>
    <s v="Pending"/>
    <n v="39"/>
    <n v="28594.21"/>
    <n v="0.95025728987993097"/>
    <n v="22625.88"/>
    <n v="214.95931389365401"/>
    <n v="570.66666666666697"/>
    <n v="0.98247663551401898"/>
    <n v="5753.3706861063501"/>
    <n v="1.0897196261682243"/>
    <n v="4.974271012006861E-2"/>
    <n v="1.2006861063464836E-2"/>
    <n v="0.95025728987993141"/>
    <n v="0.16666666666666666"/>
    <n v="560.66666666666697"/>
    <n v="1.0398335315101064"/>
    <n v="0.9375"/>
    <n v="1.1091557669441134"/>
    <n v="0.95025728987993141"/>
    <n v="1.0355140186915883"/>
    <n v="38.80939965694683"/>
    <n v="9.8685603535271866"/>
    <s v="Medium"/>
    <s v="Normal"/>
  </r>
  <r>
    <n v="697"/>
    <d v="2026-05-20T00:00:00"/>
    <x v="3"/>
    <s v="Plant A"/>
    <x v="4"/>
    <x v="12"/>
    <x v="1"/>
    <x v="3"/>
    <s v="B260520-0697"/>
    <s v="OP133"/>
    <n v="779"/>
    <n v="613"/>
    <n v="535"/>
    <n v="78"/>
    <n v="25"/>
    <n v="32"/>
    <s v="Machine Breakdown"/>
    <n v="49"/>
    <n v="56"/>
    <n v="84.4"/>
    <n v="3"/>
    <n v="24.86"/>
    <n v="13542.03"/>
    <n v="7.05"/>
    <s v="Scheduled"/>
    <n v="32"/>
    <n v="20469.16"/>
    <n v="0.87275693311582403"/>
    <n v="16938.27"/>
    <n v="552.28507340946203"/>
    <n v="636.18333333333305"/>
    <n v="0.94970003405726899"/>
    <n v="2978.6049265905399"/>
    <n v="0.7869062901155327"/>
    <n v="0.12724306688417619"/>
    <n v="4.0783034257748776E-2"/>
    <n v="0.87275693311582381"/>
    <n v="0.53333333333333333"/>
    <n v="604.18333333333305"/>
    <n v="1.0145927008910103"/>
    <n v="1.2244897959183674"/>
    <n v="0.82858403906099176"/>
    <n v="0.87275693311582381"/>
    <n v="0.68677792041078356"/>
    <n v="27.631761827079934"/>
    <n v="4.8590618704576505"/>
    <s v="High"/>
    <s v="Critical"/>
  </r>
  <r>
    <n v="698"/>
    <d v="2026-04-22T00:00:00"/>
    <x v="5"/>
    <s v="Plant A"/>
    <x v="4"/>
    <x v="13"/>
    <x v="1"/>
    <x v="2"/>
    <s v="B260422-0698"/>
    <s v="OP134"/>
    <n v="563"/>
    <n v="512"/>
    <n v="471"/>
    <n v="41"/>
    <n v="16"/>
    <n v="24"/>
    <s v="Operator Issue"/>
    <n v="64"/>
    <n v="62"/>
    <n v="88.3"/>
    <n v="2.81"/>
    <n v="22.03"/>
    <n v="16178.99"/>
    <n v="9.51"/>
    <s v="Scheduled"/>
    <n v="13"/>
    <n v="23997.13"/>
    <n v="0.919921875"/>
    <n v="20656.759999999998"/>
    <n v="505.59343749999999"/>
    <n v="600.53333333333296"/>
    <n v="0.96003552397868597"/>
    <n v="2834.7765625000002"/>
    <n v="0.90941385435168742"/>
    <n v="8.0078125E-2"/>
    <n v="3.125E-2"/>
    <n v="0.919921875"/>
    <n v="0.4"/>
    <n v="576.53333333333296"/>
    <n v="0.88806660499537526"/>
    <n v="0.9375"/>
    <n v="0.94727104532840023"/>
    <n v="0.919921875"/>
    <n v="0.836589698046182"/>
    <n v="40.345234374999997"/>
    <n v="5.5366729736328129"/>
    <s v="High"/>
    <s v="Warning"/>
  </r>
  <r>
    <n v="699"/>
    <d v="2026-02-22T00:00:00"/>
    <x v="4"/>
    <s v="Plant B"/>
    <x v="0"/>
    <x v="3"/>
    <x v="0"/>
    <x v="1"/>
    <s v="B260222-0699"/>
    <s v="OP101"/>
    <n v="854"/>
    <n v="726"/>
    <n v="703"/>
    <n v="23"/>
    <n v="9"/>
    <n v="55"/>
    <s v="Material Shortage"/>
    <n v="45"/>
    <n v="46"/>
    <n v="77.099999999999994"/>
    <n v="1.73"/>
    <n v="30.43"/>
    <n v="14458.27"/>
    <n v="7.85"/>
    <s v="Scheduled"/>
    <n v="24"/>
    <n v="24826.87"/>
    <n v="0.96831955922864998"/>
    <n v="18264.64"/>
    <n v="179.23475206611599"/>
    <n v="640.5"/>
    <n v="0.91412958626073404"/>
    <n v="6382.9952479338799"/>
    <n v="0.85011709601873531"/>
    <n v="3.1680440771349863E-2"/>
    <n v="1.2396694214876033E-2"/>
    <n v="0.9683195592286501"/>
    <n v="0.91666666666666663"/>
    <n v="585.5"/>
    <n v="1.2399658411614005"/>
    <n v="1.3333333333333333"/>
    <n v="0.92997438087105044"/>
    <n v="0.9683195592286501"/>
    <n v="0.82318501170960212"/>
    <n v="25.157906336088153"/>
    <n v="8.7920044737381264"/>
    <s v="Medium"/>
    <s v="Warning"/>
  </r>
  <r>
    <n v="700"/>
    <d v="2026-02-19T00:00:00"/>
    <x v="4"/>
    <s v="Plant B"/>
    <x v="4"/>
    <x v="14"/>
    <x v="2"/>
    <x v="3"/>
    <s v="B260219-0700"/>
    <s v="OP105"/>
    <n v="860"/>
    <n v="772"/>
    <n v="704"/>
    <n v="68"/>
    <n v="21"/>
    <n v="0"/>
    <s v="No Downtime"/>
    <n v="49"/>
    <n v="54"/>
    <n v="72.400000000000006"/>
    <n v="1.89"/>
    <n v="29.17"/>
    <n v="17079.189999999999"/>
    <n v="9.3000000000000007"/>
    <s v="Scheduled"/>
    <n v="1"/>
    <n v="27339.95"/>
    <n v="0.91191709844559599"/>
    <n v="21526.720000000001"/>
    <n v="464.58936528497401"/>
    <n v="702.33333333333303"/>
    <n v="1"/>
    <n v="5348.6406347150296"/>
    <n v="0.89767441860465114"/>
    <n v="8.8082901554404139E-2"/>
    <n v="2.7202072538860103E-2"/>
    <n v="0.91191709844559588"/>
    <n v="0"/>
    <n v="702.33333333333303"/>
    <n v="1.0991931656383489"/>
    <n v="1.2244897959183674"/>
    <n v="0.89767441860465158"/>
    <n v="0.91191709844559588"/>
    <n v="0.81860465116279113"/>
    <n v="27.88435233160622"/>
    <n v="6.9282909776101418"/>
    <s v="Medium"/>
    <s v="Warning"/>
  </r>
  <r>
    <n v="701"/>
    <d v="2026-04-29T00:00:00"/>
    <x v="5"/>
    <s v="Plant A"/>
    <x v="0"/>
    <x v="1"/>
    <x v="0"/>
    <x v="3"/>
    <s v="B260429-0701"/>
    <s v="OP134"/>
    <n v="673"/>
    <n v="685"/>
    <n v="647"/>
    <n v="38"/>
    <n v="14"/>
    <n v="0"/>
    <s v="No Downtime"/>
    <n v="49"/>
    <n v="53"/>
    <n v="63.3"/>
    <n v="1.47"/>
    <n v="21.4"/>
    <n v="14881.61"/>
    <n v="9.41"/>
    <s v="Scheduled"/>
    <n v="32"/>
    <n v="25220.78"/>
    <n v="0.94452554744525596"/>
    <n v="19308.71"/>
    <n v="304.14969343065701"/>
    <n v="549.61666666666702"/>
    <n v="1"/>
    <n v="5607.92030656934"/>
    <n v="1.0178306092124814"/>
    <n v="5.5474452554744529E-2"/>
    <n v="2.0437956204379562E-2"/>
    <n v="0.94452554744525552"/>
    <n v="0"/>
    <n v="549.61666666666702"/>
    <n v="1.2463231949540581"/>
    <n v="1.2244897959183674"/>
    <n v="1.0178306092124807"/>
    <n v="0.94452554744525552"/>
    <n v="0.96136701337295627"/>
    <n v="28.187897810218978"/>
    <n v="8.1867449730939263"/>
    <s v="Medium"/>
    <s v="Normal"/>
  </r>
  <r>
    <n v="702"/>
    <d v="2026-04-08T00:00:00"/>
    <x v="5"/>
    <s v="Plant B"/>
    <x v="0"/>
    <x v="1"/>
    <x v="0"/>
    <x v="3"/>
    <s v="B260408-0702"/>
    <s v="OP121"/>
    <n v="645"/>
    <n v="600"/>
    <n v="568"/>
    <n v="32"/>
    <n v="9"/>
    <n v="0"/>
    <s v="No Downtime"/>
    <n v="49"/>
    <n v="52"/>
    <n v="79.099999999999994"/>
    <n v="2.3199999999999998"/>
    <n v="22.24"/>
    <n v="13508.51"/>
    <n v="7.78"/>
    <s v="Completed"/>
    <n v="19"/>
    <n v="21038.28"/>
    <n v="0.94666666666666699"/>
    <n v="17209.669999999998"/>
    <n v="202.62764999999999"/>
    <n v="526.75"/>
    <n v="1"/>
    <n v="3625.9823500000002"/>
    <n v="0.93023255813953487"/>
    <n v="5.3333333333333337E-2"/>
    <n v="1.4999999999999999E-2"/>
    <n v="0.94666666666666666"/>
    <n v="0"/>
    <n v="526.75"/>
    <n v="1.1390602752728998"/>
    <n v="1.2244897959183674"/>
    <n v="0.93023255813953476"/>
    <n v="0.94666666666666666"/>
    <n v="0.88062015503875957"/>
    <n v="28.68278333333333"/>
    <n v="6.0433039166666669"/>
    <s v="Low"/>
    <s v="Normal"/>
  </r>
  <r>
    <n v="703"/>
    <d v="2026-06-24T00:00:00"/>
    <x v="0"/>
    <s v="Plant A"/>
    <x v="3"/>
    <x v="11"/>
    <x v="1"/>
    <x v="1"/>
    <s v="B260624-0703"/>
    <s v="OP126"/>
    <n v="786"/>
    <n v="640"/>
    <n v="598"/>
    <n v="42"/>
    <n v="14"/>
    <n v="67"/>
    <s v="Machine Breakdown"/>
    <n v="45"/>
    <n v="47"/>
    <n v="78"/>
    <n v="2.0699999999999998"/>
    <n v="27.19"/>
    <n v="12803.09"/>
    <n v="8.4700000000000006"/>
    <s v="Completed"/>
    <n v="24"/>
    <n v="20361.07"/>
    <n v="0.93437499999999996"/>
    <n v="16859.3"/>
    <n v="280.06759375000001"/>
    <n v="589.5"/>
    <n v="0.88634435962680203"/>
    <n v="3221.70240625"/>
    <n v="0.81424936386768443"/>
    <n v="6.5625000000000003E-2"/>
    <n v="2.1874999999999999E-2"/>
    <n v="0.93437499999999996"/>
    <n v="1.1166666666666667"/>
    <n v="522.5"/>
    <n v="1.2248803827751196"/>
    <n v="1.3333333333333333"/>
    <n v="0.91866028708133973"/>
    <n v="0.93437499999999996"/>
    <n v="0.76081424936386743"/>
    <n v="26.342656249999997"/>
    <n v="5.0339100097656253"/>
    <s v="High"/>
    <s v="Warning"/>
  </r>
  <r>
    <n v="704"/>
    <d v="2026-04-07T00:00:00"/>
    <x v="5"/>
    <s v="Plant B"/>
    <x v="4"/>
    <x v="12"/>
    <x v="2"/>
    <x v="4"/>
    <s v="B260407-0704"/>
    <s v="OP128"/>
    <n v="647"/>
    <n v="385"/>
    <n v="338"/>
    <n v="47"/>
    <n v="19"/>
    <n v="129"/>
    <s v="Material Shortage"/>
    <n v="57"/>
    <n v="66"/>
    <n v="72.3"/>
    <n v="2.74"/>
    <n v="24.12"/>
    <n v="10196.549999999999"/>
    <n v="5.28"/>
    <s v="Pending"/>
    <n v="40"/>
    <n v="15478.18"/>
    <n v="0.87792207792207799"/>
    <n v="12789.63"/>
    <n v="503.20636363636402"/>
    <n v="614.65"/>
    <n v="0.79012446107540901"/>
    <n v="2185.3436363636401"/>
    <n v="0.59505409582689339"/>
    <n v="0.12207792207792208"/>
    <n v="4.9350649350649353E-2"/>
    <n v="0.87792207792207788"/>
    <n v="2.15"/>
    <n v="485.65"/>
    <n v="0.79275198187995477"/>
    <n v="1.0526315789473684"/>
    <n v="0.7531143827859571"/>
    <n v="0.87792207792207788"/>
    <n v="0.52241112828438974"/>
    <n v="33.219818181818177"/>
    <n v="5.6762172373081565"/>
    <s v="High"/>
    <s v="Critical"/>
  </r>
  <r>
    <n v="705"/>
    <d v="2026-03-04T00:00:00"/>
    <x v="1"/>
    <s v="Plant B"/>
    <x v="4"/>
    <x v="13"/>
    <x v="2"/>
    <x v="1"/>
    <s v="B260304-0705"/>
    <s v="OP112"/>
    <n v="894"/>
    <n v="665"/>
    <n v="621"/>
    <n v="44"/>
    <n v="17"/>
    <n v="29"/>
    <s v="Preventive Maintenance"/>
    <n v="45"/>
    <n v="48"/>
    <n v="81.3"/>
    <n v="3.11"/>
    <n v="20.84"/>
    <n v="13110.72"/>
    <n v="7.23"/>
    <s v="Scheduled"/>
    <n v="22"/>
    <n v="22340.54"/>
    <n v="0.93383458646616602"/>
    <n v="16551.78"/>
    <n v="335.16126315789501"/>
    <n v="670.5"/>
    <n v="0.95674869500372905"/>
    <n v="5453.5987368421102"/>
    <n v="0.74384787472035796"/>
    <n v="6.616541353383458E-2"/>
    <n v="2.5563909774436091E-2"/>
    <n v="0.93383458646616546"/>
    <n v="0.48333333333333334"/>
    <n v="641.5"/>
    <n v="1.0366328916601715"/>
    <n v="1.3333333333333333"/>
    <n v="0.77747466874512861"/>
    <n v="0.93383458646616546"/>
    <n v="0.69463087248322186"/>
    <n v="24.889894736842102"/>
    <n v="8.2009003561535483"/>
    <s v="High"/>
    <s v="Critical"/>
  </r>
  <r>
    <n v="706"/>
    <d v="2026-05-03T00:00:00"/>
    <x v="3"/>
    <s v="Plant B"/>
    <x v="4"/>
    <x v="13"/>
    <x v="0"/>
    <x v="3"/>
    <s v="B260503-0706"/>
    <s v="OP105"/>
    <n v="819"/>
    <n v="698"/>
    <n v="656"/>
    <n v="42"/>
    <n v="10"/>
    <n v="33"/>
    <s v="Setup Time"/>
    <n v="49"/>
    <n v="48"/>
    <n v="80.3"/>
    <n v="1.6"/>
    <n v="28.77"/>
    <n v="16265.15"/>
    <n v="6.15"/>
    <s v="Overdue"/>
    <n v="25"/>
    <n v="24983.119999999999"/>
    <n v="0.93982808022922604"/>
    <n v="19291.580000000002"/>
    <n v="233.02507163323801"/>
    <n v="668.85"/>
    <n v="0.95066158331464501"/>
    <n v="5458.5149283667597"/>
    <n v="0.85225885225885223"/>
    <n v="6.0171919770773637E-2"/>
    <n v="1.4326647564469915E-2"/>
    <n v="0.93982808022922637"/>
    <n v="0.55000000000000004"/>
    <n v="635.85"/>
    <n v="1.097743178422584"/>
    <n v="1.2244897959183674"/>
    <n v="0.89649026237844354"/>
    <n v="0.93982808022922637"/>
    <n v="0.80097680097680135"/>
    <n v="27.638366762177654"/>
    <n v="7.820221960410831"/>
    <s v="High"/>
    <s v="Warning"/>
  </r>
  <r>
    <n v="707"/>
    <d v="2026-01-28T00:00:00"/>
    <x v="2"/>
    <s v="Plant B"/>
    <x v="2"/>
    <x v="9"/>
    <x v="2"/>
    <x v="4"/>
    <s v="B260128-0707"/>
    <s v="OP132"/>
    <n v="663"/>
    <n v="502"/>
    <n v="476"/>
    <n v="26"/>
    <n v="11"/>
    <n v="13"/>
    <s v="Preventive Maintenance"/>
    <n v="57"/>
    <n v="64"/>
    <n v="75"/>
    <n v="2.86"/>
    <n v="17.309999999999999"/>
    <n v="13248.56"/>
    <n v="7.48"/>
    <s v="Completed"/>
    <n v="29"/>
    <n v="22198.75"/>
    <n v="0.94820717131474097"/>
    <n v="16770.349999999999"/>
    <n v="290.30709163346597"/>
    <n v="629.85"/>
    <n v="0.97936016511867896"/>
    <n v="5138.0929083665396"/>
    <n v="0.75716440422322773"/>
    <n v="5.1792828685258967E-2"/>
    <n v="2.1912350597609563E-2"/>
    <n v="0.94820717131474108"/>
    <n v="0.21666666666666667"/>
    <n v="616.85"/>
    <n v="0.81381210991326902"/>
    <n v="1.0526315789473684"/>
    <n v="0.77312150441760563"/>
    <n v="0.94820717131474108"/>
    <n v="0.71794871794871795"/>
    <n v="33.40707171314741"/>
    <n v="10.235244837383545"/>
    <s v="High"/>
    <s v="Critical"/>
  </r>
  <r>
    <n v="708"/>
    <d v="2026-02-12T00:00:00"/>
    <x v="4"/>
    <s v="Plant A"/>
    <x v="3"/>
    <x v="11"/>
    <x v="0"/>
    <x v="1"/>
    <s v="B260212-0708"/>
    <s v="OP131"/>
    <n v="855"/>
    <n v="832"/>
    <n v="768"/>
    <n v="64"/>
    <n v="17"/>
    <n v="11"/>
    <s v="Quality Inspection"/>
    <n v="45"/>
    <n v="44"/>
    <n v="60"/>
    <n v="1.7"/>
    <n v="26.77"/>
    <n v="16666.64"/>
    <n v="7.4"/>
    <s v="Scheduled"/>
    <n v="25"/>
    <n v="27285.1"/>
    <n v="0.92307692307692302"/>
    <n v="20237.57"/>
    <n v="340.54432692307699"/>
    <n v="641.25"/>
    <n v="0.98284600389863597"/>
    <n v="6706.9856730769197"/>
    <n v="0.97309941520467835"/>
    <n v="7.6923076923076927E-2"/>
    <n v="2.0432692307692308E-2"/>
    <n v="0.92307692307692313"/>
    <n v="0.18333333333333332"/>
    <n v="630.25"/>
    <n v="1.3201110670368901"/>
    <n v="1.3333333333333333"/>
    <n v="0.99008330027766756"/>
    <n v="0.92307692307692313"/>
    <n v="0.89824561403508818"/>
    <n v="24.324002403846155"/>
    <n v="8.0612808570636059"/>
    <s v="Low"/>
    <s v="Normal"/>
  </r>
  <r>
    <n v="709"/>
    <d v="2026-05-09T00:00:00"/>
    <x v="3"/>
    <s v="Plant B"/>
    <x v="4"/>
    <x v="13"/>
    <x v="2"/>
    <x v="2"/>
    <s v="B260509-0709"/>
    <s v="OP118"/>
    <n v="462"/>
    <n v="306"/>
    <n v="287"/>
    <n v="19"/>
    <n v="4"/>
    <n v="19"/>
    <s v="Preventive Maintenance"/>
    <n v="64"/>
    <n v="66"/>
    <n v="73.7"/>
    <n v="2.67"/>
    <n v="15"/>
    <n v="10037.77"/>
    <n v="5.39"/>
    <s v="Scheduled"/>
    <n v="32"/>
    <n v="15161.6"/>
    <n v="0.93790849673202603"/>
    <n v="12598.27"/>
    <n v="131.212679738562"/>
    <n v="492.8"/>
    <n v="0.96144480519480502"/>
    <n v="2432.11732026144"/>
    <n v="0.66233766233766234"/>
    <n v="6.2091503267973858E-2"/>
    <n v="1.3071895424836602E-2"/>
    <n v="0.93790849673202614"/>
    <n v="0.31666666666666665"/>
    <n v="473.8"/>
    <n v="0.64584212747994929"/>
    <n v="0.9375"/>
    <n v="0.68889826931194587"/>
    <n v="0.93790849673202614"/>
    <n v="0.62121212121212099"/>
    <n v="41.170816993464051"/>
    <n v="7.9480958178478431"/>
    <s v="High"/>
    <s v="Critical"/>
  </r>
  <r>
    <n v="710"/>
    <d v="2026-05-06T00:00:00"/>
    <x v="3"/>
    <s v="Plant A"/>
    <x v="1"/>
    <x v="2"/>
    <x v="2"/>
    <x v="3"/>
    <s v="B260506-0710"/>
    <s v="OP114"/>
    <n v="744"/>
    <n v="683"/>
    <n v="646"/>
    <n v="37"/>
    <n v="13"/>
    <n v="6"/>
    <s v="Machine Breakdown"/>
    <n v="49"/>
    <n v="50"/>
    <n v="75.400000000000006"/>
    <n v="2.85"/>
    <n v="26.83"/>
    <n v="14762.08"/>
    <n v="6.65"/>
    <s v="Completed"/>
    <n v="7"/>
    <n v="24991.63"/>
    <n v="0.94582723279648595"/>
    <n v="17996.05"/>
    <n v="280.97663250366003"/>
    <n v="607.6"/>
    <n v="0.99012508229098095"/>
    <n v="6714.6033674963401"/>
    <n v="0.918010752688172"/>
    <n v="5.4172767203513911E-2"/>
    <n v="1.9033674963396779E-2"/>
    <n v="0.94582723279648606"/>
    <n v="0.1"/>
    <n v="601.6"/>
    <n v="1.1353058510638296"/>
    <n v="1.2244897959183674"/>
    <n v="0.92716644503546086"/>
    <n v="0.94582723279648606"/>
    <n v="0.86827956989247301"/>
    <n v="26.34853587115666"/>
    <n v="9.8310444619272914"/>
    <s v="Low"/>
    <s v="Normal"/>
  </r>
  <r>
    <n v="711"/>
    <d v="2026-01-18T00:00:00"/>
    <x v="2"/>
    <s v="Plant B"/>
    <x v="3"/>
    <x v="8"/>
    <x v="0"/>
    <x v="1"/>
    <s v="B260118-0711"/>
    <s v="OP113"/>
    <n v="696"/>
    <n v="646"/>
    <n v="597"/>
    <n v="49"/>
    <n v="20"/>
    <n v="40"/>
    <s v="Material Shortage"/>
    <n v="45"/>
    <n v="47"/>
    <n v="71.7"/>
    <n v="2.95"/>
    <n v="26.38"/>
    <n v="12613.43"/>
    <n v="6.89"/>
    <s v="Overdue"/>
    <n v="57"/>
    <n v="20820.46"/>
    <n v="0.92414860681114597"/>
    <n v="15951.35"/>
    <n v="390.50866873065002"/>
    <n v="522"/>
    <n v="0.92337164750957901"/>
    <n v="4478.6013312693503"/>
    <n v="0.92816091954022983"/>
    <n v="7.5851393188854491E-2"/>
    <n v="3.0959752321981424E-2"/>
    <n v="0.92414860681114552"/>
    <n v="0.66666666666666663"/>
    <n v="482"/>
    <n v="1.3402489626556016"/>
    <n v="1.3333333333333333"/>
    <n v="1.0051867219917012"/>
    <n v="0.92414860681114552"/>
    <n v="0.85775862068965569"/>
    <n v="24.692492260061918"/>
    <n v="6.9328193982497686"/>
    <s v="High"/>
    <s v="Normal"/>
  </r>
  <r>
    <n v="712"/>
    <d v="2026-05-10T00:00:00"/>
    <x v="3"/>
    <s v="Plant B"/>
    <x v="2"/>
    <x v="4"/>
    <x v="2"/>
    <x v="3"/>
    <s v="B260510-0712"/>
    <s v="OP112"/>
    <n v="762"/>
    <n v="553"/>
    <n v="513"/>
    <n v="40"/>
    <n v="11"/>
    <n v="57"/>
    <s v="Material Shortage"/>
    <n v="49"/>
    <n v="51"/>
    <n v="73.599999999999994"/>
    <n v="1.82"/>
    <n v="19.329999999999998"/>
    <n v="11753.49"/>
    <n v="6.91"/>
    <s v="Scheduled"/>
    <n v="17"/>
    <n v="18927.39"/>
    <n v="0.92766726943942102"/>
    <n v="15036.96"/>
    <n v="233.79455696202501"/>
    <n v="622.29999999999995"/>
    <n v="0.90840430660453197"/>
    <n v="3656.6354430379802"/>
    <n v="0.72572178477690286"/>
    <n v="7.2332730560578665E-2"/>
    <n v="1.9891500904159132E-2"/>
    <n v="0.92766726943942135"/>
    <n v="0.95"/>
    <n v="565.29999999999995"/>
    <n v="0.97824164160622684"/>
    <n v="1.2244897959183674"/>
    <n v="0.79889734064508522"/>
    <n v="0.92766726943942135"/>
    <n v="0.67322834645669316"/>
    <n v="27.191609403254972"/>
    <n v="6.6123606564882103"/>
    <s v="High"/>
    <s v="Critical"/>
  </r>
  <r>
    <n v="713"/>
    <d v="2026-06-25T00:00:00"/>
    <x v="0"/>
    <s v="Plant B"/>
    <x v="3"/>
    <x v="11"/>
    <x v="1"/>
    <x v="0"/>
    <s v="B260625-0713"/>
    <s v="OP130"/>
    <n v="977"/>
    <n v="904"/>
    <n v="832"/>
    <n v="72"/>
    <n v="23"/>
    <n v="43"/>
    <s v="Preventive Maintenance"/>
    <n v="42"/>
    <n v="44"/>
    <n v="71.5"/>
    <n v="2.2599999999999998"/>
    <n v="32.11"/>
    <n v="16686.349999999999"/>
    <n v="8.81"/>
    <s v="Pending"/>
    <n v="23"/>
    <n v="25992.46"/>
    <n v="0.92035398230088505"/>
    <n v="20939.84"/>
    <n v="424.54209070796497"/>
    <n v="683.9"/>
    <n v="0.93712531071794103"/>
    <n v="4628.0779092920402"/>
    <n v="0.92528147389969295"/>
    <n v="7.9646017699115043E-2"/>
    <n v="2.5442477876106196E-2"/>
    <n v="0.92035398230088494"/>
    <n v="0.71666666666666667"/>
    <n v="640.9"/>
    <n v="1.4105164612264005"/>
    <n v="1.4285714285714286"/>
    <n v="0.98736152285848033"/>
    <n v="0.92035398230088494"/>
    <n v="0.85158648925281466"/>
    <n v="23.163539823008851"/>
    <n v="5.1195552093938499"/>
    <s v="Medium"/>
    <s v="Normal"/>
  </r>
  <r>
    <n v="714"/>
    <d v="2026-04-26T00:00:00"/>
    <x v="5"/>
    <s v="Plant A"/>
    <x v="4"/>
    <x v="13"/>
    <x v="0"/>
    <x v="1"/>
    <s v="B260426-0714"/>
    <s v="OP135"/>
    <n v="875"/>
    <n v="852"/>
    <n v="805"/>
    <n v="47"/>
    <n v="11"/>
    <n v="25"/>
    <s v="Machine Breakdown"/>
    <n v="45"/>
    <n v="47"/>
    <n v="72.8"/>
    <n v="2.56"/>
    <n v="33.659999999999997"/>
    <n v="16654.310000000001"/>
    <n v="9.09"/>
    <s v="Completed"/>
    <n v="1"/>
    <n v="27380.61"/>
    <n v="0.94483568075117397"/>
    <n v="21047.75"/>
    <n v="215.020434272301"/>
    <n v="656.25"/>
    <n v="0.96190476190476204"/>
    <n v="6117.8395657276997"/>
    <n v="0.97371428571428575"/>
    <n v="5.5164319248826289E-2"/>
    <n v="1.2910798122065728E-2"/>
    <n v="0.94483568075117375"/>
    <n v="0.41666666666666669"/>
    <n v="631.25"/>
    <n v="1.3497029702970298"/>
    <n v="1.3333333333333333"/>
    <n v="1.0122772277227725"/>
    <n v="0.94483568075117375"/>
    <n v="0.92000000000000037"/>
    <n v="24.703931924882628"/>
    <n v="7.1805628705724178"/>
    <s v="Low"/>
    <s v="Normal"/>
  </r>
  <r>
    <n v="715"/>
    <d v="2026-02-10T00:00:00"/>
    <x v="4"/>
    <s v="Plant A"/>
    <x v="3"/>
    <x v="11"/>
    <x v="2"/>
    <x v="2"/>
    <s v="B260210-0715"/>
    <s v="OP114"/>
    <n v="492"/>
    <n v="421"/>
    <n v="387"/>
    <n v="34"/>
    <n v="6"/>
    <n v="25"/>
    <s v="Machine Breakdown"/>
    <n v="64"/>
    <n v="63"/>
    <n v="74.3"/>
    <n v="1.68"/>
    <n v="17.86"/>
    <n v="13627.07"/>
    <n v="8.76"/>
    <s v="Pending"/>
    <n v="29"/>
    <n v="20383.439999999999"/>
    <n v="0.91923990498812402"/>
    <n v="17729.810000000001"/>
    <n v="194.21002375296899"/>
    <n v="524.79999999999995"/>
    <n v="0.95236280487804903"/>
    <n v="2459.4199762470298"/>
    <n v="0.85569105691056913"/>
    <n v="8.076009501187649E-2"/>
    <n v="1.4251781472684086E-2"/>
    <n v="0.91923990498812347"/>
    <n v="0.41666666666666669"/>
    <n v="499.79999999999995"/>
    <n v="0.8423369347739097"/>
    <n v="0.9375"/>
    <n v="0.89849273042550371"/>
    <n v="0.91923990498812347"/>
    <n v="0.78658536585365879"/>
    <n v="42.113562945368173"/>
    <n v="5.8418526751710917"/>
    <s v="High"/>
    <s v="Warning"/>
  </r>
  <r>
    <n v="716"/>
    <d v="2026-02-01T00:00:00"/>
    <x v="4"/>
    <s v="Plant A"/>
    <x v="2"/>
    <x v="4"/>
    <x v="2"/>
    <x v="0"/>
    <s v="B260201-0716"/>
    <s v="OP125"/>
    <n v="767"/>
    <n v="617"/>
    <n v="577"/>
    <n v="40"/>
    <n v="12"/>
    <n v="32"/>
    <s v="Tool Change"/>
    <n v="42"/>
    <n v="47"/>
    <n v="67.8"/>
    <n v="1.57"/>
    <n v="19.39"/>
    <n v="11306.48"/>
    <n v="7.79"/>
    <s v="Overdue"/>
    <n v="26"/>
    <n v="18620.78"/>
    <n v="0.93517017828200999"/>
    <n v="14986.49"/>
    <n v="219.89912479740701"/>
    <n v="536.9"/>
    <n v="0.94039858446638103"/>
    <n v="3414.39087520259"/>
    <n v="0.80443285528031294"/>
    <n v="6.4829821717990274E-2"/>
    <n v="1.9448946515397084E-2"/>
    <n v="0.93517017828200977"/>
    <n v="0.53333333333333333"/>
    <n v="504.9"/>
    <n v="1.2220241632006339"/>
    <n v="1.4285714285714286"/>
    <n v="0.85541691424044375"/>
    <n v="0.93517017828200977"/>
    <n v="0.75228161668839644"/>
    <n v="24.289286871961103"/>
    <n v="5.533858792872917"/>
    <s v="High"/>
    <s v="Warning"/>
  </r>
  <r>
    <n v="717"/>
    <d v="2026-02-19T00:00:00"/>
    <x v="4"/>
    <s v="Plant B"/>
    <x v="4"/>
    <x v="13"/>
    <x v="2"/>
    <x v="4"/>
    <s v="B260219-0717"/>
    <s v="OP107"/>
    <n v="528"/>
    <n v="417"/>
    <n v="392"/>
    <n v="25"/>
    <n v="6"/>
    <n v="0"/>
    <s v="No Downtime"/>
    <n v="57"/>
    <n v="60"/>
    <n v="60.9"/>
    <n v="2.9"/>
    <n v="15.7"/>
    <n v="11927.24"/>
    <n v="6.55"/>
    <s v="Pending"/>
    <n v="19"/>
    <n v="17540.89"/>
    <n v="0.94004796163069604"/>
    <n v="15016.04"/>
    <n v="171.614964028777"/>
    <n v="501.6"/>
    <n v="1"/>
    <n v="2353.23503597122"/>
    <n v="0.78977272727272729"/>
    <n v="5.9952038369304558E-2"/>
    <n v="1.4388489208633094E-2"/>
    <n v="0.94004796163069548"/>
    <n v="0"/>
    <n v="501.6"/>
    <n v="0.83133971291866027"/>
    <n v="1.0526315789473684"/>
    <n v="0.78977272727272729"/>
    <n v="0.94004796163069548"/>
    <n v="0.74242424242424243"/>
    <n v="36.009688249400483"/>
    <n v="5.643249486741535"/>
    <s v="High"/>
    <s v="Critical"/>
  </r>
  <r>
    <n v="718"/>
    <d v="2026-04-21T00:00:00"/>
    <x v="5"/>
    <s v="Plant B"/>
    <x v="1"/>
    <x v="2"/>
    <x v="0"/>
    <x v="0"/>
    <s v="B260421-0718"/>
    <s v="OP126"/>
    <n v="909"/>
    <n v="909"/>
    <n v="863"/>
    <n v="46"/>
    <n v="14"/>
    <n v="26"/>
    <s v="Operator Issue"/>
    <n v="42"/>
    <n v="46"/>
    <n v="72.599999999999994"/>
    <n v="2.42"/>
    <n v="28.19"/>
    <n v="17668.88"/>
    <n v="9.15"/>
    <s v="Pending"/>
    <n v="24"/>
    <n v="27565.35"/>
    <n v="0.94939493949394904"/>
    <n v="22040.09"/>
    <n v="272.12796479648"/>
    <n v="636.29999999999995"/>
    <n v="0.95913877101995904"/>
    <n v="5253.13203520352"/>
    <n v="1"/>
    <n v="5.0605060506050605E-2"/>
    <n v="1.5401540154015401E-2"/>
    <n v="0.94939493949394937"/>
    <n v="0.43333333333333335"/>
    <n v="610.29999999999995"/>
    <n v="1.4894314271669671"/>
    <n v="1.4285714285714286"/>
    <n v="1.0426019990168769"/>
    <n v="0.94939493949394937"/>
    <n v="0.94939493949394926"/>
    <n v="24.246523652365237"/>
    <n v="5.7790231410379755"/>
    <s v="Medium"/>
    <s v="Normal"/>
  </r>
  <r>
    <n v="719"/>
    <d v="2026-05-14T00:00:00"/>
    <x v="3"/>
    <s v="Plant A"/>
    <x v="4"/>
    <x v="12"/>
    <x v="1"/>
    <x v="3"/>
    <s v="B260514-0719"/>
    <s v="OP113"/>
    <n v="770"/>
    <n v="669"/>
    <n v="597"/>
    <n v="72"/>
    <n v="22"/>
    <n v="47"/>
    <s v="Machine Breakdown"/>
    <n v="49"/>
    <n v="53"/>
    <n v="71.599999999999994"/>
    <n v="2.69"/>
    <n v="27.51"/>
    <n v="15215.33"/>
    <n v="6.46"/>
    <s v="Completed"/>
    <n v="33"/>
    <n v="23098.23"/>
    <n v="0.89237668161435002"/>
    <n v="18369.919999999998"/>
    <n v="500.35464872944698"/>
    <n v="628.83333333333303"/>
    <n v="0.92525841505433304"/>
    <n v="4227.9553512705497"/>
    <n v="0.86883116883116884"/>
    <n v="0.10762331838565023"/>
    <n v="3.2884902840059793E-2"/>
    <n v="0.8923766816143498"/>
    <n v="0.78333333333333333"/>
    <n v="581.83333333333303"/>
    <n v="1.1498138069321118"/>
    <n v="1.2244897959183674"/>
    <n v="0.93901460899455791"/>
    <n v="0.8923766816143498"/>
    <n v="0.77532467532467542"/>
    <n v="27.458774289985051"/>
    <n v="6.3198136790292221"/>
    <s v="High"/>
    <s v="Warning"/>
  </r>
  <r>
    <n v="720"/>
    <d v="2026-04-20T00:00:00"/>
    <x v="5"/>
    <s v="Plant A"/>
    <x v="4"/>
    <x v="13"/>
    <x v="2"/>
    <x v="4"/>
    <s v="B260420-0720"/>
    <s v="OP125"/>
    <n v="525"/>
    <n v="450"/>
    <n v="422"/>
    <n v="28"/>
    <n v="12"/>
    <n v="22"/>
    <s v="Machine Breakdown"/>
    <n v="57"/>
    <n v="60"/>
    <n v="67.5"/>
    <n v="0.79"/>
    <n v="16.920000000000002"/>
    <n v="12928.43"/>
    <n v="7.25"/>
    <s v="Completed"/>
    <n v="20"/>
    <n v="18921.259999999998"/>
    <n v="0.93777777777777804"/>
    <n v="16343.21"/>
    <n v="344.75813333333298"/>
    <n v="498.75"/>
    <n v="0.95588972431077701"/>
    <n v="2233.2918666666601"/>
    <n v="0.8571428571428571"/>
    <n v="6.222222222222222E-2"/>
    <n v="2.6666666666666668E-2"/>
    <n v="0.93777777777777782"/>
    <n v="0.36666666666666664"/>
    <n v="476.75"/>
    <n v="0.94389092815941267"/>
    <n v="1.0526315789473684"/>
    <n v="0.89669638175144206"/>
    <n v="0.93777777777777782"/>
    <n v="0.80380952380952386"/>
    <n v="36.318244444444446"/>
    <n v="4.9628708148148002"/>
    <s v="Medium"/>
    <s v="Warning"/>
  </r>
  <r>
    <n v="721"/>
    <d v="2026-01-02T00:00:00"/>
    <x v="2"/>
    <s v="Plant B"/>
    <x v="3"/>
    <x v="8"/>
    <x v="2"/>
    <x v="3"/>
    <s v="B260102-0721"/>
    <s v="OP133"/>
    <n v="780"/>
    <n v="691"/>
    <n v="646"/>
    <n v="45"/>
    <n v="14"/>
    <n v="38"/>
    <s v="Material Shortage"/>
    <n v="49"/>
    <n v="49"/>
    <n v="66.2"/>
    <n v="1.87"/>
    <n v="28.82"/>
    <n v="14553.76"/>
    <n v="6.65"/>
    <s v="Pending"/>
    <n v="34"/>
    <n v="24404.86"/>
    <n v="0.93487698986975398"/>
    <n v="17805.64"/>
    <n v="294.86633863965301"/>
    <n v="637"/>
    <n v="0.94034536891679799"/>
    <n v="6304.3536613603501"/>
    <n v="0.88589743589743586"/>
    <n v="6.5123010130246017E-2"/>
    <n v="2.0260492040520984E-2"/>
    <n v="0.93487698986975398"/>
    <n v="0.6333333333333333"/>
    <n v="599"/>
    <n v="1.1535893155258765"/>
    <n v="1.2244897959183674"/>
    <n v="0.94209794101279909"/>
    <n v="0.93487698986975398"/>
    <n v="0.82820512820512859"/>
    <n v="25.767930535455861"/>
    <n v="9.1235219411871924"/>
    <s v="Medium"/>
    <s v="Warning"/>
  </r>
  <r>
    <n v="722"/>
    <d v="2026-02-05T00:00:00"/>
    <x v="4"/>
    <s v="Plant B"/>
    <x v="4"/>
    <x v="14"/>
    <x v="0"/>
    <x v="4"/>
    <s v="B260205-0722"/>
    <s v="OP131"/>
    <n v="605"/>
    <n v="561"/>
    <n v="515"/>
    <n v="46"/>
    <n v="18"/>
    <n v="29"/>
    <s v="Quality Inspection"/>
    <n v="57"/>
    <n v="63"/>
    <n v="78"/>
    <n v="1.65"/>
    <n v="18.13"/>
    <n v="15762.61"/>
    <n v="7.82"/>
    <s v="Pending"/>
    <n v="29"/>
    <n v="23043.79"/>
    <n v="0.918003565062389"/>
    <n v="19444.78"/>
    <n v="505.75219251336898"/>
    <n v="574.75"/>
    <n v="0.94954327968681995"/>
    <n v="3093.2578074866301"/>
    <n v="0.92727272727272725"/>
    <n v="8.1996434937611412E-2"/>
    <n v="3.2085561497326207E-2"/>
    <n v="0.91800356506238856"/>
    <n v="0.48333333333333334"/>
    <n v="545.75"/>
    <n v="1.0279431974347228"/>
    <n v="1.0526315789473684"/>
    <n v="0.97654603756298675"/>
    <n v="0.91800356506238856"/>
    <n v="0.85123966942148721"/>
    <n v="34.66092691622103"/>
    <n v="5.5138285338442605"/>
    <s v="Medium"/>
    <s v="Warning"/>
  </r>
  <r>
    <n v="723"/>
    <d v="2026-04-22T00:00:00"/>
    <x v="5"/>
    <s v="Plant A"/>
    <x v="0"/>
    <x v="0"/>
    <x v="0"/>
    <x v="1"/>
    <s v="B260422-0723"/>
    <s v="OP124"/>
    <n v="934"/>
    <n v="945"/>
    <n v="895"/>
    <n v="50"/>
    <n v="15"/>
    <n v="17"/>
    <s v="Quality Inspection"/>
    <n v="45"/>
    <n v="44"/>
    <n v="78.7"/>
    <n v="2.4300000000000002"/>
    <n v="29.74"/>
    <n v="20180.61"/>
    <n v="8.85"/>
    <s v="Completed"/>
    <n v="23"/>
    <n v="30691.52"/>
    <n v="0.94708994708994698"/>
    <n v="24430.77"/>
    <n v="320.32714285714297"/>
    <n v="700.5"/>
    <n v="0.97573162027123495"/>
    <n v="5940.4228571428603"/>
    <n v="1.0117773019271949"/>
    <n v="5.2910052910052907E-2"/>
    <n v="1.5873015873015872E-2"/>
    <n v="0.94708994708994709"/>
    <n v="0.28333333333333333"/>
    <n v="683.5"/>
    <n v="1.3825896122896855"/>
    <n v="1.3333333333333333"/>
    <n v="1.0369422092172642"/>
    <n v="0.94708994708994709"/>
    <n v="0.95824411134903675"/>
    <n v="25.852666666666668"/>
    <n v="6.2861617535903287"/>
    <s v="Low"/>
    <s v="Normal"/>
  </r>
  <r>
    <n v="724"/>
    <d v="2026-05-24T00:00:00"/>
    <x v="3"/>
    <s v="Plant B"/>
    <x v="4"/>
    <x v="14"/>
    <x v="0"/>
    <x v="4"/>
    <s v="B260524-0724"/>
    <s v="OP134"/>
    <n v="566"/>
    <n v="527"/>
    <n v="481"/>
    <n v="46"/>
    <n v="19"/>
    <n v="23"/>
    <s v="Machine Breakdown"/>
    <n v="57"/>
    <n v="63"/>
    <n v="82.7"/>
    <n v="2.6"/>
    <n v="20.86"/>
    <n v="13737.58"/>
    <n v="9.1199999999999992"/>
    <s v="Pending"/>
    <n v="16"/>
    <n v="22313.82"/>
    <n v="0.91271347248576895"/>
    <n v="18029.32"/>
    <n v="495.282770398482"/>
    <n v="537.70000000000005"/>
    <n v="0.95722521852333997"/>
    <n v="3789.2172296015101"/>
    <n v="0.93109540636042398"/>
    <n v="8.7286527514231493E-2"/>
    <n v="3.6053130929791274E-2"/>
    <n v="0.91271347248576851"/>
    <n v="0.38333333333333336"/>
    <n v="514.70000000000005"/>
    <n v="1.0238974159704681"/>
    <n v="1.0526315789473684"/>
    <n v="0.97270254517194477"/>
    <n v="0.91271347248576851"/>
    <n v="0.84982332155477003"/>
    <n v="34.21123339658444"/>
    <n v="7.1901655210654845"/>
    <s v="Medium"/>
    <s v="Warning"/>
  </r>
  <r>
    <n v="725"/>
    <d v="2026-01-16T00:00:00"/>
    <x v="2"/>
    <s v="Plant A"/>
    <x v="0"/>
    <x v="0"/>
    <x v="0"/>
    <x v="0"/>
    <s v="B260116-0725"/>
    <s v="OP112"/>
    <n v="957"/>
    <n v="1032"/>
    <n v="980"/>
    <n v="52"/>
    <n v="19"/>
    <n v="47"/>
    <s v="Machine Breakdown"/>
    <n v="42"/>
    <n v="41"/>
    <n v="77"/>
    <n v="2.04"/>
    <n v="32.33"/>
    <n v="18403.79"/>
    <n v="7.88"/>
    <s v="Completed"/>
    <n v="41"/>
    <n v="31228.639999999999"/>
    <n v="0.94961240310077499"/>
    <n v="22240.76"/>
    <n v="338.829467054264"/>
    <n v="669.9"/>
    <n v="0.92984027466786101"/>
    <n v="8649.0505329457301"/>
    <n v="1.0783699059561129"/>
    <n v="5.0387596899224806E-2"/>
    <n v="1.8410852713178296E-2"/>
    <n v="0.94961240310077522"/>
    <n v="0.78333333333333333"/>
    <n v="622.9"/>
    <n v="1.6567667362337455"/>
    <n v="1.4285714285714286"/>
    <n v="1.1597367153636218"/>
    <n v="0.94961240310077522"/>
    <n v="1.0240334378265414"/>
    <n v="21.551124031007749"/>
    <n v="8.3808629195210571"/>
    <s v="Medium"/>
    <s v="Normal"/>
  </r>
  <r>
    <n v="726"/>
    <d v="2026-03-22T00:00:00"/>
    <x v="1"/>
    <s v="Plant A"/>
    <x v="0"/>
    <x v="1"/>
    <x v="0"/>
    <x v="1"/>
    <s v="B260322-0726"/>
    <s v="OP106"/>
    <n v="938"/>
    <n v="1009"/>
    <n v="954"/>
    <n v="55"/>
    <n v="15"/>
    <n v="12"/>
    <s v="Quality Inspection"/>
    <n v="45"/>
    <n v="45"/>
    <n v="66.599999999999994"/>
    <n v="1.43"/>
    <n v="36.06"/>
    <n v="21571.77"/>
    <n v="8.9700000000000006"/>
    <s v="Scheduled"/>
    <n v="15"/>
    <n v="32947.31"/>
    <n v="0.94549058473736403"/>
    <n v="25932.81"/>
    <n v="320.690336967294"/>
    <n v="703.5"/>
    <n v="0.98294243070362497"/>
    <n v="6693.8096630327"/>
    <n v="1.0756929637526653"/>
    <n v="5.4509415262636272E-2"/>
    <n v="1.4866204162537165E-2"/>
    <n v="0.94549058473736369"/>
    <n v="0.2"/>
    <n v="691.5"/>
    <n v="1.4591467823571944"/>
    <n v="1.3333333333333333"/>
    <n v="1.094360086767896"/>
    <n v="0.94549058473736369"/>
    <n v="1.0170575692963755"/>
    <n v="25.701496531219028"/>
    <n v="6.6341027383872149"/>
    <s v="Low"/>
    <s v="Normal"/>
  </r>
  <r>
    <n v="727"/>
    <d v="2026-05-01T00:00:00"/>
    <x v="3"/>
    <s v="Plant A"/>
    <x v="1"/>
    <x v="6"/>
    <x v="0"/>
    <x v="4"/>
    <s v="B260501-0727"/>
    <s v="OP133"/>
    <n v="756"/>
    <n v="767"/>
    <n v="732"/>
    <n v="35"/>
    <n v="9"/>
    <n v="26"/>
    <s v="Operator Issue"/>
    <n v="57"/>
    <n v="55"/>
    <n v="67.3"/>
    <n v="2.39"/>
    <n v="28.62"/>
    <n v="20388.29"/>
    <n v="7.92"/>
    <s v="Completed"/>
    <n v="2"/>
    <n v="33261.410000000003"/>
    <n v="0.95436766623207303"/>
    <n v="24209.87"/>
    <n v="239.23677966101701"/>
    <n v="718.2"/>
    <n v="0.96379838485101599"/>
    <n v="8812.3032203389903"/>
    <n v="1.0145502645502646"/>
    <n v="4.563233376792699E-2"/>
    <n v="1.1734028683181226E-2"/>
    <n v="0.95436766623207303"/>
    <n v="0.43333333333333335"/>
    <n v="692.2"/>
    <n v="1.1080612539728401"/>
    <n v="1.0526315789473684"/>
    <n v="1.0526581912741981"/>
    <n v="0.95436766623207303"/>
    <n v="0.9682539682539677"/>
    <n v="31.564367666232073"/>
    <n v="11.489313194705332"/>
    <s v="Low"/>
    <s v="Normal"/>
  </r>
  <r>
    <n v="728"/>
    <d v="2026-04-03T00:00:00"/>
    <x v="5"/>
    <s v="Plant B"/>
    <x v="4"/>
    <x v="12"/>
    <x v="1"/>
    <x v="1"/>
    <s v="B260403-0728"/>
    <s v="OP122"/>
    <n v="757"/>
    <n v="684"/>
    <n v="584"/>
    <n v="100"/>
    <n v="40"/>
    <n v="19"/>
    <s v="Machine Breakdown"/>
    <n v="45"/>
    <n v="48"/>
    <n v="82.1"/>
    <n v="4.1100000000000003"/>
    <n v="24.71"/>
    <n v="14808.93"/>
    <n v="7.45"/>
    <s v="Completed"/>
    <n v="33"/>
    <n v="20956.48"/>
    <n v="0.85380116959064301"/>
    <n v="18383.82"/>
    <n v="866.01929824561398"/>
    <n v="567.75"/>
    <n v="0.96653456627036605"/>
    <n v="1706.64070175439"/>
    <n v="0.90356671070013206"/>
    <n v="0.14619883040935672"/>
    <n v="5.8479532163742687E-2"/>
    <n v="0.85380116959064323"/>
    <n v="0.31666666666666665"/>
    <n v="548.75"/>
    <n v="1.2464692482915718"/>
    <n v="1.3333333333333333"/>
    <n v="0.9348519362186789"/>
    <n v="0.85380116959064323"/>
    <n v="0.77146631439894364"/>
    <n v="26.876929824561405"/>
    <n v="2.4950887452549559"/>
    <s v="High"/>
    <s v="Warning"/>
  </r>
  <r>
    <n v="729"/>
    <d v="2026-06-11T00:00:00"/>
    <x v="0"/>
    <s v="Plant B"/>
    <x v="1"/>
    <x v="5"/>
    <x v="1"/>
    <x v="3"/>
    <s v="B260611-0729"/>
    <s v="OP104"/>
    <n v="848"/>
    <n v="891"/>
    <n v="859"/>
    <n v="32"/>
    <n v="11"/>
    <n v="15"/>
    <s v="Material Shortage"/>
    <n v="49"/>
    <n v="50"/>
    <n v="73.8"/>
    <n v="2.29"/>
    <n v="25.61"/>
    <n v="20629.73"/>
    <n v="10.69"/>
    <s v="Completed"/>
    <n v="40"/>
    <n v="31745.99"/>
    <n v="0.96408529741863103"/>
    <n v="25670.720000000001"/>
    <n v="254.68802469135801"/>
    <n v="692.53333333333296"/>
    <n v="0.97834039276087803"/>
    <n v="5820.5819753086398"/>
    <n v="1.0507075471698113"/>
    <n v="3.5914702581369251E-2"/>
    <n v="1.2345679012345678E-2"/>
    <n v="0.9640852974186308"/>
    <n v="0.25"/>
    <n v="677.53333333333296"/>
    <n v="1.3150644494735813"/>
    <n v="1.2244897959183674"/>
    <n v="1.0739693004034248"/>
    <n v="0.9640852974186308"/>
    <n v="1.0129716981132082"/>
    <n v="28.811133557800225"/>
    <n v="6.5326397029277663"/>
    <s v="Medium"/>
    <s v="Normal"/>
  </r>
  <r>
    <n v="730"/>
    <d v="2026-06-11T00:00:00"/>
    <x v="0"/>
    <s v="Plant B"/>
    <x v="0"/>
    <x v="0"/>
    <x v="2"/>
    <x v="0"/>
    <s v="B260611-0730"/>
    <s v="OP115"/>
    <n v="771"/>
    <n v="711"/>
    <n v="679"/>
    <n v="32"/>
    <n v="12"/>
    <n v="38"/>
    <s v="Tool Change"/>
    <n v="42"/>
    <n v="44"/>
    <n v="65.900000000000006"/>
    <n v="1.65"/>
    <n v="28.42"/>
    <n v="12978.4"/>
    <n v="8.73"/>
    <s v="Completed"/>
    <n v="22"/>
    <n v="21902.49"/>
    <n v="0.95499296765119601"/>
    <n v="17162.68"/>
    <n v="219.04472573839701"/>
    <n v="539.70000000000005"/>
    <n v="0.92959051324810105"/>
    <n v="4520.7652742616101"/>
    <n v="0.9221789883268483"/>
    <n v="4.5007032348804502E-2"/>
    <n v="1.6877637130801686E-2"/>
    <n v="0.95499296765119546"/>
    <n v="0.6333333333333333"/>
    <n v="501.70000000000005"/>
    <n v="1.417181582619095"/>
    <n v="1.4285714285714286"/>
    <n v="0.99202710783336645"/>
    <n v="0.95499296765119546"/>
    <n v="0.88067444876783407"/>
    <n v="24.138790436005625"/>
    <n v="6.3583196543763858"/>
    <s v="Low"/>
    <s v="Normal"/>
  </r>
  <r>
    <n v="731"/>
    <d v="2026-04-14T00:00:00"/>
    <x v="5"/>
    <s v="Plant B"/>
    <x v="3"/>
    <x v="7"/>
    <x v="2"/>
    <x v="2"/>
    <s v="B260414-0731"/>
    <s v="OP106"/>
    <n v="624"/>
    <n v="482"/>
    <n v="457"/>
    <n v="25"/>
    <n v="5"/>
    <n v="20"/>
    <s v="Machine Breakdown"/>
    <n v="64"/>
    <n v="67"/>
    <n v="80.2"/>
    <n v="1.22"/>
    <n v="17.46"/>
    <n v="15693.24"/>
    <n v="5.76"/>
    <s v="Completed"/>
    <n v="28"/>
    <n v="23357.06"/>
    <n v="0.94813278008298796"/>
    <n v="18442.38"/>
    <n v="162.79294605809099"/>
    <n v="665.6"/>
    <n v="0.96995192307692302"/>
    <n v="4751.8870539419104"/>
    <n v="0.77243589743589747"/>
    <n v="5.1867219917012451E-2"/>
    <n v="1.0373443983402489E-2"/>
    <n v="0.94813278008298751"/>
    <n v="0.33333333333333331"/>
    <n v="645.6"/>
    <n v="0.74659231722428743"/>
    <n v="0.9375"/>
    <n v="0.79636513837257328"/>
    <n v="0.94813278008298751"/>
    <n v="0.73237179487179471"/>
    <n v="38.262199170124482"/>
    <n v="9.8586868339043789"/>
    <s v="High"/>
    <s v="Critical"/>
  </r>
  <r>
    <n v="732"/>
    <d v="2026-02-16T00:00:00"/>
    <x v="4"/>
    <s v="Plant B"/>
    <x v="2"/>
    <x v="10"/>
    <x v="1"/>
    <x v="2"/>
    <s v="B260216-0732"/>
    <s v="OP122"/>
    <n v="458"/>
    <n v="418"/>
    <n v="379"/>
    <n v="39"/>
    <n v="10"/>
    <n v="54"/>
    <s v="Power Failure"/>
    <n v="64"/>
    <n v="66"/>
    <n v="76.599999999999994"/>
    <n v="2.58"/>
    <n v="19.09"/>
    <n v="13181.78"/>
    <n v="9.32"/>
    <s v="Scheduled"/>
    <n v="14"/>
    <n v="20097.310000000001"/>
    <n v="0.906698564593301"/>
    <n v="17547.59"/>
    <n v="315.35358851674602"/>
    <n v="488.53333333333302"/>
    <n v="0.88946506550218296"/>
    <n v="2234.36641148325"/>
    <n v="0.9126637554585153"/>
    <n v="9.3301435406698566E-2"/>
    <n v="2.3923444976076555E-2"/>
    <n v="0.90669856459330145"/>
    <n v="0.9"/>
    <n v="434.53333333333302"/>
    <n v="0.96195151887081998"/>
    <n v="0.9375"/>
    <n v="1.0260816201288747"/>
    <n v="0.90669856459330145"/>
    <n v="0.82751091703056789"/>
    <n v="41.979880382775121"/>
    <n v="5.3453741901513157"/>
    <s v="Medium"/>
    <s v="Warning"/>
  </r>
  <r>
    <n v="733"/>
    <d v="2026-01-13T00:00:00"/>
    <x v="2"/>
    <s v="Plant A"/>
    <x v="1"/>
    <x v="2"/>
    <x v="2"/>
    <x v="4"/>
    <s v="B260113-0733"/>
    <s v="OP120"/>
    <n v="717"/>
    <n v="644"/>
    <n v="609"/>
    <n v="35"/>
    <n v="14"/>
    <n v="54"/>
    <s v="Machine Breakdown"/>
    <n v="57"/>
    <n v="59"/>
    <n v="72.900000000000006"/>
    <n v="2.08"/>
    <n v="22.46"/>
    <n v="17284.73"/>
    <n v="8.2899999999999991"/>
    <s v="Completed"/>
    <n v="31"/>
    <n v="27545.69"/>
    <n v="0.94565217391304401"/>
    <n v="21217.37"/>
    <n v="375.755"/>
    <n v="681.15"/>
    <n v="0.92072230786170495"/>
    <n v="5952.5649999999996"/>
    <n v="0.89818688981868899"/>
    <n v="5.434782608695652E-2"/>
    <n v="2.1739130434782608E-2"/>
    <n v="0.94565217391304346"/>
    <n v="0.9"/>
    <n v="627.15"/>
    <n v="1.026867575540142"/>
    <n v="1.0526315789473684"/>
    <n v="0.97552419676313495"/>
    <n v="0.94565217391304346"/>
    <n v="0.84937238493723899"/>
    <n v="32.946226708074533"/>
    <n v="9.2431133540372663"/>
    <s v="Medium"/>
    <s v="Warning"/>
  </r>
  <r>
    <n v="734"/>
    <d v="2026-06-17T00:00:00"/>
    <x v="0"/>
    <s v="Plant B"/>
    <x v="2"/>
    <x v="9"/>
    <x v="2"/>
    <x v="2"/>
    <s v="B260617-0734"/>
    <s v="OP123"/>
    <n v="538"/>
    <n v="513"/>
    <n v="486"/>
    <n v="27"/>
    <n v="11"/>
    <n v="21"/>
    <s v="Tool Change"/>
    <n v="64"/>
    <n v="65"/>
    <n v="70.8"/>
    <n v="2.19"/>
    <n v="19.38"/>
    <n v="16178.04"/>
    <n v="8.1199999999999992"/>
    <s v="Scheduled"/>
    <n v="27"/>
    <n v="25899.77"/>
    <n v="0.94736842105263197"/>
    <n v="20006.46"/>
    <n v="346.89754385964898"/>
    <n v="573.86666666666702"/>
    <n v="0.96340613382899598"/>
    <n v="5546.4124561403496"/>
    <n v="0.95353159851301117"/>
    <n v="5.2631578947368418E-2"/>
    <n v="2.1442495126705652E-2"/>
    <n v="0.94736842105263153"/>
    <n v="0.35"/>
    <n v="552.86666666666702"/>
    <n v="0.92789099240323103"/>
    <n v="0.9375"/>
    <n v="0.98975039189677971"/>
    <n v="0.94736842105263153"/>
    <n v="0.90334572490706222"/>
    <n v="38.998947368421049"/>
    <n v="10.811720187408088"/>
    <s v="Low"/>
    <s v="Normal"/>
  </r>
  <r>
    <n v="735"/>
    <d v="2026-05-21T00:00:00"/>
    <x v="3"/>
    <s v="Plant A"/>
    <x v="0"/>
    <x v="0"/>
    <x v="0"/>
    <x v="3"/>
    <s v="B260521-0735"/>
    <s v="OP117"/>
    <n v="642"/>
    <n v="734"/>
    <n v="674"/>
    <n v="60"/>
    <n v="25"/>
    <n v="5"/>
    <s v="Tool Change"/>
    <n v="49"/>
    <n v="52"/>
    <n v="85.7"/>
    <n v="2.66"/>
    <n v="28.96"/>
    <n v="15939.94"/>
    <n v="9.9600000000000009"/>
    <s v="Overdue"/>
    <n v="55"/>
    <n v="26144.49"/>
    <n v="0.91825613079019097"/>
    <n v="20682.580000000002"/>
    <n v="542.91348773842003"/>
    <n v="524.29999999999995"/>
    <n v="0.99046347510967003"/>
    <n v="4918.9965122615804"/>
    <n v="1.1433021806853583"/>
    <n v="8.1743869209809264E-2"/>
    <n v="3.4059945504087197E-2"/>
    <n v="0.91825613079019075"/>
    <n v="8.3333333333333329E-2"/>
    <n v="519.29999999999995"/>
    <n v="1.4134411708068555"/>
    <n v="1.2244897959183674"/>
    <n v="1.1543102894922652"/>
    <n v="0.91825613079019075"/>
    <n v="1.0498442367601246"/>
    <n v="28.177901907356951"/>
    <n v="6.7016301256969761"/>
    <s v="High"/>
    <s v="Warning"/>
  </r>
  <r>
    <n v="736"/>
    <d v="2026-03-27T00:00:00"/>
    <x v="1"/>
    <s v="Plant B"/>
    <x v="0"/>
    <x v="3"/>
    <x v="0"/>
    <x v="3"/>
    <s v="B260327-0736"/>
    <s v="OP101"/>
    <n v="657"/>
    <n v="643"/>
    <n v="624"/>
    <n v="19"/>
    <n v="6"/>
    <n v="34"/>
    <s v="Machine Breakdown"/>
    <n v="49"/>
    <n v="50"/>
    <n v="70.8"/>
    <n v="2.52"/>
    <n v="25.34"/>
    <n v="14269.38"/>
    <n v="9.56"/>
    <s v="Completed"/>
    <n v="31"/>
    <n v="23315.52"/>
    <n v="0.97045101088647001"/>
    <n v="18799.439999999999"/>
    <n v="133.151290824261"/>
    <n v="536.54999999999995"/>
    <n v="0.93663218712142404"/>
    <n v="4382.9287091757396"/>
    <n v="0.9786910197869102"/>
    <n v="2.9548989113530325E-2"/>
    <n v="9.3312597200622092E-3"/>
    <n v="0.97045101088646968"/>
    <n v="0.56666666666666665"/>
    <n v="502.54999999999995"/>
    <n v="1.2794746791364044"/>
    <n v="1.2244897959183674"/>
    <n v="1.0449043212947302"/>
    <n v="0.97045101088646968"/>
    <n v="0.94977168949771695"/>
    <n v="29.23707620528771"/>
    <n v="6.8163743533059717"/>
    <s v="Medium"/>
    <s v="Normal"/>
  </r>
  <r>
    <n v="737"/>
    <d v="2026-03-26T00:00:00"/>
    <x v="1"/>
    <s v="Plant A"/>
    <x v="0"/>
    <x v="3"/>
    <x v="1"/>
    <x v="0"/>
    <s v="B260326-0737"/>
    <s v="OP103"/>
    <n v="935"/>
    <n v="921"/>
    <n v="882"/>
    <n v="39"/>
    <n v="8"/>
    <n v="24"/>
    <s v="Preventive Maintenance"/>
    <n v="42"/>
    <n v="46"/>
    <n v="70.2"/>
    <n v="2.0299999999999998"/>
    <n v="31.65"/>
    <n v="17640.8"/>
    <n v="9.1"/>
    <s v="Completed"/>
    <n v="32"/>
    <n v="28895.25"/>
    <n v="0.95765472312703603"/>
    <n v="22020.65"/>
    <n v="153.23170466883801"/>
    <n v="654.5"/>
    <n v="0.96333078686019902"/>
    <n v="6721.36829533116"/>
    <n v="0.9850267379679144"/>
    <n v="4.2345276872964167E-2"/>
    <n v="8.6862106406080351E-3"/>
    <n v="0.95765472312703581"/>
    <n v="0.4"/>
    <n v="630.5"/>
    <n v="1.4607454401268833"/>
    <n v="1.4285714285714286"/>
    <n v="1.0225218080888183"/>
    <n v="0.95765472312703581"/>
    <n v="0.94331550802139064"/>
    <n v="23.909500542888168"/>
    <n v="7.2979026007938765"/>
    <s v="Medium"/>
    <s v="Normal"/>
  </r>
  <r>
    <n v="738"/>
    <d v="2026-03-27T00:00:00"/>
    <x v="1"/>
    <s v="Plant B"/>
    <x v="4"/>
    <x v="12"/>
    <x v="1"/>
    <x v="2"/>
    <s v="B260327-0738"/>
    <s v="OP129"/>
    <n v="532"/>
    <n v="499"/>
    <n v="415"/>
    <n v="84"/>
    <n v="31"/>
    <n v="49"/>
    <s v="Power Failure"/>
    <n v="64"/>
    <n v="66"/>
    <n v="88.1"/>
    <n v="3.6"/>
    <n v="21.7"/>
    <n v="15227.77"/>
    <n v="8.36"/>
    <s v="Completed"/>
    <n v="36"/>
    <n v="21530.720000000001"/>
    <n v="0.831663326653307"/>
    <n v="19185.07"/>
    <n v="946.01376753506997"/>
    <n v="567.46666666666704"/>
    <n v="0.91365131578947401"/>
    <n v="1399.6362324649299"/>
    <n v="0.93796992481203012"/>
    <n v="0.16833667334669339"/>
    <n v="6.2124248496993988E-2"/>
    <n v="0.83166332665330667"/>
    <n v="0.81666666666666665"/>
    <n v="518.46666666666704"/>
    <n v="0.96245338819596171"/>
    <n v="0.9375"/>
    <n v="1.0266169474090259"/>
    <n v="0.83166332665330667"/>
    <n v="0.78007518796992448"/>
    <n v="38.447034068136269"/>
    <n v="2.8048822293886371"/>
    <s v="High"/>
    <s v="Critical"/>
  </r>
  <r>
    <n v="739"/>
    <d v="2026-04-29T00:00:00"/>
    <x v="5"/>
    <s v="Plant A"/>
    <x v="2"/>
    <x v="4"/>
    <x v="0"/>
    <x v="3"/>
    <s v="B260429-0739"/>
    <s v="OP106"/>
    <n v="796"/>
    <n v="785"/>
    <n v="732"/>
    <n v="53"/>
    <n v="10"/>
    <n v="49"/>
    <s v="Machine Breakdown"/>
    <n v="49"/>
    <n v="48"/>
    <n v="69.099999999999994"/>
    <n v="1.72"/>
    <n v="33.979999999999997"/>
    <n v="16491.8"/>
    <n v="8.9600000000000009"/>
    <s v="Scheduled"/>
    <n v="27"/>
    <n v="26988.66"/>
    <n v="0.93248407643312103"/>
    <n v="20829.62"/>
    <n v="210.086624203822"/>
    <n v="650.06666666666695"/>
    <n v="0.92462311557789001"/>
    <n v="5948.9533757961799"/>
    <n v="0.98618090452261309"/>
    <n v="6.751592356687898E-2"/>
    <n v="1.2738853503184714E-2"/>
    <n v="0.93248407643312103"/>
    <n v="0.81666666666666665"/>
    <n v="601.06666666666695"/>
    <n v="1.3060115350488015"/>
    <n v="1.2244897959183674"/>
    <n v="1.0665760869565213"/>
    <n v="0.93248407643312103"/>
    <n v="0.91959798994974884"/>
    <n v="26.534547770700637"/>
    <n v="7.5782845551543696"/>
    <s v="Low"/>
    <s v="Normal"/>
  </r>
  <r>
    <n v="740"/>
    <d v="2026-04-04T00:00:00"/>
    <x v="5"/>
    <s v="Plant A"/>
    <x v="1"/>
    <x v="5"/>
    <x v="1"/>
    <x v="4"/>
    <s v="B260404-0740"/>
    <s v="OP114"/>
    <n v="657"/>
    <n v="645"/>
    <n v="623"/>
    <n v="22"/>
    <n v="8"/>
    <n v="13"/>
    <s v="Tool Change"/>
    <n v="57"/>
    <n v="57"/>
    <n v="72"/>
    <n v="1.35"/>
    <n v="19.59"/>
    <n v="16767.88"/>
    <n v="7.23"/>
    <s v="Overdue"/>
    <n v="10"/>
    <n v="28382.31"/>
    <n v="0.96589147286821697"/>
    <n v="20197.689999999999"/>
    <n v="207.97370542635699"/>
    <n v="624.15"/>
    <n v="0.97917167347592704"/>
    <n v="7976.6462945736403"/>
    <n v="0.9817351598173516"/>
    <n v="3.4108527131782945E-2"/>
    <n v="1.2403100775193798E-2"/>
    <n v="0.96589147286821708"/>
    <n v="0.21666666666666667"/>
    <n v="611.15"/>
    <n v="1.0553873844391721"/>
    <n v="1.0526315789473684"/>
    <n v="1.0026180152172135"/>
    <n v="0.96589147286821708"/>
    <n v="0.94824961948249598"/>
    <n v="31.314248062015501"/>
    <n v="12.366893479959133"/>
    <s v="High"/>
    <s v="Normal"/>
  </r>
  <r>
    <n v="741"/>
    <d v="2026-03-02T00:00:00"/>
    <x v="1"/>
    <s v="Plant B"/>
    <x v="2"/>
    <x v="9"/>
    <x v="1"/>
    <x v="0"/>
    <s v="B260302-0741"/>
    <s v="OP125"/>
    <n v="799"/>
    <n v="772"/>
    <n v="736"/>
    <n v="36"/>
    <n v="11"/>
    <n v="0"/>
    <s v="No Downtime"/>
    <n v="42"/>
    <n v="45"/>
    <n v="84.6"/>
    <n v="2"/>
    <n v="23.3"/>
    <n v="13703.6"/>
    <n v="7.13"/>
    <s v="Scheduled"/>
    <n v="1"/>
    <n v="23714.57"/>
    <n v="0.95336787564766801"/>
    <n v="17121.8"/>
    <n v="195.258549222798"/>
    <n v="559.29999999999995"/>
    <n v="1"/>
    <n v="6397.5114507771996"/>
    <n v="0.96620775969962458"/>
    <n v="4.6632124352331605E-2"/>
    <n v="1.4248704663212436E-2"/>
    <n v="0.95336787564766834"/>
    <n v="0"/>
    <n v="559.29999999999995"/>
    <n v="1.3802967995708924"/>
    <n v="1.4285714285714286"/>
    <n v="0.96620775969962458"/>
    <n v="0.95336787564766834"/>
    <n v="0.92115143929912391"/>
    <n v="22.178497409326425"/>
    <n v="8.2869319310585485"/>
    <s v="Medium"/>
    <s v="Warning"/>
  </r>
  <r>
    <n v="742"/>
    <d v="2026-05-18T00:00:00"/>
    <x v="3"/>
    <s v="Plant A"/>
    <x v="3"/>
    <x v="8"/>
    <x v="1"/>
    <x v="0"/>
    <s v="B260518-0742"/>
    <s v="OP117"/>
    <n v="765"/>
    <n v="699"/>
    <n v="659"/>
    <n v="40"/>
    <n v="11"/>
    <n v="9"/>
    <s v="Machine Breakdown"/>
    <n v="42"/>
    <n v="41"/>
    <n v="72"/>
    <n v="1.54"/>
    <n v="28.68"/>
    <n v="13090.47"/>
    <n v="7.17"/>
    <s v="Completed"/>
    <n v="27"/>
    <n v="20615.46"/>
    <n v="0.94277539341917005"/>
    <n v="16575.09"/>
    <n v="206.001673819742"/>
    <n v="535.5"/>
    <n v="0.98319327731092399"/>
    <n v="3834.3683261802598"/>
    <n v="0.9137254901960784"/>
    <n v="5.7224606580829757E-2"/>
    <n v="1.5736766809728183E-2"/>
    <n v="0.94277539341917027"/>
    <n v="0.15"/>
    <n v="526.5"/>
    <n v="1.3276353276353277"/>
    <n v="1.4285714285714286"/>
    <n v="0.92934472934472934"/>
    <n v="0.94277539341917027"/>
    <n v="0.86143790849673174"/>
    <n v="23.712575107296139"/>
    <n v="5.4855054737915019"/>
    <s v="Low"/>
    <s v="Normal"/>
  </r>
  <r>
    <n v="743"/>
    <d v="2026-06-10T00:00:00"/>
    <x v="0"/>
    <s v="Plant A"/>
    <x v="3"/>
    <x v="8"/>
    <x v="1"/>
    <x v="2"/>
    <s v="B260610-0743"/>
    <s v="OP118"/>
    <n v="689"/>
    <n v="583"/>
    <n v="542"/>
    <n v="41"/>
    <n v="9"/>
    <n v="52"/>
    <s v="Machine Breakdown"/>
    <n v="64"/>
    <n v="65"/>
    <n v="80.900000000000006"/>
    <n v="2.02"/>
    <n v="26.53"/>
    <n v="18080.240000000002"/>
    <n v="7.26"/>
    <s v="Overdue"/>
    <n v="37"/>
    <n v="28027"/>
    <n v="0.92967409948542001"/>
    <n v="21586.01"/>
    <n v="279.11176672384198"/>
    <n v="734.93333333333305"/>
    <n v="0.929245283018868"/>
    <n v="6161.8782332761602"/>
    <n v="0.84615384615384615"/>
    <n v="7.0325900514579764E-2"/>
    <n v="1.5437392795883362E-2"/>
    <n v="0.92967409948542024"/>
    <n v="0.8666666666666667"/>
    <n v="682.93333333333305"/>
    <n v="0.85367044123389335"/>
    <n v="0.9375"/>
    <n v="0.91058180398281963"/>
    <n v="0.92967409948542024"/>
    <n v="0.78664731494920215"/>
    <n v="37.025746140651798"/>
    <n v="10.569259405276433"/>
    <s v="High"/>
    <s v="Warning"/>
  </r>
  <r>
    <n v="744"/>
    <d v="2026-04-12T00:00:00"/>
    <x v="5"/>
    <s v="Plant A"/>
    <x v="0"/>
    <x v="0"/>
    <x v="2"/>
    <x v="0"/>
    <s v="B260412-0744"/>
    <s v="OP115"/>
    <n v="945"/>
    <n v="911"/>
    <n v="871"/>
    <n v="40"/>
    <n v="7"/>
    <n v="0"/>
    <s v="No Downtime"/>
    <n v="42"/>
    <n v="42"/>
    <n v="69.400000000000006"/>
    <n v="2"/>
    <n v="27.43"/>
    <n v="16683.03"/>
    <n v="9.75"/>
    <s v="Scheduled"/>
    <n v="18"/>
    <n v="28277.200000000001"/>
    <n v="0.95609220636662995"/>
    <n v="21317.4"/>
    <n v="128.190131723381"/>
    <n v="661.5"/>
    <n v="1"/>
    <n v="6831.6098682766196"/>
    <n v="0.964021164021164"/>
    <n v="4.3907793633369926E-2"/>
    <n v="7.6838638858397366E-3"/>
    <n v="0.95609220636663006"/>
    <n v="0"/>
    <n v="661.5"/>
    <n v="1.3771730914588058"/>
    <n v="1.4285714285714286"/>
    <n v="0.96402116402116411"/>
    <n v="0.95609220636663006"/>
    <n v="0.92169312169312179"/>
    <n v="23.400000000000002"/>
    <n v="7.4990229069995822"/>
    <s v="Low"/>
    <s v="Normal"/>
  </r>
  <r>
    <n v="745"/>
    <d v="2026-05-01T00:00:00"/>
    <x v="3"/>
    <s v="Plant B"/>
    <x v="1"/>
    <x v="6"/>
    <x v="0"/>
    <x v="2"/>
    <s v="B260501-0745"/>
    <s v="OP134"/>
    <n v="505"/>
    <n v="505"/>
    <n v="473"/>
    <n v="32"/>
    <n v="12"/>
    <n v="9"/>
    <s v="Operator Issue"/>
    <n v="64"/>
    <n v="68"/>
    <n v="70.3"/>
    <n v="1.87"/>
    <n v="15.83"/>
    <n v="15630.29"/>
    <n v="8.85"/>
    <s v="Scheduled"/>
    <n v="26"/>
    <n v="24680.38"/>
    <n v="0.93663366336633702"/>
    <n v="19755.259999999998"/>
    <n v="371.41283168316801"/>
    <n v="538.66666666666697"/>
    <n v="0.98329207920792105"/>
    <n v="4553.7071683168297"/>
    <n v="1"/>
    <n v="6.3366336633663367E-2"/>
    <n v="2.3762376237623763E-2"/>
    <n v="0.93663366336633669"/>
    <n v="0.15"/>
    <n v="529.66666666666697"/>
    <n v="0.95342983008181192"/>
    <n v="0.9375"/>
    <n v="1.0169918187539326"/>
    <n v="0.93663366336633669"/>
    <n v="0.93663366336633636"/>
    <n v="39.119326732673265"/>
    <n v="9.017241917459069"/>
    <s v="Low"/>
    <s v="Normal"/>
  </r>
  <r>
    <n v="746"/>
    <d v="2026-04-05T00:00:00"/>
    <x v="5"/>
    <s v="Plant B"/>
    <x v="1"/>
    <x v="2"/>
    <x v="2"/>
    <x v="2"/>
    <s v="B260405-0746"/>
    <s v="OP103"/>
    <n v="548"/>
    <n v="495"/>
    <n v="464"/>
    <n v="31"/>
    <n v="11"/>
    <n v="13"/>
    <s v="Tool Change"/>
    <n v="64"/>
    <n v="71"/>
    <n v="70.900000000000006"/>
    <n v="2.1800000000000002"/>
    <n v="19.510000000000002"/>
    <n v="14490.92"/>
    <n v="9.3800000000000008"/>
    <s v="Scheduled"/>
    <n v="28"/>
    <n v="23688.41"/>
    <n v="0.93737373737373697"/>
    <n v="18887.509999999998"/>
    <n v="322.02044444444402"/>
    <n v="584.53333333333296"/>
    <n v="0.97776003649635002"/>
    <n v="4478.8795555555598"/>
    <n v="0.90328467153284675"/>
    <n v="6.2626262626262627E-2"/>
    <n v="2.2222222222222223E-2"/>
    <n v="0.93737373737373741"/>
    <n v="0.21666666666666667"/>
    <n v="571.53333333333296"/>
    <n v="0.86609121661028865"/>
    <n v="0.9375"/>
    <n v="0.92383063105097452"/>
    <n v="0.93737373737373741"/>
    <n v="0.84671532846715347"/>
    <n v="38.156585858585856"/>
    <n v="9.0482415263748681"/>
    <s v="Medium"/>
    <s v="Warning"/>
  </r>
  <r>
    <n v="747"/>
    <d v="2026-03-20T00:00:00"/>
    <x v="1"/>
    <s v="Plant A"/>
    <x v="3"/>
    <x v="11"/>
    <x v="0"/>
    <x v="0"/>
    <s v="B260320-0747"/>
    <s v="OP125"/>
    <n v="805"/>
    <n v="753"/>
    <n v="702"/>
    <n v="51"/>
    <n v="19"/>
    <n v="30"/>
    <s v="Setup Time"/>
    <n v="42"/>
    <n v="41"/>
    <n v="74.7"/>
    <n v="2.2000000000000002"/>
    <n v="26.28"/>
    <n v="14257.19"/>
    <n v="7.56"/>
    <s v="Completed"/>
    <n v="29"/>
    <n v="22705.5"/>
    <n v="0.93227091633466097"/>
    <n v="17895.71"/>
    <n v="359.74317397078403"/>
    <n v="563.5"/>
    <n v="0.94676131322094104"/>
    <n v="4450.04682602921"/>
    <n v="0.93540372670807448"/>
    <n v="6.7729083665338641E-2"/>
    <n v="2.5232403718459494E-2"/>
    <n v="0.9322709163346613"/>
    <n v="0.5"/>
    <n v="533.5"/>
    <n v="1.4114339268978444"/>
    <n v="1.4285714285714286"/>
    <n v="0.98800374882849107"/>
    <n v="0.9322709163346613"/>
    <n v="0.87204968944099426"/>
    <n v="23.765883134130146"/>
    <n v="5.9097567410746485"/>
    <s v="Low"/>
    <s v="Normal"/>
  </r>
  <r>
    <n v="748"/>
    <d v="2026-05-12T00:00:00"/>
    <x v="3"/>
    <s v="Plant A"/>
    <x v="2"/>
    <x v="9"/>
    <x v="1"/>
    <x v="2"/>
    <s v="B260512-0748"/>
    <s v="OP107"/>
    <n v="639"/>
    <n v="655"/>
    <n v="620"/>
    <n v="35"/>
    <n v="9"/>
    <n v="5"/>
    <s v="Quality Inspection"/>
    <n v="64"/>
    <n v="70"/>
    <n v="70.2"/>
    <n v="1.41"/>
    <n v="20.51"/>
    <n v="21048.16"/>
    <n v="10.38"/>
    <s v="Pending"/>
    <n v="36"/>
    <n v="33134.480000000003"/>
    <n v="0.94656488549618301"/>
    <n v="25903.75"/>
    <n v="289.21135877862599"/>
    <n v="681.6"/>
    <n v="0.99266431924882603"/>
    <n v="6941.5186412213798"/>
    <n v="1.0250391236306728"/>
    <n v="5.3435114503816793E-2"/>
    <n v="1.3740458015267175E-2"/>
    <n v="0.94656488549618323"/>
    <n v="8.3333333333333329E-2"/>
    <n v="676.6"/>
    <n v="0.96807567248004722"/>
    <n v="0.9375"/>
    <n v="1.0326140506453838"/>
    <n v="0.94656488549618323"/>
    <n v="0.97026604068857558"/>
    <n v="39.547709923664122"/>
    <n v="10.59773838354409"/>
    <s v="Medium"/>
    <s v="Normal"/>
  </r>
  <r>
    <n v="749"/>
    <d v="2026-03-14T00:00:00"/>
    <x v="1"/>
    <s v="Plant B"/>
    <x v="3"/>
    <x v="7"/>
    <x v="1"/>
    <x v="3"/>
    <s v="B260314-0749"/>
    <s v="OP116"/>
    <n v="735"/>
    <n v="687"/>
    <n v="638"/>
    <n v="49"/>
    <n v="12"/>
    <n v="23"/>
    <s v="Machine Breakdown"/>
    <n v="49"/>
    <n v="52"/>
    <n v="80.2"/>
    <n v="1.93"/>
    <n v="28.47"/>
    <n v="14915.23"/>
    <n v="8.86"/>
    <s v="Overdue"/>
    <n v="51"/>
    <n v="24243.1"/>
    <n v="0.92867540029112094"/>
    <n v="19158.46"/>
    <n v="260.52803493449801"/>
    <n v="600.25"/>
    <n v="0.96168263223656802"/>
    <n v="4824.1119650655"/>
    <n v="0.9346938775510204"/>
    <n v="7.132459970887918E-2"/>
    <n v="1.7467248908296942E-2"/>
    <n v="0.92867540029112083"/>
    <n v="0.38333333333333336"/>
    <n v="577.25"/>
    <n v="1.1901255954958856"/>
    <n v="1.2244897959183674"/>
    <n v="0.97193590298830657"/>
    <n v="0.92867540029112083"/>
    <n v="0.86802721088435364"/>
    <n v="27.887132459970886"/>
    <n v="7.0219970379410483"/>
    <s v="High"/>
    <s v="Warning"/>
  </r>
  <r>
    <n v="750"/>
    <d v="2026-04-27T00:00:00"/>
    <x v="5"/>
    <s v="Plant B"/>
    <x v="2"/>
    <x v="9"/>
    <x v="2"/>
    <x v="1"/>
    <s v="B260427-0750"/>
    <s v="OP118"/>
    <n v="851"/>
    <n v="813"/>
    <n v="764"/>
    <n v="49"/>
    <n v="16"/>
    <n v="18"/>
    <s v="Material Shortage"/>
    <n v="45"/>
    <n v="48"/>
    <n v="75.099999999999994"/>
    <n v="1.7"/>
    <n v="29.4"/>
    <n v="15793.67"/>
    <n v="7.54"/>
    <s v="Completed"/>
    <n v="37"/>
    <n v="26064.67"/>
    <n v="0.93972939729397298"/>
    <n v="19451.27"/>
    <n v="310.82253382533798"/>
    <n v="638.25"/>
    <n v="0.97179788484136298"/>
    <n v="6302.57746617466"/>
    <n v="0.95534665099882488"/>
    <n v="6.0270602706027063E-2"/>
    <n v="1.968019680196802E-2"/>
    <n v="0.93972939729397298"/>
    <n v="0.3"/>
    <n v="620.25"/>
    <n v="1.3107617896009673"/>
    <n v="1.3333333333333333"/>
    <n v="0.98307134220072556"/>
    <n v="0.93972939729397298"/>
    <n v="0.89776733254994123"/>
    <n v="23.925301353013531"/>
    <n v="7.7522478058728908"/>
    <s v="Medium"/>
    <s v="Normal"/>
  </r>
  <r>
    <n v="751"/>
    <d v="2026-03-29T00:00:00"/>
    <x v="1"/>
    <s v="Plant B"/>
    <x v="4"/>
    <x v="14"/>
    <x v="1"/>
    <x v="2"/>
    <s v="B260329-0751"/>
    <s v="OP122"/>
    <n v="686"/>
    <n v="680"/>
    <n v="613"/>
    <n v="67"/>
    <n v="18"/>
    <n v="0"/>
    <s v="No Downtime"/>
    <n v="64"/>
    <n v="66"/>
    <n v="69.099999999999994"/>
    <n v="1.92"/>
    <n v="22.41"/>
    <n v="20945.13"/>
    <n v="7.51"/>
    <s v="Pending"/>
    <n v="3"/>
    <n v="30945.63"/>
    <n v="0.90147058823529402"/>
    <n v="24526.32"/>
    <n v="554.42991176470605"/>
    <n v="731.73333333333301"/>
    <n v="1"/>
    <n v="5864.8800882352998"/>
    <n v="0.99125364431486884"/>
    <n v="9.8529411764705879E-2"/>
    <n v="2.6470588235294117E-2"/>
    <n v="0.90147058823529413"/>
    <n v="0"/>
    <n v="731.73333333333301"/>
    <n v="0.92930029154518989"/>
    <n v="0.9375"/>
    <n v="0.99125364431486918"/>
    <n v="0.90147058823529413"/>
    <n v="0.8935860058309042"/>
    <n v="36.06811764705882"/>
    <n v="8.6248236591695591"/>
    <s v="Medium"/>
    <s v="Warning"/>
  </r>
  <r>
    <n v="752"/>
    <d v="2026-03-12T00:00:00"/>
    <x v="1"/>
    <s v="Plant A"/>
    <x v="3"/>
    <x v="7"/>
    <x v="1"/>
    <x v="4"/>
    <s v="B260312-0752"/>
    <s v="OP108"/>
    <n v="588"/>
    <n v="531"/>
    <n v="510"/>
    <n v="21"/>
    <n v="8"/>
    <n v="41"/>
    <s v="Machine Breakdown"/>
    <n v="57"/>
    <n v="60"/>
    <n v="71.400000000000006"/>
    <n v="2.62"/>
    <n v="18.07"/>
    <n v="13930.22"/>
    <n v="8.82"/>
    <s v="Overdue"/>
    <n v="27"/>
    <n v="23056.71"/>
    <n v="0.96045197740112997"/>
    <n v="18061.849999999999"/>
    <n v="209.87148775894499"/>
    <n v="558.6"/>
    <n v="0.926602219835303"/>
    <n v="4784.9885122410496"/>
    <n v="0.90306122448979587"/>
    <n v="3.954802259887006E-2"/>
    <n v="1.5065913370998116E-2"/>
    <n v="0.96045197740112997"/>
    <n v="0.68333333333333335"/>
    <n v="517.6"/>
    <n v="1.0258887171561051"/>
    <n v="1.0526315789473684"/>
    <n v="0.97459428129829984"/>
    <n v="0.96045197740112997"/>
    <n v="0.86734693877551061"/>
    <n v="34.014783427495288"/>
    <n v="9.0112778008306016"/>
    <s v="High"/>
    <s v="Normal"/>
  </r>
  <r>
    <n v="753"/>
    <d v="2026-01-15T00:00:00"/>
    <x v="2"/>
    <s v="Plant B"/>
    <x v="2"/>
    <x v="10"/>
    <x v="0"/>
    <x v="1"/>
    <s v="B260115-0753"/>
    <s v="OP115"/>
    <n v="733"/>
    <n v="824"/>
    <n v="752"/>
    <n v="72"/>
    <n v="19"/>
    <n v="22"/>
    <s v="Preventive Maintenance"/>
    <n v="45"/>
    <n v="46"/>
    <n v="68.599999999999994"/>
    <n v="2.36"/>
    <n v="29.8"/>
    <n v="17768.759999999998"/>
    <n v="9.14"/>
    <s v="Completed"/>
    <n v="23"/>
    <n v="26103.25"/>
    <n v="0.91262135922330101"/>
    <n v="22149.96"/>
    <n v="409.71655339805801"/>
    <n v="549.75"/>
    <n v="0.95998180991359705"/>
    <n v="3543.5734466019398"/>
    <n v="1.1241473396998636"/>
    <n v="8.7378640776699032E-2"/>
    <n v="2.3058252427184466E-2"/>
    <n v="0.91262135922330101"/>
    <n v="0.36666666666666664"/>
    <n v="527.75"/>
    <n v="1.5613453339649455"/>
    <n v="1.3333333333333333"/>
    <n v="1.1710090004737093"/>
    <n v="0.91262135922330101"/>
    <n v="1.0259208731241474"/>
    <n v="26.881019417475727"/>
    <n v="4.3004532118955581"/>
    <s v="Medium"/>
    <s v="Warning"/>
  </r>
  <r>
    <n v="754"/>
    <d v="2026-06-18T00:00:00"/>
    <x v="0"/>
    <s v="Plant B"/>
    <x v="3"/>
    <x v="7"/>
    <x v="2"/>
    <x v="4"/>
    <s v="B260618-0754"/>
    <s v="OP130"/>
    <n v="586"/>
    <n v="439"/>
    <n v="410"/>
    <n v="29"/>
    <n v="12"/>
    <n v="6"/>
    <s v="Tool Change"/>
    <n v="57"/>
    <n v="57"/>
    <n v="76.5"/>
    <n v="3.15"/>
    <n v="16.53"/>
    <n v="11943.45"/>
    <n v="6.24"/>
    <s v="Scheduled"/>
    <n v="20"/>
    <n v="18461.21"/>
    <n v="0.93394077448747204"/>
    <n v="14900.22"/>
    <n v="326.47243735763101"/>
    <n v="556.70000000000005"/>
    <n v="0.98922220226333801"/>
    <n v="3234.5175626423702"/>
    <n v="0.74914675767918093"/>
    <n v="6.6059225512528477E-2"/>
    <n v="2.7334851936218679E-2"/>
    <n v="0.93394077448747148"/>
    <n v="0.1"/>
    <n v="550.70000000000005"/>
    <n v="0.79716724169239139"/>
    <n v="1.0526315789473684"/>
    <n v="0.75730887960777182"/>
    <n v="0.93394077448747148"/>
    <n v="0.69965870307167255"/>
    <n v="33.941275626423689"/>
    <n v="7.3679215549940098"/>
    <s v="High"/>
    <s v="Critical"/>
  </r>
  <r>
    <n v="755"/>
    <d v="2026-04-24T00:00:00"/>
    <x v="5"/>
    <s v="Plant B"/>
    <x v="1"/>
    <x v="5"/>
    <x v="1"/>
    <x v="3"/>
    <s v="B260424-0755"/>
    <s v="OP121"/>
    <n v="828"/>
    <n v="827"/>
    <n v="794"/>
    <n v="33"/>
    <n v="13"/>
    <n v="21"/>
    <s v="Setup Time"/>
    <n v="49"/>
    <n v="51"/>
    <n v="74.5"/>
    <n v="1.78"/>
    <n v="25.35"/>
    <n v="17904.689999999999"/>
    <n v="9.33"/>
    <s v="Scheduled"/>
    <n v="18"/>
    <n v="29349.45"/>
    <n v="0.960096735187424"/>
    <n v="22331.34"/>
    <n v="281.45220072551399"/>
    <n v="676.2"/>
    <n v="0.96894409937888204"/>
    <n v="6736.6577992744897"/>
    <n v="0.99879227053140096"/>
    <n v="3.9903264812575577E-2"/>
    <n v="1.5719467956469165E-2"/>
    <n v="0.96009673518742444"/>
    <n v="0.35"/>
    <n v="655.20000000000005"/>
    <n v="1.2622100122100122"/>
    <n v="1.2244897959183674"/>
    <n v="1.0308048433048433"/>
    <n v="0.96009673518742444"/>
    <n v="0.958937198067633"/>
    <n v="27.002829504232164"/>
    <n v="8.1458981853379555"/>
    <s v="Low"/>
    <s v="Normal"/>
  </r>
  <r>
    <n v="756"/>
    <d v="2026-01-07T00:00:00"/>
    <x v="2"/>
    <s v="Plant A"/>
    <x v="1"/>
    <x v="6"/>
    <x v="0"/>
    <x v="0"/>
    <s v="B260107-0756"/>
    <s v="OP120"/>
    <n v="815"/>
    <n v="790"/>
    <n v="740"/>
    <n v="50"/>
    <n v="17"/>
    <n v="0"/>
    <s v="No Downtime"/>
    <n v="42"/>
    <n v="41"/>
    <n v="76.2"/>
    <n v="2.14"/>
    <n v="23.39"/>
    <n v="15076.36"/>
    <n v="8.67"/>
    <s v="Scheduled"/>
    <n v="3"/>
    <n v="23092.99"/>
    <n v="0.936708860759494"/>
    <n v="19188.37"/>
    <n v="324.428"/>
    <n v="570.5"/>
    <n v="1"/>
    <n v="3580.192"/>
    <n v="0.96932515337423308"/>
    <n v="6.3291139240506333E-2"/>
    <n v="2.1518987341772152E-2"/>
    <n v="0.93670886075949367"/>
    <n v="0"/>
    <n v="570.5"/>
    <n v="1.3847502191060472"/>
    <n v="1.4285714285714286"/>
    <n v="0.96932515337423308"/>
    <n v="0.93670886075949367"/>
    <n v="0.90797546012269936"/>
    <n v="24.289075949367088"/>
    <n v="4.5318886075949365"/>
    <s v="Low"/>
    <s v="Normal"/>
  </r>
  <r>
    <n v="757"/>
    <d v="2026-02-12T00:00:00"/>
    <x v="4"/>
    <s v="Plant A"/>
    <x v="3"/>
    <x v="8"/>
    <x v="0"/>
    <x v="4"/>
    <s v="B260212-0757"/>
    <s v="OP123"/>
    <n v="701"/>
    <n v="665"/>
    <n v="624"/>
    <n v="41"/>
    <n v="14"/>
    <n v="12"/>
    <s v="Quality Inspection"/>
    <n v="57"/>
    <n v="60"/>
    <n v="79.400000000000006"/>
    <n v="2.58"/>
    <n v="27.56"/>
    <n v="19150.490000000002"/>
    <n v="8.89"/>
    <s v="Completed"/>
    <n v="25"/>
    <n v="28246.97"/>
    <n v="0.93834586466165404"/>
    <n v="23399.03"/>
    <n v="403.16821052631599"/>
    <n v="665.95"/>
    <n v="0.98198062917636497"/>
    <n v="4444.7717894736797"/>
    <n v="0.94864479315263905"/>
    <n v="6.1654135338345864E-2"/>
    <n v="2.1052631578947368E-2"/>
    <n v="0.93834586466165415"/>
    <n v="0.2"/>
    <n v="653.95000000000005"/>
    <n v="1.0168973163085862"/>
    <n v="1.0526315789473684"/>
    <n v="0.96605245049315691"/>
    <n v="0.93834586466165415"/>
    <n v="0.8901569186875895"/>
    <n v="35.186511278195489"/>
    <n v="6.6838673525919994"/>
    <s v="Low"/>
    <s v="Normal"/>
  </r>
  <r>
    <n v="758"/>
    <d v="2026-02-13T00:00:00"/>
    <x v="4"/>
    <s v="Plant A"/>
    <x v="1"/>
    <x v="5"/>
    <x v="1"/>
    <x v="0"/>
    <s v="B260213-0758"/>
    <s v="OP134"/>
    <n v="809"/>
    <n v="780"/>
    <n v="757"/>
    <n v="23"/>
    <n v="5"/>
    <n v="8"/>
    <s v="Quality Inspection"/>
    <n v="42"/>
    <n v="46"/>
    <n v="76.3"/>
    <n v="1.35"/>
    <n v="26.61"/>
    <n v="15247.3"/>
    <n v="8.44"/>
    <s v="Completed"/>
    <n v="7"/>
    <n v="23568.43"/>
    <n v="0.97051282051282095"/>
    <n v="19284.79"/>
    <n v="97.739102564102595"/>
    <n v="566.29999999999995"/>
    <n v="0.98587321207840395"/>
    <n v="4185.9008974359003"/>
    <n v="0.96415327564894937"/>
    <n v="2.9487179487179487E-2"/>
    <n v="6.41025641025641E-3"/>
    <n v="0.97051282051282051"/>
    <n v="0.13333333333333333"/>
    <n v="558.29999999999995"/>
    <n v="1.3970983342289094"/>
    <n v="1.4285714285714286"/>
    <n v="0.97796883396023659"/>
    <n v="0.97051282051282051"/>
    <n v="0.9357231149567371"/>
    <n v="24.724089743589744"/>
    <n v="5.3665396120973083"/>
    <s v="Low"/>
    <s v="Normal"/>
  </r>
  <r>
    <n v="759"/>
    <d v="2026-04-28T00:00:00"/>
    <x v="5"/>
    <s v="Plant A"/>
    <x v="2"/>
    <x v="4"/>
    <x v="0"/>
    <x v="4"/>
    <s v="B260428-0759"/>
    <s v="OP108"/>
    <n v="715"/>
    <n v="650"/>
    <n v="602"/>
    <n v="48"/>
    <n v="20"/>
    <n v="53"/>
    <s v="Material Shortage"/>
    <n v="57"/>
    <n v="56"/>
    <n v="72.2"/>
    <n v="2.61"/>
    <n v="23.97"/>
    <n v="18256.32"/>
    <n v="8.44"/>
    <s v="Completed"/>
    <n v="36"/>
    <n v="27010.18"/>
    <n v="0.92615384615384599"/>
    <n v="22270.05"/>
    <n v="561.73292307692304"/>
    <n v="679.25"/>
    <n v="0.92197276407802697"/>
    <n v="4178.39707692308"/>
    <n v="0.90909090909090906"/>
    <n v="7.3846153846153853E-2"/>
    <n v="3.0769230769230771E-2"/>
    <n v="0.92615384615384611"/>
    <n v="0.8833333333333333"/>
    <n v="626.25"/>
    <n v="1.0379241516966067"/>
    <n v="1.0526315789473684"/>
    <n v="0.98602794411177641"/>
    <n v="0.92615384615384611"/>
    <n v="0.84195804195804169"/>
    <n v="34.261615384615382"/>
    <n v="6.4283031952662766"/>
    <s v="Medium"/>
    <s v="Warning"/>
  </r>
  <r>
    <n v="760"/>
    <d v="2026-05-07T00:00:00"/>
    <x v="3"/>
    <s v="Plant B"/>
    <x v="4"/>
    <x v="12"/>
    <x v="2"/>
    <x v="1"/>
    <s v="B260507-0760"/>
    <s v="OP131"/>
    <n v="782"/>
    <n v="604"/>
    <n v="495"/>
    <n v="109"/>
    <n v="46"/>
    <n v="46"/>
    <s v="Machine Breakdown"/>
    <n v="45"/>
    <n v="51"/>
    <n v="91.8"/>
    <n v="4.97"/>
    <n v="23.06"/>
    <n v="12914.03"/>
    <n v="7"/>
    <s v="Overdue"/>
    <n v="47"/>
    <n v="17496.52"/>
    <n v="0.81953642384105996"/>
    <n v="16271.57"/>
    <n v="983.51884105960301"/>
    <n v="586.5"/>
    <n v="0.92156862745098"/>
    <n v="241.43115894039599"/>
    <n v="0.77237851662404089"/>
    <n v="0.1804635761589404"/>
    <n v="7.6158940397350994E-2"/>
    <n v="0.81953642384105962"/>
    <n v="0.76666666666666672"/>
    <n v="540.5"/>
    <n v="1.1174838112858465"/>
    <n v="1.3333333333333333"/>
    <n v="0.83811285846438488"/>
    <n v="0.81953642384105962"/>
    <n v="0.63299232736572875"/>
    <n v="26.939685430463577"/>
    <n v="0.39972046182184767"/>
    <s v="High"/>
    <s v="Critical"/>
  </r>
  <r>
    <n v="761"/>
    <d v="2026-06-25T00:00:00"/>
    <x v="0"/>
    <s v="Plant A"/>
    <x v="3"/>
    <x v="11"/>
    <x v="2"/>
    <x v="3"/>
    <s v="B260625-0761"/>
    <s v="OP125"/>
    <n v="713"/>
    <n v="679"/>
    <n v="623"/>
    <n v="56"/>
    <n v="21"/>
    <n v="0"/>
    <s v="No Downtime"/>
    <n v="49"/>
    <n v="53"/>
    <n v="69.8"/>
    <n v="2.74"/>
    <n v="19.600000000000001"/>
    <n v="14994.6"/>
    <n v="7.71"/>
    <s v="Scheduled"/>
    <n v="1"/>
    <n v="23662.32"/>
    <n v="0.91752577319587603"/>
    <n v="18640.5"/>
    <n v="463.75051546391802"/>
    <n v="582.28333333333296"/>
    <n v="1"/>
    <n v="4558.0694845360804"/>
    <n v="0.95231416549789616"/>
    <n v="8.247422680412371E-2"/>
    <n v="3.0927835051546393E-2"/>
    <n v="0.91752577319587625"/>
    <n v="0"/>
    <n v="582.28333333333296"/>
    <n v="1.1660989781606901"/>
    <n v="1.2244897959183674"/>
    <n v="0.95231416549789683"/>
    <n v="0.91752577319587625"/>
    <n v="0.87377279102384342"/>
    <n v="27.452871870397644"/>
    <n v="6.7129152938675709"/>
    <s v="Medium"/>
    <s v="Warning"/>
  </r>
  <r>
    <n v="762"/>
    <d v="2026-01-27T00:00:00"/>
    <x v="2"/>
    <s v="Plant A"/>
    <x v="0"/>
    <x v="1"/>
    <x v="1"/>
    <x v="0"/>
    <s v="B260127-0762"/>
    <s v="OP120"/>
    <n v="782"/>
    <n v="779"/>
    <n v="743"/>
    <n v="36"/>
    <n v="13"/>
    <n v="20"/>
    <s v="Preventive Maintenance"/>
    <n v="42"/>
    <n v="42"/>
    <n v="68.2"/>
    <n v="2.37"/>
    <n v="29.42"/>
    <n v="14979.03"/>
    <n v="8.73"/>
    <s v="Completed"/>
    <n v="11"/>
    <n v="23152.959999999999"/>
    <n v="0.95378690629011598"/>
    <n v="19172.310000000001"/>
    <n v="249.97097560975601"/>
    <n v="547.4"/>
    <n v="0.963463646328096"/>
    <n v="3730.6790243902501"/>
    <n v="0.99616368286445012"/>
    <n v="4.6213093709884467E-2"/>
    <n v="1.668806161745828E-2"/>
    <n v="0.95378690629011553"/>
    <n v="0.33333333333333331"/>
    <n v="527.4"/>
    <n v="1.4770572620401972"/>
    <n v="1.4285714285714286"/>
    <n v="1.033940083428138"/>
    <n v="0.95378690629011553"/>
    <n v="0.95012787723785119"/>
    <n v="24.611437740693198"/>
    <n v="4.789061648767972"/>
    <s v="Low"/>
    <s v="Normal"/>
  </r>
  <r>
    <n v="763"/>
    <d v="2026-03-12T00:00:00"/>
    <x v="1"/>
    <s v="Plant B"/>
    <x v="0"/>
    <x v="1"/>
    <x v="0"/>
    <x v="4"/>
    <s v="B260312-0763"/>
    <s v="OP112"/>
    <n v="759"/>
    <n v="817"/>
    <n v="776"/>
    <n v="41"/>
    <n v="13"/>
    <n v="24"/>
    <s v="Setup Time"/>
    <n v="57"/>
    <n v="57"/>
    <n v="76"/>
    <n v="1.89"/>
    <n v="31.39"/>
    <n v="22133.119999999999"/>
    <n v="11.25"/>
    <s v="Scheduled"/>
    <n v="28"/>
    <n v="35590.75"/>
    <n v="0.94981640146878799"/>
    <n v="27478.13"/>
    <n v="352.179388004896"/>
    <n v="721.05"/>
    <n v="0.96671520698980695"/>
    <n v="7760.44061199511"/>
    <n v="1.0764163372859026"/>
    <n v="5.0183598531211751E-2"/>
    <n v="1.591187270501836E-2"/>
    <n v="0.94981640146878821"/>
    <n v="0.4"/>
    <n v="697.05"/>
    <n v="1.1720823470339288"/>
    <n v="1.0526315789473684"/>
    <n v="1.1134782296822323"/>
    <n v="0.94981640146878821"/>
    <n v="1.0223978919631098"/>
    <n v="33.632962056303548"/>
    <n v="9.4987033194554584"/>
    <s v="Low"/>
    <s v="Normal"/>
  </r>
  <r>
    <n v="764"/>
    <d v="2026-05-08T00:00:00"/>
    <x v="3"/>
    <s v="Plant B"/>
    <x v="3"/>
    <x v="8"/>
    <x v="1"/>
    <x v="0"/>
    <s v="B260508-0764"/>
    <s v="OP109"/>
    <n v="729"/>
    <n v="662"/>
    <n v="616"/>
    <n v="46"/>
    <n v="9"/>
    <n v="14"/>
    <s v="Machine Breakdown"/>
    <n v="42"/>
    <n v="44"/>
    <n v="70.7"/>
    <n v="1.92"/>
    <n v="22.2"/>
    <n v="12352.19"/>
    <n v="8.7899999999999991"/>
    <s v="Completed"/>
    <n v="14"/>
    <n v="20240.240000000002"/>
    <n v="0.93051359516616305"/>
    <n v="16507.490000000002"/>
    <n v="167.930075528701"/>
    <n v="510.3"/>
    <n v="0.97256515775034302"/>
    <n v="3564.8199244713001"/>
    <n v="0.90809327846364885"/>
    <n v="6.9486404833836862E-2"/>
    <n v="1.3595166163141994E-2"/>
    <n v="0.93051359516616317"/>
    <n v="0.23333333333333334"/>
    <n v="496.3"/>
    <n v="1.3338706427563973"/>
    <n v="1.4285714285714286"/>
    <n v="0.93370944992947813"/>
    <n v="0.93051359516616317"/>
    <n v="0.8449931412894377"/>
    <n v="24.935785498489427"/>
    <n v="5.3849243572074021"/>
    <s v="Medium"/>
    <s v="Warning"/>
  </r>
  <r>
    <n v="765"/>
    <d v="2026-04-14T00:00:00"/>
    <x v="5"/>
    <s v="Plant B"/>
    <x v="2"/>
    <x v="9"/>
    <x v="1"/>
    <x v="3"/>
    <s v="B260414-0765"/>
    <s v="OP134"/>
    <n v="862"/>
    <n v="715"/>
    <n v="681"/>
    <n v="34"/>
    <n v="6"/>
    <n v="37"/>
    <s v="Tool Change"/>
    <n v="49"/>
    <n v="48"/>
    <n v="66.900000000000006"/>
    <n v="2.5"/>
    <n v="31.26"/>
    <n v="16605.53"/>
    <n v="7.44"/>
    <s v="Scheduled"/>
    <n v="31"/>
    <n v="25947.4"/>
    <n v="0.95244755244755197"/>
    <n v="20234.87"/>
    <n v="139.34710489510499"/>
    <n v="703.96666666666704"/>
    <n v="0.94744069321464097"/>
    <n v="5573.1828951049001"/>
    <n v="0.82946635730858465"/>
    <n v="4.7552447552447551E-2"/>
    <n v="8.3916083916083916E-3"/>
    <n v="0.95244755244755241"/>
    <n v="0.6166666666666667"/>
    <n v="666.96666666666704"/>
    <n v="1.0720175920835617"/>
    <n v="1.2244897959183674"/>
    <n v="0.87548103353490869"/>
    <n v="0.95244755244755241"/>
    <n v="0.79002320185614805"/>
    <n v="28.300517482517481"/>
    <n v="7.7946613917551053"/>
    <s v="High"/>
    <s v="Warning"/>
  </r>
  <r>
    <n v="766"/>
    <d v="2026-04-01T00:00:00"/>
    <x v="5"/>
    <s v="Plant A"/>
    <x v="3"/>
    <x v="11"/>
    <x v="1"/>
    <x v="2"/>
    <s v="B260401-0766"/>
    <s v="OP120"/>
    <n v="501"/>
    <n v="436"/>
    <n v="399"/>
    <n v="37"/>
    <n v="8"/>
    <n v="50"/>
    <s v="Machine Breakdown"/>
    <n v="64"/>
    <n v="70"/>
    <n v="67.900000000000006"/>
    <n v="1.41"/>
    <n v="15"/>
    <n v="12901.38"/>
    <n v="6.46"/>
    <s v="Pending"/>
    <n v="36"/>
    <n v="21089.84"/>
    <n v="0.91513761467889898"/>
    <n v="15943.38"/>
    <n v="236.722568807339"/>
    <n v="534.4"/>
    <n v="0.90643712574850299"/>
    <n v="4909.7374311926596"/>
    <n v="0.87025948103792417"/>
    <n v="8.4862385321100922E-2"/>
    <n v="1.834862385321101E-2"/>
    <n v="0.91513761467889909"/>
    <n v="0.83333333333333337"/>
    <n v="484.4"/>
    <n v="0.90008257638315448"/>
    <n v="0.9375"/>
    <n v="0.96008808147536473"/>
    <n v="0.91513761467889909"/>
    <n v="0.79640718562874258"/>
    <n v="36.567385321100915"/>
    <n v="11.260865667873073"/>
    <s v="High"/>
    <s v="Warning"/>
  </r>
  <r>
    <n v="767"/>
    <d v="2026-05-05T00:00:00"/>
    <x v="3"/>
    <s v="Plant B"/>
    <x v="4"/>
    <x v="13"/>
    <x v="1"/>
    <x v="3"/>
    <s v="B260505-0767"/>
    <s v="OP119"/>
    <n v="865"/>
    <n v="694"/>
    <n v="659"/>
    <n v="35"/>
    <n v="10"/>
    <n v="24"/>
    <s v="Setup Time"/>
    <n v="49"/>
    <n v="50"/>
    <n v="77.900000000000006"/>
    <n v="2.11"/>
    <n v="24.63"/>
    <n v="16075.98"/>
    <n v="6.89"/>
    <s v="Completed"/>
    <n v="30"/>
    <n v="25628.77"/>
    <n v="0.94956772334294004"/>
    <n v="19398.150000000001"/>
    <n v="231.64236311239199"/>
    <n v="706.41666666666697"/>
    <n v="0.96602571664504"/>
    <n v="5998.9776368876101"/>
    <n v="0.80231213872832374"/>
    <n v="5.0432276657060522E-2"/>
    <n v="1.4409221902017291E-2"/>
    <n v="0.94956772334293948"/>
    <n v="0.4"/>
    <n v="682.41666666666697"/>
    <n v="1.0169739894981067"/>
    <n v="1.2244897959183674"/>
    <n v="0.8305287580901205"/>
    <n v="0.94956772334293948"/>
    <n v="0.76184971098265897"/>
    <n v="27.951224783861672"/>
    <n v="8.6440599955152884"/>
    <s v="High"/>
    <s v="Warning"/>
  </r>
  <r>
    <n v="768"/>
    <d v="2026-04-20T00:00:00"/>
    <x v="5"/>
    <s v="Plant A"/>
    <x v="4"/>
    <x v="13"/>
    <x v="0"/>
    <x v="3"/>
    <s v="B260420-0768"/>
    <s v="OP123"/>
    <n v="781"/>
    <n v="759"/>
    <n v="711"/>
    <n v="48"/>
    <n v="14"/>
    <n v="17"/>
    <s v="Quality Inspection"/>
    <n v="49"/>
    <n v="54"/>
    <n v="65.599999999999994"/>
    <n v="1.82"/>
    <n v="23.36"/>
    <n v="16998.71"/>
    <n v="7.44"/>
    <s v="Scheduled"/>
    <n v="9"/>
    <n v="26568.54"/>
    <n v="0.936758893280632"/>
    <n v="20556.95"/>
    <n v="313.54669301712801"/>
    <n v="637.81666666666695"/>
    <n v="0.97334657294415905"/>
    <n v="5698.0433069828696"/>
    <n v="0.971830985915493"/>
    <n v="6.3241106719367585E-2"/>
    <n v="1.844532279314888E-2"/>
    <n v="0.93675889328063244"/>
    <n v="0.28333333333333333"/>
    <n v="620.81666666666695"/>
    <n v="1.2225831565948073"/>
    <n v="1.2244897959183674"/>
    <n v="0.99844291121909268"/>
    <n v="0.93675889328063244"/>
    <n v="0.91037131882202327"/>
    <n v="27.084255599472993"/>
    <n v="7.5073034347600389"/>
    <s v="Low"/>
    <s v="Normal"/>
  </r>
  <r>
    <n v="769"/>
    <d v="2026-02-22T00:00:00"/>
    <x v="4"/>
    <s v="Plant A"/>
    <x v="4"/>
    <x v="12"/>
    <x v="1"/>
    <x v="0"/>
    <s v="B260222-0769"/>
    <s v="OP124"/>
    <n v="899"/>
    <n v="765"/>
    <n v="667"/>
    <n v="98"/>
    <n v="27"/>
    <n v="28"/>
    <s v="Material Shortage"/>
    <n v="42"/>
    <n v="48"/>
    <n v="72.3"/>
    <n v="3.73"/>
    <n v="32.04"/>
    <n v="14041.47"/>
    <n v="6.97"/>
    <s v="Completed"/>
    <n v="36"/>
    <n v="21038.86"/>
    <n v="0.87189542483660099"/>
    <n v="17466.330000000002"/>
    <n v="495.58129411764702"/>
    <n v="629.29999999999995"/>
    <n v="0.95550611790878803"/>
    <n v="3076.9487058823502"/>
    <n v="0.85094549499443828"/>
    <n v="0.12810457516339868"/>
    <n v="3.5294117647058823E-2"/>
    <n v="0.87189542483660132"/>
    <n v="0.46666666666666667"/>
    <n v="601.29999999999995"/>
    <n v="1.2722434724763014"/>
    <n v="1.4285714285714286"/>
    <n v="0.89057043073341102"/>
    <n v="0.87189542483660132"/>
    <n v="0.74193548387096819"/>
    <n v="22.831803921568628"/>
    <n v="4.0221551710880394"/>
    <s v="High"/>
    <s v="Critical"/>
  </r>
  <r>
    <n v="770"/>
    <d v="2026-03-16T00:00:00"/>
    <x v="1"/>
    <s v="Plant A"/>
    <x v="4"/>
    <x v="12"/>
    <x v="0"/>
    <x v="0"/>
    <s v="B260316-0770"/>
    <s v="OP120"/>
    <n v="782"/>
    <n v="705"/>
    <n v="605"/>
    <n v="100"/>
    <n v="24"/>
    <n v="11"/>
    <s v="Quality Inspection"/>
    <n v="42"/>
    <n v="47"/>
    <n v="75.2"/>
    <n v="3.96"/>
    <n v="25.24"/>
    <n v="13288.82"/>
    <n v="8.16"/>
    <s v="Completed"/>
    <n v="39"/>
    <n v="18834.66"/>
    <n v="0.85815602836879401"/>
    <n v="17187.98"/>
    <n v="452.38536170212802"/>
    <n v="547.4"/>
    <n v="0.97990500548045301"/>
    <n v="1194.2946382978701"/>
    <n v="0.90153452685421998"/>
    <n v="0.14184397163120568"/>
    <n v="3.4042553191489362E-2"/>
    <n v="0.85815602836879434"/>
    <n v="0.18333333333333332"/>
    <n v="536.4"/>
    <n v="1.3143176733780761"/>
    <n v="1.4285714285714286"/>
    <n v="0.92002237136465326"/>
    <n v="0.85815602836879434"/>
    <n v="0.77365728900255759"/>
    <n v="24.380113475177303"/>
    <n v="1.6940349479402412"/>
    <s v="High"/>
    <s v="Warning"/>
  </r>
  <r>
    <n v="771"/>
    <d v="2026-03-26T00:00:00"/>
    <x v="1"/>
    <s v="Plant B"/>
    <x v="3"/>
    <x v="11"/>
    <x v="1"/>
    <x v="1"/>
    <s v="B260326-0771"/>
    <s v="OP114"/>
    <n v="947"/>
    <n v="892"/>
    <n v="819"/>
    <n v="73"/>
    <n v="26"/>
    <n v="20"/>
    <s v="Setup Time"/>
    <n v="45"/>
    <n v="49"/>
    <n v="66.599999999999994"/>
    <n v="2.37"/>
    <n v="31.47"/>
    <n v="19057.580000000002"/>
    <n v="7.86"/>
    <s v="Completed"/>
    <n v="29"/>
    <n v="29025.759999999998"/>
    <n v="0.91816143497757896"/>
    <n v="22877.81"/>
    <n v="555.49"/>
    <n v="710.25"/>
    <n v="0.97184090109116505"/>
    <n v="5592.46"/>
    <n v="0.94192185850052801"/>
    <n v="8.1838565022421525E-2"/>
    <n v="2.914798206278027E-2"/>
    <n v="0.91816143497757852"/>
    <n v="0.33333333333333331"/>
    <n v="690.25"/>
    <n v="1.2922854038391887"/>
    <n v="1.3333333333333333"/>
    <n v="0.96921405287939155"/>
    <n v="0.91816143497757852"/>
    <n v="0.86483632523759246"/>
    <n v="25.647769058295964"/>
    <n v="6.2695739910313906"/>
    <s v="Medium"/>
    <s v="Warning"/>
  </r>
  <r>
    <n v="772"/>
    <d v="2026-04-16T00:00:00"/>
    <x v="5"/>
    <s v="Plant B"/>
    <x v="4"/>
    <x v="13"/>
    <x v="2"/>
    <x v="0"/>
    <s v="B260416-0772"/>
    <s v="OP109"/>
    <n v="739"/>
    <n v="571"/>
    <n v="534"/>
    <n v="37"/>
    <n v="12"/>
    <n v="34"/>
    <s v="Power Failure"/>
    <n v="42"/>
    <n v="43"/>
    <n v="74.599999999999994"/>
    <n v="1.96"/>
    <n v="23.48"/>
    <n v="10864.3"/>
    <n v="6.47"/>
    <s v="Completed"/>
    <n v="26"/>
    <n v="16693.060000000001"/>
    <n v="0.93520140105078797"/>
    <n v="13987.12"/>
    <n v="228.32154115586701"/>
    <n v="517.29999999999995"/>
    <n v="0.93427411560023199"/>
    <n v="2477.6184588441402"/>
    <n v="0.77266576454668467"/>
    <n v="6.4798598949211902E-2"/>
    <n v="2.1015761821366025E-2"/>
    <n v="0.93520140105078808"/>
    <n v="0.56666666666666665"/>
    <n v="483.29999999999995"/>
    <n v="1.1814607903993379"/>
    <n v="1.4285714285714286"/>
    <n v="0.82702255327953655"/>
    <n v="0.93520140105078808"/>
    <n v="0.72259810554803794"/>
    <n v="24.495831873905431"/>
    <n v="4.3390866179407004"/>
    <s v="High"/>
    <s v="Critical"/>
  </r>
  <r>
    <n v="773"/>
    <d v="2026-04-29T00:00:00"/>
    <x v="5"/>
    <s v="Plant B"/>
    <x v="1"/>
    <x v="2"/>
    <x v="1"/>
    <x v="4"/>
    <s v="B260429-0773"/>
    <s v="OP113"/>
    <n v="604"/>
    <n v="602"/>
    <n v="574"/>
    <n v="28"/>
    <n v="11"/>
    <n v="0"/>
    <s v="No Downtime"/>
    <n v="57"/>
    <n v="62"/>
    <n v="70.2"/>
    <n v="2.41"/>
    <n v="18.899999999999999"/>
    <n v="16154.39"/>
    <n v="8.0299999999999994"/>
    <s v="Completed"/>
    <n v="8"/>
    <n v="26226.38"/>
    <n v="0.95348837209302295"/>
    <n v="19937.990000000002"/>
    <n v="295.17988372092998"/>
    <n v="573.79999999999995"/>
    <n v="1"/>
    <n v="5993.2101162790696"/>
    <n v="0.99668874172185429"/>
    <n v="4.6511627906976744E-2"/>
    <n v="1.8272425249169437E-2"/>
    <n v="0.95348837209302328"/>
    <n v="0"/>
    <n v="573.79999999999995"/>
    <n v="1.0491460439177414"/>
    <n v="1.0526315789473684"/>
    <n v="0.99668874172185429"/>
    <n v="0.95348837209302328"/>
    <n v="0.95033112582781454"/>
    <n v="33.119584717607978"/>
    <n v="9.9554985320250324"/>
    <s v="Low"/>
    <s v="Normal"/>
  </r>
  <r>
    <n v="774"/>
    <d v="2026-01-22T00:00:00"/>
    <x v="2"/>
    <s v="Plant A"/>
    <x v="3"/>
    <x v="11"/>
    <x v="1"/>
    <x v="0"/>
    <s v="B260122-0774"/>
    <s v="OP114"/>
    <n v="871"/>
    <n v="873"/>
    <n v="811"/>
    <n v="62"/>
    <n v="15"/>
    <n v="29"/>
    <s v="Quality Inspection"/>
    <n v="42"/>
    <n v="41"/>
    <n v="72"/>
    <n v="2.5"/>
    <n v="27.94"/>
    <n v="15765.33"/>
    <n v="9.41"/>
    <s v="Scheduled"/>
    <n v="1"/>
    <n v="25820.71"/>
    <n v="0.92898052691867095"/>
    <n v="20251.29"/>
    <n v="270.881958762887"/>
    <n v="609.70000000000005"/>
    <n v="0.952435624077415"/>
    <n v="5298.5380412371096"/>
    <n v="1.0022962112514351"/>
    <n v="7.1019473081328749E-2"/>
    <n v="1.7182130584192441E-2"/>
    <n v="0.92898052691867128"/>
    <n v="0.48333333333333334"/>
    <n v="580.70000000000005"/>
    <n v="1.5033580161873599"/>
    <n v="1.4285714285714286"/>
    <n v="1.0523506113311518"/>
    <n v="0.92898052691867128"/>
    <n v="0.93111366245694582"/>
    <n v="23.197353951890037"/>
    <n v="6.0693448353231494"/>
    <s v="Low"/>
    <s v="Normal"/>
  </r>
  <r>
    <n v="775"/>
    <d v="2026-06-27T00:00:00"/>
    <x v="0"/>
    <s v="Plant B"/>
    <x v="2"/>
    <x v="4"/>
    <x v="0"/>
    <x v="1"/>
    <s v="B260627-0775"/>
    <s v="OP121"/>
    <n v="752"/>
    <n v="718"/>
    <n v="666"/>
    <n v="52"/>
    <n v="10"/>
    <n v="49"/>
    <s v="Setup Time"/>
    <n v="45"/>
    <n v="44"/>
    <n v="70"/>
    <n v="1.82"/>
    <n v="26.23"/>
    <n v="14369.45"/>
    <n v="9.5299999999999994"/>
    <s v="Completed"/>
    <n v="20"/>
    <n v="22930.11"/>
    <n v="0.92757660167130895"/>
    <n v="18894.02"/>
    <n v="200.13161559888599"/>
    <n v="564"/>
    <n v="0.91312056737588698"/>
    <n v="3835.9583844011099"/>
    <n v="0.95478723404255317"/>
    <n v="7.2423398328690811E-2"/>
    <n v="1.3927576601671309E-2"/>
    <n v="0.92757660167130918"/>
    <n v="0.81666666666666665"/>
    <n v="515"/>
    <n v="1.3941747572815535"/>
    <n v="1.3333333333333333"/>
    <n v="1.0456310679611651"/>
    <n v="0.92757660167130918"/>
    <n v="0.88563829787234094"/>
    <n v="26.314791086350976"/>
    <n v="5.3425604239569777"/>
    <s v="Low"/>
    <s v="Normal"/>
  </r>
  <r>
    <n v="776"/>
    <d v="2026-04-04T00:00:00"/>
    <x v="5"/>
    <s v="Plant A"/>
    <x v="3"/>
    <x v="8"/>
    <x v="2"/>
    <x v="4"/>
    <s v="B260404-0776"/>
    <s v="OP118"/>
    <n v="628"/>
    <n v="553"/>
    <n v="517"/>
    <n v="36"/>
    <n v="15"/>
    <n v="33"/>
    <s v="Quality Inspection"/>
    <n v="57"/>
    <n v="62"/>
    <n v="72.2"/>
    <n v="1.79"/>
    <n v="21.43"/>
    <n v="14543.77"/>
    <n v="6.73"/>
    <s v="Completed"/>
    <n v="12"/>
    <n v="24483.34"/>
    <n v="0.93490054249547905"/>
    <n v="17765.14"/>
    <n v="394.49647377938498"/>
    <n v="596.6"/>
    <n v="0.94468655715722405"/>
    <n v="6323.70352622062"/>
    <n v="0.88057324840764328"/>
    <n v="6.50994575045208E-2"/>
    <n v="2.7124773960216998E-2"/>
    <n v="0.93490054249547916"/>
    <n v="0.55000000000000004"/>
    <n v="563.6"/>
    <n v="0.9811923349893541"/>
    <n v="1.0526315789473684"/>
    <n v="0.93213271823988642"/>
    <n v="0.93490054249547916"/>
    <n v="0.82324840764331186"/>
    <n v="32.125027124773958"/>
    <n v="11.435268582677432"/>
    <s v="Medium"/>
    <s v="Warning"/>
  </r>
  <r>
    <n v="777"/>
    <d v="2026-02-25T00:00:00"/>
    <x v="4"/>
    <s v="Plant A"/>
    <x v="0"/>
    <x v="3"/>
    <x v="0"/>
    <x v="0"/>
    <s v="B260225-0777"/>
    <s v="OP127"/>
    <n v="959"/>
    <n v="936"/>
    <n v="899"/>
    <n v="37"/>
    <n v="12"/>
    <n v="11"/>
    <s v="Setup Time"/>
    <n v="42"/>
    <n v="45"/>
    <n v="78.900000000000006"/>
    <n v="1.6"/>
    <n v="31.18"/>
    <n v="16794.7"/>
    <n v="9.44"/>
    <s v="Completed"/>
    <n v="23"/>
    <n v="29012.68"/>
    <n v="0.96047008547008605"/>
    <n v="21323.32"/>
    <n v="215.316666666667"/>
    <n v="671.3"/>
    <n v="0.98361388350960799"/>
    <n v="7474.0433333333303"/>
    <n v="0.97601668404588116"/>
    <n v="3.9529914529914528E-2"/>
    <n v="1.282051282051282E-2"/>
    <n v="0.9604700854700855"/>
    <n v="0.18333333333333332"/>
    <n v="660.3"/>
    <n v="1.41753748296229"/>
    <n v="1.4285714285714286"/>
    <n v="0.99227623807360299"/>
    <n v="0.9604700854700855"/>
    <n v="0.93743482794577671"/>
    <n v="22.781324786324785"/>
    <n v="7.9850890313390277"/>
    <s v="Low"/>
    <s v="Normal"/>
  </r>
  <r>
    <n v="778"/>
    <d v="2026-02-23T00:00:00"/>
    <x v="4"/>
    <s v="Plant A"/>
    <x v="0"/>
    <x v="3"/>
    <x v="2"/>
    <x v="1"/>
    <s v="B260223-0778"/>
    <s v="OP117"/>
    <n v="929"/>
    <n v="764"/>
    <n v="732"/>
    <n v="32"/>
    <n v="13"/>
    <n v="32"/>
    <s v="Setup Time"/>
    <n v="45"/>
    <n v="50"/>
    <n v="78"/>
    <n v="2.2000000000000002"/>
    <n v="31.49"/>
    <n v="16220.5"/>
    <n v="8.41"/>
    <s v="Completed"/>
    <n v="28"/>
    <n v="25549.63"/>
    <n v="0.95811518324607303"/>
    <n v="20288.41"/>
    <n v="276.003272251309"/>
    <n v="696.75"/>
    <n v="0.95407247936849704"/>
    <n v="4985.2167277486897"/>
    <n v="0.82238966630785792"/>
    <n v="4.1884816753926704E-2"/>
    <n v="1.7015706806282723E-2"/>
    <n v="0.95811518324607325"/>
    <n v="0.53333333333333333"/>
    <n v="664.75"/>
    <n v="1.1493042497179391"/>
    <n v="1.3333333333333333"/>
    <n v="0.86197818728845432"/>
    <n v="0.95811518324607325"/>
    <n v="0.78794402583423073"/>
    <n v="26.555510471204187"/>
    <n v="6.5251527850113735"/>
    <s v="High"/>
    <s v="Warning"/>
  </r>
  <r>
    <n v="779"/>
    <d v="2026-02-11T00:00:00"/>
    <x v="4"/>
    <s v="Plant A"/>
    <x v="3"/>
    <x v="7"/>
    <x v="0"/>
    <x v="3"/>
    <s v="B260211-0779"/>
    <s v="OP129"/>
    <n v="831"/>
    <n v="862"/>
    <n v="827"/>
    <n v="35"/>
    <n v="8"/>
    <n v="53"/>
    <s v="Power Failure"/>
    <n v="49"/>
    <n v="52"/>
    <n v="78.7"/>
    <n v="1.62"/>
    <n v="28.85"/>
    <n v="19193.21"/>
    <n v="10.42"/>
    <s v="Overdue"/>
    <n v="22"/>
    <n v="30577.59"/>
    <n v="0.95939675174013905"/>
    <n v="24141.86"/>
    <n v="178.127238979118"/>
    <n v="678.65"/>
    <n v="0.92190377956236702"/>
    <n v="6257.6027610208803"/>
    <n v="1.0373044524669073"/>
    <n v="4.0603248259860787E-2"/>
    <n v="9.2807424593967514E-3"/>
    <n v="0.95939675174013916"/>
    <n v="0.8833333333333333"/>
    <n v="625.65"/>
    <n v="1.3777671221929195"/>
    <n v="1.2244897959183674"/>
    <n v="1.1251764831242177"/>
    <n v="0.95939675174013916"/>
    <n v="0.99518652226233528"/>
    <n v="28.006798143851508"/>
    <n v="7.2593999547806032"/>
    <s v="High"/>
    <s v="Normal"/>
  </r>
  <r>
    <n v="780"/>
    <d v="2026-04-03T00:00:00"/>
    <x v="5"/>
    <s v="Plant A"/>
    <x v="2"/>
    <x v="10"/>
    <x v="0"/>
    <x v="1"/>
    <s v="B260403-0780"/>
    <s v="OP110"/>
    <n v="853"/>
    <n v="814"/>
    <n v="739"/>
    <n v="75"/>
    <n v="23"/>
    <n v="34"/>
    <s v="Machine Breakdown"/>
    <n v="45"/>
    <n v="51"/>
    <n v="72.900000000000006"/>
    <n v="1.74"/>
    <n v="32.770000000000003"/>
    <n v="17136.96"/>
    <n v="7.34"/>
    <s v="Completed"/>
    <n v="9"/>
    <n v="25475.63"/>
    <n v="0.90786240786240802"/>
    <n v="20734.89"/>
    <n v="484.21385749385701"/>
    <n v="639.75"/>
    <n v="0.94685423993747597"/>
    <n v="4256.5261425061399"/>
    <n v="0.95427901524032821"/>
    <n v="9.2137592137592136E-2"/>
    <n v="2.8255528255528257E-2"/>
    <n v="0.90786240786240791"/>
    <n v="0.56666666666666665"/>
    <n v="605.75"/>
    <n v="1.3437886917044986"/>
    <n v="1.3333333333333333"/>
    <n v="1.007841518778374"/>
    <n v="0.90786240786240791"/>
    <n v="0.86635404454865228"/>
    <n v="25.472837837837837"/>
    <n v="5.2291475952163884"/>
    <s v="Medium"/>
    <s v="Warning"/>
  </r>
  <r>
    <n v="781"/>
    <d v="2026-02-18T00:00:00"/>
    <x v="4"/>
    <s v="Plant B"/>
    <x v="2"/>
    <x v="4"/>
    <x v="2"/>
    <x v="0"/>
    <s v="B260218-0781"/>
    <s v="OP106"/>
    <n v="764"/>
    <n v="671"/>
    <n v="621"/>
    <n v="50"/>
    <n v="17"/>
    <n v="36"/>
    <s v="Tool Change"/>
    <n v="42"/>
    <n v="43"/>
    <n v="78.3"/>
    <n v="1.22"/>
    <n v="29.11"/>
    <n v="12345.6"/>
    <n v="6.47"/>
    <s v="Pending"/>
    <n v="33"/>
    <n v="19623.22"/>
    <n v="0.92548435171386001"/>
    <n v="15519.09"/>
    <n v="312.77973174366599"/>
    <n v="534.79999999999995"/>
    <n v="0.93268511593118897"/>
    <n v="3791.3502682563399"/>
    <n v="0.87827225130890052"/>
    <n v="7.4515648286140088E-2"/>
    <n v="2.533532041728763E-2"/>
    <n v="0.9254843517138599"/>
    <n v="0.6"/>
    <n v="498.79999999999995"/>
    <n v="1.3452285485164395"/>
    <n v="1.4285714285714286"/>
    <n v="0.94165998396150763"/>
    <n v="0.9254843517138599"/>
    <n v="0.81282722513088979"/>
    <n v="23.128301043219075"/>
    <n v="5.6502984623790464"/>
    <s v="Medium"/>
    <s v="Warning"/>
  </r>
  <r>
    <n v="782"/>
    <d v="2026-01-10T00:00:00"/>
    <x v="2"/>
    <s v="Plant A"/>
    <x v="2"/>
    <x v="4"/>
    <x v="0"/>
    <x v="4"/>
    <s v="B260110-0782"/>
    <s v="OP117"/>
    <n v="697"/>
    <n v="661"/>
    <n v="613"/>
    <n v="48"/>
    <n v="20"/>
    <n v="6"/>
    <s v="Setup Time"/>
    <n v="57"/>
    <n v="56"/>
    <n v="74.5"/>
    <n v="2.2599999999999998"/>
    <n v="25.21"/>
    <n v="18303.05"/>
    <n v="7.4"/>
    <s v="Completed"/>
    <n v="37"/>
    <n v="28802.26"/>
    <n v="0.92738275340393295"/>
    <n v="21859.94"/>
    <n v="553.79878971255698"/>
    <n v="662.15"/>
    <n v="0.990938609076493"/>
    <n v="6388.5212102874402"/>
    <n v="0.94835007173601149"/>
    <n v="7.2617246596066568E-2"/>
    <n v="3.0257186081694403E-2"/>
    <n v="0.92738275340393339"/>
    <n v="0.1"/>
    <n v="656.15"/>
    <n v="1.0073916025299094"/>
    <n v="1.0526315789473684"/>
    <n v="0.95702202240341405"/>
    <n v="0.92738275340393339"/>
    <n v="0.87948350071736003"/>
    <n v="33.071013615733733"/>
    <n v="9.6649337523259309"/>
    <s v="Medium"/>
    <s v="Normal"/>
  </r>
  <r>
    <n v="783"/>
    <d v="2026-02-08T00:00:00"/>
    <x v="4"/>
    <s v="Plant A"/>
    <x v="0"/>
    <x v="1"/>
    <x v="0"/>
    <x v="1"/>
    <s v="B260208-0783"/>
    <s v="OP117"/>
    <n v="875"/>
    <n v="923"/>
    <n v="866"/>
    <n v="57"/>
    <n v="22"/>
    <n v="31"/>
    <s v="Quality Inspection"/>
    <n v="45"/>
    <n v="48"/>
    <n v="68.900000000000006"/>
    <n v="1.98"/>
    <n v="31.63"/>
    <n v="18919.45"/>
    <n v="9.68"/>
    <s v="Overdue"/>
    <n v="26"/>
    <n v="29422.06"/>
    <n v="0.93824485373781197"/>
    <n v="23560.12"/>
    <n v="450.9511375948"/>
    <n v="656.25"/>
    <n v="0.95276190476190503"/>
    <n v="5410.9888624052001"/>
    <n v="1.0548571428571429"/>
    <n v="6.1755146262188518E-2"/>
    <n v="2.3835319609967497E-2"/>
    <n v="0.93824485373781152"/>
    <n v="0.51666666666666672"/>
    <n v="625.25"/>
    <n v="1.4762095161935227"/>
    <n v="1.3333333333333333"/>
    <n v="1.1071571371451421"/>
    <n v="0.93824485373781152"/>
    <n v="0.98971428571428621"/>
    <n v="25.525590465872156"/>
    <n v="5.8623931337001087"/>
    <s v="High"/>
    <s v="Normal"/>
  </r>
  <r>
    <n v="784"/>
    <d v="2026-04-29T00:00:00"/>
    <x v="5"/>
    <s v="Plant A"/>
    <x v="3"/>
    <x v="8"/>
    <x v="2"/>
    <x v="4"/>
    <s v="B260429-0784"/>
    <s v="OP125"/>
    <n v="716"/>
    <n v="651"/>
    <n v="602"/>
    <n v="49"/>
    <n v="19"/>
    <n v="11"/>
    <s v="Setup Time"/>
    <n v="57"/>
    <n v="58"/>
    <n v="69.599999999999994"/>
    <n v="1.61"/>
    <n v="22.25"/>
    <n v="17277.78"/>
    <n v="9.39"/>
    <s v="Scheduled"/>
    <n v="33"/>
    <n v="27387.16"/>
    <n v="0.92473118279569899"/>
    <n v="21703.53"/>
    <n v="504.267004608295"/>
    <n v="680.2"/>
    <n v="0.98382828579829495"/>
    <n v="5179.3629953917098"/>
    <n v="0.90921787709497204"/>
    <n v="7.5268817204301078E-2"/>
    <n v="2.9185867895545316E-2"/>
    <n v="0.92473118279569888"/>
    <n v="0.18333333333333332"/>
    <n v="669.2"/>
    <n v="0.97280334728033468"/>
    <n v="1.0526315789473684"/>
    <n v="0.92416317991631802"/>
    <n v="0.92473118279569888"/>
    <n v="0.84078212290502818"/>
    <n v="33.338755760368663"/>
    <n v="7.9560107456093849"/>
    <s v="Medium"/>
    <s v="Warning"/>
  </r>
  <r>
    <n v="785"/>
    <d v="2026-03-01T00:00:00"/>
    <x v="1"/>
    <s v="Plant B"/>
    <x v="3"/>
    <x v="7"/>
    <x v="2"/>
    <x v="4"/>
    <s v="B260301-0785"/>
    <s v="OP111"/>
    <n v="560"/>
    <n v="495"/>
    <n v="470"/>
    <n v="25"/>
    <n v="9"/>
    <n v="19"/>
    <s v="Machine Breakdown"/>
    <n v="57"/>
    <n v="60"/>
    <n v="71.3"/>
    <n v="1.97"/>
    <n v="15.99"/>
    <n v="12986.91"/>
    <n v="7.31"/>
    <s v="Overdue"/>
    <n v="21"/>
    <n v="22176.42"/>
    <n v="0.94949494949494995"/>
    <n v="16420.32"/>
    <n v="236.125636363636"/>
    <n v="532"/>
    <n v="0.96428571428571397"/>
    <n v="5519.9743636363601"/>
    <n v="0.8839285714285714"/>
    <n v="5.0505050505050504E-2"/>
    <n v="1.8181818181818181E-2"/>
    <n v="0.9494949494949495"/>
    <n v="0.31666666666666665"/>
    <n v="513"/>
    <n v="0.96491228070175439"/>
    <n v="1.0526315789473684"/>
    <n v="0.91666666666666674"/>
    <n v="0.9494949494949495"/>
    <n v="0.83928571428571408"/>
    <n v="33.172363636363634"/>
    <n v="11.151463360881536"/>
    <s v="High"/>
    <s v="Warning"/>
  </r>
  <r>
    <n v="786"/>
    <d v="2026-04-16T00:00:00"/>
    <x v="5"/>
    <s v="Plant A"/>
    <x v="0"/>
    <x v="3"/>
    <x v="1"/>
    <x v="3"/>
    <s v="B260416-0786"/>
    <s v="OP126"/>
    <n v="739"/>
    <n v="742"/>
    <n v="713"/>
    <n v="29"/>
    <n v="10"/>
    <n v="0"/>
    <s v="No Downtime"/>
    <n v="49"/>
    <n v="48"/>
    <n v="64.099999999999994"/>
    <n v="2.4900000000000002"/>
    <n v="29.98"/>
    <n v="16083.02"/>
    <n v="8.34"/>
    <s v="Completed"/>
    <n v="22"/>
    <n v="27117.360000000001"/>
    <n v="0.960916442048518"/>
    <n v="20105.84"/>
    <n v="216.752291105121"/>
    <n v="603.51666666666699"/>
    <n v="1"/>
    <n v="6794.7677088948803"/>
    <n v="1.0040595399188093"/>
    <n v="3.9083557951482481E-2"/>
    <n v="1.3477088948787063E-2"/>
    <n v="0.96091644204851756"/>
    <n v="0"/>
    <n v="603.51666666666699"/>
    <n v="1.2294606611250718"/>
    <n v="1.2244897959183674"/>
    <n v="1.0040595399188086"/>
    <n v="0.96091644204851756"/>
    <n v="0.964817320703653"/>
    <n v="27.096819407008088"/>
    <n v="9.1573688799122372"/>
    <s v="Low"/>
    <s v="Normal"/>
  </r>
  <r>
    <n v="787"/>
    <d v="2026-06-15T00:00:00"/>
    <x v="0"/>
    <s v="Plant B"/>
    <x v="0"/>
    <x v="3"/>
    <x v="0"/>
    <x v="0"/>
    <s v="B260615-0787"/>
    <s v="OP135"/>
    <n v="740"/>
    <n v="744"/>
    <n v="712"/>
    <n v="32"/>
    <n v="7"/>
    <n v="5"/>
    <s v="Machine Breakdown"/>
    <n v="42"/>
    <n v="45"/>
    <n v="74.8"/>
    <n v="2.15"/>
    <n v="21.89"/>
    <n v="13782.77"/>
    <n v="10.26"/>
    <s v="Completed"/>
    <n v="3"/>
    <n v="22609.69"/>
    <n v="0.956989247311828"/>
    <n v="18596.78"/>
    <n v="129.676599462366"/>
    <n v="518"/>
    <n v="0.99034749034749003"/>
    <n v="3883.2334005376301"/>
    <n v="1.0054054054054054"/>
    <n v="4.3010752688172046E-2"/>
    <n v="9.4086021505376347E-3"/>
    <n v="0.956989247311828"/>
    <n v="8.3333333333333329E-2"/>
    <n v="513"/>
    <n v="1.4502923976608186"/>
    <n v="1.4285714285714286"/>
    <n v="1.015204678362573"/>
    <n v="0.956989247311828"/>
    <n v="0.96216216216216177"/>
    <n v="24.99567204301075"/>
    <n v="5.2193997319054173"/>
    <s v="Low"/>
    <s v="Normal"/>
  </r>
  <r>
    <n v="788"/>
    <d v="2026-02-09T00:00:00"/>
    <x v="4"/>
    <s v="Plant B"/>
    <x v="2"/>
    <x v="10"/>
    <x v="1"/>
    <x v="2"/>
    <s v="B260209-0788"/>
    <s v="OP120"/>
    <n v="678"/>
    <n v="569"/>
    <n v="515"/>
    <n v="54"/>
    <n v="21"/>
    <n v="26"/>
    <s v="Tool Change"/>
    <n v="64"/>
    <n v="65"/>
    <n v="70.400000000000006"/>
    <n v="2.5"/>
    <n v="17.68"/>
    <n v="16956.71"/>
    <n v="8.61"/>
    <s v="Overdue"/>
    <n v="30"/>
    <n v="26776.51"/>
    <n v="0.90509666080843598"/>
    <n v="20990.33"/>
    <n v="625.81882249560601"/>
    <n v="723.2"/>
    <n v="0.96404867256637194"/>
    <n v="5160.3611775043901"/>
    <n v="0.83923303834808261"/>
    <n v="9.4903339191564143E-2"/>
    <n v="3.6906854130052721E-2"/>
    <n v="0.90509666080843587"/>
    <n v="0.43333333333333335"/>
    <n v="697.2"/>
    <n v="0.81612162937464139"/>
    <n v="0.9375"/>
    <n v="0.87052973799961753"/>
    <n v="0.90509666080843587"/>
    <n v="0.75958702064896777"/>
    <n v="36.889859402460459"/>
    <n v="9.0691760588829347"/>
    <s v="High"/>
    <s v="Warning"/>
  </r>
  <r>
    <n v="789"/>
    <d v="2026-06-13T00:00:00"/>
    <x v="0"/>
    <s v="Plant B"/>
    <x v="3"/>
    <x v="7"/>
    <x v="1"/>
    <x v="1"/>
    <s v="B260613-0789"/>
    <s v="OP125"/>
    <n v="885"/>
    <n v="798"/>
    <n v="761"/>
    <n v="37"/>
    <n v="13"/>
    <n v="6"/>
    <s v="Operator Issue"/>
    <n v="45"/>
    <n v="44"/>
    <n v="73"/>
    <n v="1.97"/>
    <n v="27.11"/>
    <n v="15524.89"/>
    <n v="7.04"/>
    <s v="Completed"/>
    <n v="37"/>
    <n v="25938.17"/>
    <n v="0.95363408521303294"/>
    <n v="18936.88"/>
    <n v="252.911741854637"/>
    <n v="663.75"/>
    <n v="0.99096045197740101"/>
    <n v="6748.3782581453597"/>
    <n v="0.90169491525423728"/>
    <n v="4.6365914786967416E-2"/>
    <n v="1.6290726817042606E-2"/>
    <n v="0.95363408521303261"/>
    <n v="0.1"/>
    <n v="657.75"/>
    <n v="1.2132269099201825"/>
    <n v="1.3333333333333333"/>
    <n v="0.90992018244013684"/>
    <n v="0.95363408521303261"/>
    <n v="0.85988700564971743"/>
    <n v="23.730426065162909"/>
    <n v="8.456614358578145"/>
    <s v="Medium"/>
    <s v="Normal"/>
  </r>
  <r>
    <n v="790"/>
    <d v="2026-03-14T00:00:00"/>
    <x v="1"/>
    <s v="Plant A"/>
    <x v="2"/>
    <x v="10"/>
    <x v="1"/>
    <x v="1"/>
    <s v="B260314-0790"/>
    <s v="OP108"/>
    <n v="824"/>
    <n v="733"/>
    <n v="664"/>
    <n v="69"/>
    <n v="26"/>
    <n v="59"/>
    <s v="Setup Time"/>
    <n v="45"/>
    <n v="50"/>
    <n v="80.400000000000006"/>
    <n v="2.62"/>
    <n v="27.9"/>
    <n v="15886.19"/>
    <n v="7.22"/>
    <s v="Pending"/>
    <n v="31"/>
    <n v="22677.41"/>
    <n v="0.90586630286493897"/>
    <n v="19386.29"/>
    <n v="563.49377899044998"/>
    <n v="618"/>
    <n v="0.90453074433656999"/>
    <n v="2727.6262210095501"/>
    <n v="0.8895631067961165"/>
    <n v="9.4133697135061395E-2"/>
    <n v="3.5470668485675309E-2"/>
    <n v="0.90586630286493863"/>
    <n v="0.98333333333333328"/>
    <n v="559"/>
    <n v="1.3112701252236136"/>
    <n v="1.3333333333333333"/>
    <n v="0.98345259391771023"/>
    <n v="0.90586630286493863"/>
    <n v="0.80582524271844702"/>
    <n v="26.447871759890862"/>
    <n v="3.7211817476255802"/>
    <s v="Medium"/>
    <s v="Warning"/>
  </r>
  <r>
    <n v="791"/>
    <d v="2026-02-11T00:00:00"/>
    <x v="4"/>
    <s v="Plant A"/>
    <x v="0"/>
    <x v="0"/>
    <x v="1"/>
    <x v="0"/>
    <s v="B260211-0791"/>
    <s v="OP128"/>
    <n v="936"/>
    <n v="946"/>
    <n v="907"/>
    <n v="39"/>
    <n v="12"/>
    <n v="0"/>
    <s v="No Downtime"/>
    <n v="42"/>
    <n v="44"/>
    <n v="73.8"/>
    <n v="2.14"/>
    <n v="28.81"/>
    <n v="17126.689999999999"/>
    <n v="7.43"/>
    <s v="Pending"/>
    <n v="22"/>
    <n v="28623.73"/>
    <n v="0.95877378435518001"/>
    <n v="20729.48"/>
    <n v="217.25188160676501"/>
    <n v="655.20000000000005"/>
    <n v="1"/>
    <n v="7676.9981183932396"/>
    <n v="1.0106837606837606"/>
    <n v="4.1226215644820298E-2"/>
    <n v="1.2684989429175475E-2"/>
    <n v="0.95877378435517968"/>
    <n v="0"/>
    <n v="655.20000000000005"/>
    <n v="1.4438339438339438"/>
    <n v="1.4285714285714286"/>
    <n v="1.0106837606837606"/>
    <n v="0.95877378435517968"/>
    <n v="0.96901709401709391"/>
    <n v="21.912769556025371"/>
    <n v="8.1152199983015212"/>
    <s v="Medium"/>
    <s v="Normal"/>
  </r>
  <r>
    <n v="792"/>
    <d v="2026-05-16T00:00:00"/>
    <x v="3"/>
    <s v="Plant A"/>
    <x v="2"/>
    <x v="9"/>
    <x v="0"/>
    <x v="3"/>
    <s v="B260516-0792"/>
    <s v="OP111"/>
    <n v="833"/>
    <n v="868"/>
    <n v="831"/>
    <n v="37"/>
    <n v="13"/>
    <n v="0"/>
    <s v="No Downtime"/>
    <n v="49"/>
    <n v="51"/>
    <n v="70.7"/>
    <n v="1.95"/>
    <n v="26.15"/>
    <n v="18949.68"/>
    <n v="8.34"/>
    <s v="Completed"/>
    <n v="30"/>
    <n v="32229.46"/>
    <n v="0.95737327188940102"/>
    <n v="22938.03"/>
    <n v="283.80857142857099"/>
    <n v="680.28333333333296"/>
    <n v="1"/>
    <n v="9007.6214285714304"/>
    <n v="1.0420168067226891"/>
    <n v="4.2626728110599081E-2"/>
    <n v="1.4976958525345621E-2"/>
    <n v="0.95737327188940091"/>
    <n v="0"/>
    <n v="680.28333333333296"/>
    <n v="1.275938947007375"/>
    <n v="1.2244897959183674"/>
    <n v="1.0420168067226896"/>
    <n v="0.95737327188940091"/>
    <n v="0.99759903961584684"/>
    <n v="26.426301843317972"/>
    <n v="10.377444042132984"/>
    <s v="Medium"/>
    <s v="Normal"/>
  </r>
  <r>
    <n v="793"/>
    <d v="2026-02-22T00:00:00"/>
    <x v="4"/>
    <s v="Plant B"/>
    <x v="3"/>
    <x v="8"/>
    <x v="2"/>
    <x v="3"/>
    <s v="B260222-0793"/>
    <s v="OP106"/>
    <n v="878"/>
    <n v="708"/>
    <n v="658"/>
    <n v="50"/>
    <n v="13"/>
    <n v="41"/>
    <s v="Tool Change"/>
    <n v="49"/>
    <n v="54"/>
    <n v="67.5"/>
    <n v="1.92"/>
    <n v="28.41"/>
    <n v="14780.48"/>
    <n v="6.22"/>
    <s v="Scheduled"/>
    <n v="36"/>
    <n v="24489.19"/>
    <n v="0.92937853107344603"/>
    <n v="17835.169999999998"/>
    <n v="271.392994350283"/>
    <n v="717.03333333333296"/>
    <n v="0.94281995258240003"/>
    <n v="6382.6270056497196"/>
    <n v="0.806378132118451"/>
    <n v="7.0621468926553674E-2"/>
    <n v="1.8361581920903956E-2"/>
    <n v="0.92937853107344637"/>
    <n v="0.68333333333333335"/>
    <n v="676.03333333333296"/>
    <n v="1.0472856368029195"/>
    <n v="1.2244897959183674"/>
    <n v="0.85528327005571758"/>
    <n v="0.92937853107344637"/>
    <n v="0.74943052391799603"/>
    <n v="25.190918079096043"/>
    <n v="9.0150098949854804"/>
    <s v="High"/>
    <s v="Critical"/>
  </r>
  <r>
    <n v="794"/>
    <d v="2026-02-27T00:00:00"/>
    <x v="4"/>
    <s v="Plant A"/>
    <x v="0"/>
    <x v="0"/>
    <x v="1"/>
    <x v="4"/>
    <s v="B260227-0794"/>
    <s v="OP115"/>
    <n v="609"/>
    <n v="657"/>
    <n v="622"/>
    <n v="35"/>
    <n v="12"/>
    <n v="0"/>
    <s v="No Downtime"/>
    <n v="57"/>
    <n v="62"/>
    <n v="67.599999999999994"/>
    <n v="1.98"/>
    <n v="24.38"/>
    <n v="18925.32"/>
    <n v="9.52"/>
    <s v="Completed"/>
    <n v="27"/>
    <n v="27828.23"/>
    <n v="0.946727549467275"/>
    <n v="23428.74"/>
    <n v="345.66794520547899"/>
    <n v="578.54999999999995"/>
    <n v="1"/>
    <n v="4053.8220547945202"/>
    <n v="1.0788177339901477"/>
    <n v="5.3272450532724502E-2"/>
    <n v="1.8264840182648401E-2"/>
    <n v="0.94672754946727544"/>
    <n v="0"/>
    <n v="578.54999999999995"/>
    <n v="1.1355976147264715"/>
    <n v="1.0526315789473684"/>
    <n v="1.0788177339901479"/>
    <n v="0.94672754946727544"/>
    <n v="1.0213464696223318"/>
    <n v="35.660182648401829"/>
    <n v="6.1702009966431053"/>
    <s v="Low"/>
    <s v="Normal"/>
  </r>
  <r>
    <n v="795"/>
    <d v="2026-06-11T00:00:00"/>
    <x v="0"/>
    <s v="Plant B"/>
    <x v="2"/>
    <x v="4"/>
    <x v="0"/>
    <x v="2"/>
    <s v="B260611-0795"/>
    <s v="OP135"/>
    <n v="583"/>
    <n v="515"/>
    <n v="478"/>
    <n v="37"/>
    <n v="8"/>
    <n v="12"/>
    <s v="Operator Issue"/>
    <n v="64"/>
    <n v="67"/>
    <n v="73.099999999999994"/>
    <n v="1.67"/>
    <n v="21.53"/>
    <n v="16641.72"/>
    <n v="8.24"/>
    <s v="Completed"/>
    <n v="18"/>
    <n v="24556.1"/>
    <n v="0.92815533980582499"/>
    <n v="20543.490000000002"/>
    <n v="258.51215533980599"/>
    <n v="621.86666666666702"/>
    <n v="0.98070325900514599"/>
    <n v="3754.0978446601898"/>
    <n v="0.88336192109777012"/>
    <n v="7.184466019417475E-2"/>
    <n v="1.5533980582524271E-2"/>
    <n v="0.92815533980582521"/>
    <n v="0.2"/>
    <n v="609.86666666666702"/>
    <n v="0.84444687363358062"/>
    <n v="0.9375"/>
    <n v="0.90074333187581934"/>
    <n v="0.92815533980582521"/>
    <n v="0.81989708404802708"/>
    <n v="39.890271844660198"/>
    <n v="7.2895103779809514"/>
    <s v="Medium"/>
    <s v="Warning"/>
  </r>
  <r>
    <n v="796"/>
    <d v="2026-06-19T00:00:00"/>
    <x v="0"/>
    <s v="Plant B"/>
    <x v="3"/>
    <x v="11"/>
    <x v="1"/>
    <x v="2"/>
    <s v="B260619-0796"/>
    <s v="OP110"/>
    <n v="629"/>
    <n v="644"/>
    <n v="589"/>
    <n v="55"/>
    <n v="11"/>
    <n v="0"/>
    <s v="No Downtime"/>
    <n v="64"/>
    <n v="65"/>
    <n v="76.8"/>
    <n v="2.91"/>
    <n v="20.74"/>
    <n v="20243.68"/>
    <n v="9.3800000000000008"/>
    <s v="Overdue"/>
    <n v="31"/>
    <n v="30007.8"/>
    <n v="0.91459627329192605"/>
    <n v="24651.34"/>
    <n v="345.77714285714302"/>
    <n v="670.93333333333305"/>
    <n v="1"/>
    <n v="5010.6828571428596"/>
    <n v="1.0238473767885532"/>
    <n v="8.5403726708074529E-2"/>
    <n v="1.7080745341614908E-2"/>
    <n v="0.9145962732919255"/>
    <n v="0"/>
    <n v="670.93333333333305"/>
    <n v="0.95985691573926912"/>
    <n v="0.9375"/>
    <n v="1.0238473767885536"/>
    <n v="0.9145962732919255"/>
    <n v="0.93640699523052506"/>
    <n v="38.278478260869562"/>
    <n v="7.7805634427684156"/>
    <s v="High"/>
    <s v="Warning"/>
  </r>
  <r>
    <n v="797"/>
    <d v="2026-03-25T00:00:00"/>
    <x v="1"/>
    <s v="Plant A"/>
    <x v="2"/>
    <x v="10"/>
    <x v="1"/>
    <x v="4"/>
    <s v="B260325-0797"/>
    <s v="OP101"/>
    <n v="715"/>
    <n v="608"/>
    <n v="545"/>
    <n v="63"/>
    <n v="12"/>
    <n v="33"/>
    <s v="Machine Breakdown"/>
    <n v="57"/>
    <n v="59"/>
    <n v="73.3"/>
    <n v="1.63"/>
    <n v="22.46"/>
    <n v="16688.759999999998"/>
    <n v="7.7"/>
    <s v="Scheduled"/>
    <n v="22"/>
    <n v="25213.33"/>
    <n v="0.89638157894736903"/>
    <n v="20355.900000000001"/>
    <n v="329.383421052632"/>
    <n v="679.25"/>
    <n v="0.95141700404858298"/>
    <n v="4528.0465789473701"/>
    <n v="0.85034965034965038"/>
    <n v="0.10361842105263158"/>
    <n v="1.9736842105263157E-2"/>
    <n v="0.89638157894736847"/>
    <n v="0.55000000000000004"/>
    <n v="646.25"/>
    <n v="0.9408123791102514"/>
    <n v="1.0526315789473684"/>
    <n v="0.89377176015473891"/>
    <n v="0.89638157894736847"/>
    <n v="0.7622377622377623"/>
    <n v="33.480098684210532"/>
    <n v="7.4474450311634373"/>
    <s v="High"/>
    <s v="Warning"/>
  </r>
  <r>
    <n v="798"/>
    <d v="2026-03-20T00:00:00"/>
    <x v="1"/>
    <s v="Plant B"/>
    <x v="4"/>
    <x v="12"/>
    <x v="0"/>
    <x v="4"/>
    <s v="B260320-0798"/>
    <s v="OP119"/>
    <n v="623"/>
    <n v="564"/>
    <n v="467"/>
    <n v="97"/>
    <n v="30"/>
    <n v="51"/>
    <s v="Material Shortage"/>
    <n v="57"/>
    <n v="60"/>
    <n v="81.099999999999994"/>
    <n v="5"/>
    <n v="25.49"/>
    <n v="15666.86"/>
    <n v="6.6"/>
    <s v="Scheduled"/>
    <n v="53"/>
    <n v="20850.27"/>
    <n v="0.82801418439716301"/>
    <n v="18866.27"/>
    <n v="833.34361702127705"/>
    <n v="591.85"/>
    <n v="0.91382951761426001"/>
    <n v="1150.6563829787201"/>
    <n v="0.9052969502407705"/>
    <n v="0.17198581560283688"/>
    <n v="5.3191489361702128E-2"/>
    <n v="0.82801418439716312"/>
    <n v="0.85"/>
    <n v="540.85"/>
    <n v="1.0428029952851992"/>
    <n v="1.0526315789473684"/>
    <n v="0.99066284552093919"/>
    <n v="0.82801418439716312"/>
    <n v="0.74959871589085036"/>
    <n v="33.450833333333335"/>
    <n v="2.0401708918062411"/>
    <s v="High"/>
    <s v="Critical"/>
  </r>
  <r>
    <n v="799"/>
    <d v="2026-06-04T00:00:00"/>
    <x v="0"/>
    <s v="Plant A"/>
    <x v="2"/>
    <x v="10"/>
    <x v="2"/>
    <x v="3"/>
    <s v="B260604-0799"/>
    <s v="OP111"/>
    <n v="680"/>
    <n v="608"/>
    <n v="548"/>
    <n v="60"/>
    <n v="18"/>
    <n v="25"/>
    <s v="Power Failure"/>
    <n v="49"/>
    <n v="53"/>
    <n v="78.599999999999994"/>
    <n v="2.94"/>
    <n v="20.420000000000002"/>
    <n v="13809.66"/>
    <n v="6.44"/>
    <s v="Overdue"/>
    <n v="31"/>
    <n v="20915.38"/>
    <n v="0.90131578947368396"/>
    <n v="16891.439999999999"/>
    <n v="408.83861842105301"/>
    <n v="555.33333333333303"/>
    <n v="0.95498199279711904"/>
    <n v="3615.1013815789502"/>
    <n v="0.89411764705882357"/>
    <n v="9.8684210526315791E-2"/>
    <n v="2.9605263157894735E-2"/>
    <n v="0.90131578947368418"/>
    <n v="0.41666666666666669"/>
    <n v="530.33333333333303"/>
    <n v="1.1464487743557517"/>
    <n v="1.2244897959183674"/>
    <n v="0.93626649905719717"/>
    <n v="0.90131578947368418"/>
    <n v="0.80588235294117694"/>
    <n v="27.781973684210524"/>
    <n v="5.9458904302285367"/>
    <s v="High"/>
    <s v="Warning"/>
  </r>
  <r>
    <n v="800"/>
    <d v="2026-02-18T00:00:00"/>
    <x v="4"/>
    <s v="Plant A"/>
    <x v="4"/>
    <x v="13"/>
    <x v="0"/>
    <x v="1"/>
    <s v="B260218-0800"/>
    <s v="OP116"/>
    <n v="922"/>
    <n v="703"/>
    <n v="659"/>
    <n v="44"/>
    <n v="13"/>
    <n v="54"/>
    <s v="Tool Change"/>
    <n v="45"/>
    <n v="46"/>
    <n v="72.599999999999994"/>
    <n v="2.0099999999999998"/>
    <n v="24.99"/>
    <n v="13547.9"/>
    <n v="5.61"/>
    <s v="Completed"/>
    <n v="32"/>
    <n v="22913.29"/>
    <n v="0.937411095305832"/>
    <n v="16297.31"/>
    <n v="250.53015647226201"/>
    <n v="691.5"/>
    <n v="0.92190889370932805"/>
    <n v="6365.4498435277401"/>
    <n v="0.76247288503253796"/>
    <n v="6.2588904694167849E-2"/>
    <n v="1.849217638691323E-2"/>
    <n v="0.93741109530583211"/>
    <n v="0.9"/>
    <n v="637.5"/>
    <n v="1.1027450980392157"/>
    <n v="1.3333333333333333"/>
    <n v="0.82705882352941185"/>
    <n v="0.93741109530583211"/>
    <n v="0.71475054229934964"/>
    <n v="23.182517780938834"/>
    <n v="9.0546939452741686"/>
    <s v="High"/>
    <s v="Critical"/>
  </r>
  <r>
    <n v="801"/>
    <d v="2026-06-23T00:00:00"/>
    <x v="0"/>
    <s v="Plant B"/>
    <x v="0"/>
    <x v="0"/>
    <x v="2"/>
    <x v="1"/>
    <s v="B260623-0801"/>
    <s v="OP123"/>
    <n v="784"/>
    <n v="640"/>
    <n v="602"/>
    <n v="38"/>
    <n v="16"/>
    <n v="21"/>
    <s v="Material Shortage"/>
    <n v="45"/>
    <n v="48"/>
    <n v="68.8"/>
    <n v="1.53"/>
    <n v="22.73"/>
    <n v="13124.18"/>
    <n v="7.17"/>
    <s v="Pending"/>
    <n v="35"/>
    <n v="20462.560000000001"/>
    <n v="0.94062500000000004"/>
    <n v="16555.25"/>
    <n v="328.10449999999997"/>
    <n v="588"/>
    <n v="0.96428571428571397"/>
    <n v="3579.2055"/>
    <n v="0.81632653061224492"/>
    <n v="5.9374999999999997E-2"/>
    <n v="2.5000000000000001E-2"/>
    <n v="0.94062500000000004"/>
    <n v="0.35"/>
    <n v="567"/>
    <n v="1.128747795414462"/>
    <n v="1.3333333333333333"/>
    <n v="0.84656084656084651"/>
    <n v="0.94062500000000004"/>
    <n v="0.76785714285714257"/>
    <n v="25.867578125000001"/>
    <n v="5.5925085937499999"/>
    <s v="High"/>
    <s v="Warning"/>
  </r>
  <r>
    <n v="802"/>
    <d v="2026-01-31T00:00:00"/>
    <x v="2"/>
    <s v="Plant B"/>
    <x v="3"/>
    <x v="7"/>
    <x v="2"/>
    <x v="1"/>
    <s v="B260131-0802"/>
    <s v="OP102"/>
    <n v="737"/>
    <n v="660"/>
    <n v="620"/>
    <n v="40"/>
    <n v="10"/>
    <n v="25"/>
    <s v="Preventive Maintenance"/>
    <n v="45"/>
    <n v="45"/>
    <n v="71.400000000000006"/>
    <n v="2.4300000000000002"/>
    <n v="25.45"/>
    <n v="13356.92"/>
    <n v="7.26"/>
    <s v="Completed"/>
    <n v="29"/>
    <n v="21598.37"/>
    <n v="0.939393939393939"/>
    <n v="16852.97"/>
    <n v="202.37757575757601"/>
    <n v="552.75"/>
    <n v="0.95477159656264099"/>
    <n v="4543.0224242424301"/>
    <n v="0.89552238805970152"/>
    <n v="6.0606060606060608E-2"/>
    <n v="1.5151515151515152E-2"/>
    <n v="0.93939393939393945"/>
    <n v="0.41666666666666669"/>
    <n v="527.75"/>
    <n v="1.2505921364282331"/>
    <n v="1.3333333333333333"/>
    <n v="0.93794410232117487"/>
    <n v="0.93939393939393945"/>
    <n v="0.84124830393487082"/>
    <n v="25.534803030303031"/>
    <n v="6.8833673094582277"/>
    <s v="Medium"/>
    <s v="Warning"/>
  </r>
  <r>
    <n v="803"/>
    <d v="2026-04-13T00:00:00"/>
    <x v="5"/>
    <s v="Plant B"/>
    <x v="3"/>
    <x v="7"/>
    <x v="2"/>
    <x v="3"/>
    <s v="B260413-0803"/>
    <s v="OP109"/>
    <n v="679"/>
    <n v="583"/>
    <n v="557"/>
    <n v="26"/>
    <n v="5"/>
    <n v="38"/>
    <s v="Setup Time"/>
    <n v="49"/>
    <n v="49"/>
    <n v="68.5"/>
    <n v="2.41"/>
    <n v="20.86"/>
    <n v="13053.05"/>
    <n v="7.02"/>
    <s v="Scheduled"/>
    <n v="14"/>
    <n v="20859.46"/>
    <n v="0.95540308747855895"/>
    <n v="16399.79"/>
    <n v="111.947255574614"/>
    <n v="554.51666666666699"/>
    <n v="0.93147185236392105"/>
    <n v="4347.7227444253804"/>
    <n v="0.85861561119293073"/>
    <n v="4.4596912521440824E-2"/>
    <n v="8.5763293310463125E-3"/>
    <n v="0.95540308747855918"/>
    <n v="0.6333333333333333"/>
    <n v="516.51666666666699"/>
    <n v="1.1287147881643051"/>
    <n v="1.2244897959183674"/>
    <n v="0.92178374366751581"/>
    <n v="0.95540308747855918"/>
    <n v="0.82032400589101617"/>
    <n v="28.130000000000003"/>
    <n v="7.4575004192545116"/>
    <s v="Medium"/>
    <s v="Warning"/>
  </r>
  <r>
    <n v="804"/>
    <d v="2026-03-20T00:00:00"/>
    <x v="1"/>
    <s v="Plant B"/>
    <x v="1"/>
    <x v="2"/>
    <x v="1"/>
    <x v="1"/>
    <s v="B260320-0804"/>
    <s v="OP121"/>
    <n v="870"/>
    <n v="868"/>
    <n v="838"/>
    <n v="30"/>
    <n v="11"/>
    <n v="19"/>
    <s v="Machine Breakdown"/>
    <n v="45"/>
    <n v="48"/>
    <n v="72.400000000000006"/>
    <n v="2.37"/>
    <n v="36.130000000000003"/>
    <n v="18282.240000000002"/>
    <n v="7.9"/>
    <s v="Scheduled"/>
    <n v="45"/>
    <n v="29908.799999999999"/>
    <n v="0.96543778801843305"/>
    <n v="22162.41"/>
    <n v="231.68737327188899"/>
    <n v="652.5"/>
    <n v="0.97088122605364002"/>
    <n v="7514.7026267281099"/>
    <n v="0.99770114942528731"/>
    <n v="3.4562211981566823E-2"/>
    <n v="1.2672811059907835E-2"/>
    <n v="0.96543778801843316"/>
    <n v="0.31666666666666665"/>
    <n v="633.5"/>
    <n v="1.3701657458563536"/>
    <n v="1.3333333333333333"/>
    <n v="1.0276243093922652"/>
    <n v="0.96543778801843316"/>
    <n v="0.96321839080459781"/>
    <n v="25.532730414746542"/>
    <n v="8.6574915054471315"/>
    <s v="Medium"/>
    <s v="Normal"/>
  </r>
  <r>
    <n v="805"/>
    <d v="2026-06-02T00:00:00"/>
    <x v="0"/>
    <s v="Plant A"/>
    <x v="0"/>
    <x v="0"/>
    <x v="0"/>
    <x v="0"/>
    <s v="B260602-0805"/>
    <s v="OP112"/>
    <n v="766"/>
    <n v="776"/>
    <n v="737"/>
    <n v="39"/>
    <n v="12"/>
    <n v="39"/>
    <s v="Tool Change"/>
    <n v="42"/>
    <n v="46"/>
    <n v="66.5"/>
    <n v="1.8"/>
    <n v="28.98"/>
    <n v="14091.57"/>
    <n v="8.3699999999999992"/>
    <s v="Overdue"/>
    <n v="41"/>
    <n v="23660.62"/>
    <n v="0.94974226804123696"/>
    <n v="18118.89"/>
    <n v="217.91087628866001"/>
    <n v="536.20000000000005"/>
    <n v="0.92726594554270803"/>
    <n v="5323.8191237113397"/>
    <n v="1.0130548302872062"/>
    <n v="5.0257731958762888E-2"/>
    <n v="1.5463917525773196E-2"/>
    <n v="0.94974226804123707"/>
    <n v="0.65"/>
    <n v="497.20000000000005"/>
    <n v="1.560740144810941"/>
    <n v="1.4285714285714286"/>
    <n v="1.0925181013676586"/>
    <n v="0.94974226804123707"/>
    <n v="0.96214099216710158"/>
    <n v="23.349085051546393"/>
    <n v="6.8605916542671901"/>
    <s v="High"/>
    <s v="Normal"/>
  </r>
  <r>
    <n v="806"/>
    <d v="2026-02-13T00:00:00"/>
    <x v="4"/>
    <s v="Plant A"/>
    <x v="2"/>
    <x v="9"/>
    <x v="0"/>
    <x v="1"/>
    <s v="B260213-0806"/>
    <s v="OP123"/>
    <n v="751"/>
    <n v="800"/>
    <n v="771"/>
    <n v="29"/>
    <n v="8"/>
    <n v="14"/>
    <s v="Setup Time"/>
    <n v="45"/>
    <n v="45"/>
    <n v="70.599999999999994"/>
    <n v="2.19"/>
    <n v="23.91"/>
    <n v="15508.82"/>
    <n v="8.75"/>
    <s v="Completed"/>
    <n v="25"/>
    <n v="26901.19"/>
    <n v="0.96375"/>
    <n v="19661.509999999998"/>
    <n v="155.0882"/>
    <n v="563.25"/>
    <n v="0.97514425210830002"/>
    <n v="7084.5918000000001"/>
    <n v="1.0652463382157125"/>
    <n v="3.6249999999999998E-2"/>
    <n v="0.01"/>
    <n v="0.96375"/>
    <n v="0.23333333333333334"/>
    <n v="549.25"/>
    <n v="1.4565316340464269"/>
    <n v="1.3333333333333333"/>
    <n v="1.0923987255348202"/>
    <n v="0.96375"/>
    <n v="1.0266311584553929"/>
    <n v="24.576887499999998"/>
    <n v="8.8557397499999997"/>
    <s v="Low"/>
    <s v="Normal"/>
  </r>
  <r>
    <n v="807"/>
    <d v="2026-03-20T00:00:00"/>
    <x v="1"/>
    <s v="Plant B"/>
    <x v="1"/>
    <x v="5"/>
    <x v="1"/>
    <x v="4"/>
    <s v="B260320-0807"/>
    <s v="OP123"/>
    <n v="717"/>
    <n v="702"/>
    <n v="680"/>
    <n v="22"/>
    <n v="8"/>
    <n v="27"/>
    <s v="Quality Inspection"/>
    <n v="57"/>
    <n v="61"/>
    <n v="77.7"/>
    <n v="1.63"/>
    <n v="26.03"/>
    <n v="18817.09"/>
    <n v="9.9600000000000009"/>
    <s v="Completed"/>
    <n v="10"/>
    <n v="30967.27"/>
    <n v="0.96866096866096896"/>
    <n v="23533.360000000001"/>
    <n v="214.43977207977201"/>
    <n v="681.15"/>
    <n v="0.96036115393085197"/>
    <n v="7219.4702279202302"/>
    <n v="0.97907949790794979"/>
    <n v="3.1339031339031341E-2"/>
    <n v="1.1396011396011397E-2"/>
    <n v="0.96866096866096862"/>
    <n v="0.45"/>
    <n v="654.15"/>
    <n v="1.0731483604677827"/>
    <n v="1.0526315789473684"/>
    <n v="1.0194909424443936"/>
    <n v="0.96866096866096862"/>
    <n v="0.94839609483960929"/>
    <n v="33.523304843304842"/>
    <n v="10.284145623817992"/>
    <s v="Low"/>
    <s v="Normal"/>
  </r>
  <r>
    <n v="808"/>
    <d v="2026-05-06T00:00:00"/>
    <x v="3"/>
    <s v="Plant A"/>
    <x v="3"/>
    <x v="8"/>
    <x v="0"/>
    <x v="0"/>
    <s v="B260506-0808"/>
    <s v="OP106"/>
    <n v="755"/>
    <n v="786"/>
    <n v="736"/>
    <n v="50"/>
    <n v="15"/>
    <n v="24"/>
    <s v="Setup Time"/>
    <n v="42"/>
    <n v="46"/>
    <n v="70.8"/>
    <n v="2.14"/>
    <n v="25.51"/>
    <n v="13787.75"/>
    <n v="10.220000000000001"/>
    <s v="Scheduled"/>
    <n v="26"/>
    <n v="23516.98"/>
    <n v="0.93638676844783697"/>
    <n v="18616.34"/>
    <n v="263.125"/>
    <n v="528.5"/>
    <n v="0.95458845789971603"/>
    <n v="4637.5150000000003"/>
    <n v="1.0410596026490067"/>
    <n v="6.3613231552162849E-2"/>
    <n v="1.9083969465648856E-2"/>
    <n v="0.93638676844783719"/>
    <n v="0.4"/>
    <n v="504.5"/>
    <n v="1.557978196233895"/>
    <n v="1.4285714285714286"/>
    <n v="1.0905847373637265"/>
    <n v="0.93638676844783719"/>
    <n v="0.97483443708609263"/>
    <n v="23.684910941475827"/>
    <n v="5.9001463104325707"/>
    <s v="Low"/>
    <s v="Normal"/>
  </r>
  <r>
    <n v="809"/>
    <d v="2026-01-03T00:00:00"/>
    <x v="2"/>
    <s v="Plant B"/>
    <x v="2"/>
    <x v="10"/>
    <x v="0"/>
    <x v="1"/>
    <s v="B260103-0809"/>
    <s v="OP121"/>
    <n v="772"/>
    <n v="734"/>
    <n v="664"/>
    <n v="70"/>
    <n v="27"/>
    <n v="10"/>
    <s v="Machine Breakdown"/>
    <n v="45"/>
    <n v="47"/>
    <n v="81"/>
    <n v="2.17"/>
    <n v="24.58"/>
    <n v="14483.63"/>
    <n v="7.72"/>
    <s v="Completed"/>
    <n v="19"/>
    <n v="22664.98"/>
    <n v="0.904632152588556"/>
    <n v="18178.849999999999"/>
    <n v="532.77658038147104"/>
    <n v="579"/>
    <n v="0.98272884283246997"/>
    <n v="3953.3534196185301"/>
    <n v="0.95077720207253891"/>
    <n v="9.5367847411444148E-2"/>
    <n v="3.6784741144414171E-2"/>
    <n v="0.90463215258855589"/>
    <n v="0.16666666666666666"/>
    <n v="569"/>
    <n v="1.2899824253075571"/>
    <n v="1.3333333333333333"/>
    <n v="0.96748681898066791"/>
    <n v="0.90463215258855589"/>
    <n v="0.86010362694300546"/>
    <n v="24.766825613079018"/>
    <n v="5.3860400812241558"/>
    <s v="Medium"/>
    <s v="Warning"/>
  </r>
  <r>
    <n v="810"/>
    <d v="2026-05-03T00:00:00"/>
    <x v="3"/>
    <s v="Plant B"/>
    <x v="1"/>
    <x v="5"/>
    <x v="1"/>
    <x v="3"/>
    <s v="B260503-0810"/>
    <s v="OP105"/>
    <n v="778"/>
    <n v="722"/>
    <n v="700"/>
    <n v="22"/>
    <n v="9"/>
    <n v="23"/>
    <s v="Preventive Maintenance"/>
    <n v="49"/>
    <n v="49"/>
    <n v="65.7"/>
    <n v="2.6"/>
    <n v="22.06"/>
    <n v="16047.61"/>
    <n v="6.77"/>
    <s v="Completed"/>
    <n v="20"/>
    <n v="25878.97"/>
    <n v="0.96952908587257602"/>
    <n v="19292.650000000001"/>
    <n v="200.03945983379501"/>
    <n v="635.36666666666702"/>
    <n v="0.96380043019778605"/>
    <n v="6386.2805401661999"/>
    <n v="0.92802056555269918"/>
    <n v="3.0470914127423823E-2"/>
    <n v="1.2465373961218837E-2"/>
    <n v="0.96952908587257614"/>
    <n v="0.38333333333333336"/>
    <n v="612.36666666666702"/>
    <n v="1.179032170268357"/>
    <n v="1.2244897959183674"/>
    <n v="0.96287627238582485"/>
    <n v="0.96952908587257614"/>
    <n v="0.89974293059125898"/>
    <n v="26.721121883656512"/>
    <n v="8.8452639060473679"/>
    <s v="Low"/>
    <s v="Normal"/>
  </r>
  <r>
    <n v="811"/>
    <d v="2026-06-02T00:00:00"/>
    <x v="0"/>
    <s v="Plant B"/>
    <x v="1"/>
    <x v="5"/>
    <x v="1"/>
    <x v="4"/>
    <s v="B260602-0811"/>
    <s v="OP115"/>
    <n v="733"/>
    <n v="766"/>
    <n v="743"/>
    <n v="23"/>
    <n v="6"/>
    <n v="10"/>
    <s v="Quality Inspection"/>
    <n v="57"/>
    <n v="59"/>
    <n v="75.3"/>
    <n v="2.2599999999999998"/>
    <n v="31.45"/>
    <n v="20553.22"/>
    <n v="10.11"/>
    <s v="Overdue"/>
    <n v="22"/>
    <n v="34526.6"/>
    <n v="0.96997389033942605"/>
    <n v="25385.77"/>
    <n v="160.991279373368"/>
    <n v="696.35"/>
    <n v="0.98563940547138695"/>
    <n v="8979.8387206266307"/>
    <n v="1.0450204638472034"/>
    <n v="3.0026109660574413E-2"/>
    <n v="7.832898172323759E-3"/>
    <n v="0.9699738903394256"/>
    <n v="0.16666666666666666"/>
    <n v="686.35"/>
    <n v="1.1160486632184745"/>
    <n v="1.0526315789473684"/>
    <n v="1.0602462300575508"/>
    <n v="0.9699738903394256"/>
    <n v="1.0136425648021834"/>
    <n v="33.140691906005223"/>
    <n v="11.723027050426412"/>
    <s v="High"/>
    <s v="Normal"/>
  </r>
  <r>
    <n v="812"/>
    <d v="2026-04-28T00:00:00"/>
    <x v="5"/>
    <s v="Plant B"/>
    <x v="1"/>
    <x v="5"/>
    <x v="1"/>
    <x v="2"/>
    <s v="B260428-0812"/>
    <s v="OP132"/>
    <n v="534"/>
    <n v="542"/>
    <n v="518"/>
    <n v="24"/>
    <n v="5"/>
    <n v="0"/>
    <s v="No Downtime"/>
    <n v="64"/>
    <n v="63"/>
    <n v="69.599999999999994"/>
    <n v="2.0099999999999998"/>
    <n v="15.68"/>
    <n v="16726.919999999998"/>
    <n v="9.11"/>
    <s v="Scheduled"/>
    <n v="19"/>
    <n v="27198.75"/>
    <n v="0.955719557195572"/>
    <n v="20967.54"/>
    <n v="154.307380073801"/>
    <n v="569.6"/>
    <n v="1"/>
    <n v="6076.9026199261998"/>
    <n v="1.0149812734082397"/>
    <n v="4.4280442804428041E-2"/>
    <n v="9.2250922509225092E-3"/>
    <n v="0.955719557195572"/>
    <n v="0"/>
    <n v="569.6"/>
    <n v="0.9515449438202247"/>
    <n v="0.9375"/>
    <n v="1.0149812734082397"/>
    <n v="0.955719557195572"/>
    <n v="0.97003745318352064"/>
    <n v="38.685498154981552"/>
    <n v="11.211997453738377"/>
    <s v="Low"/>
    <s v="Normal"/>
  </r>
  <r>
    <n v="813"/>
    <d v="2026-06-11T00:00:00"/>
    <x v="0"/>
    <s v="Plant A"/>
    <x v="3"/>
    <x v="7"/>
    <x v="1"/>
    <x v="0"/>
    <s v="B260611-0813"/>
    <s v="OP129"/>
    <n v="761"/>
    <n v="704"/>
    <n v="667"/>
    <n v="37"/>
    <n v="10"/>
    <n v="16"/>
    <s v="Tool Change"/>
    <n v="42"/>
    <n v="46"/>
    <n v="76.5"/>
    <n v="2.34"/>
    <n v="27.33"/>
    <n v="13797.49"/>
    <n v="9.66"/>
    <s v="Completed"/>
    <n v="41"/>
    <n v="20937.04"/>
    <n v="0.94744318181818199"/>
    <n v="18390.46"/>
    <n v="195.987073863636"/>
    <n v="532.70000000000005"/>
    <n v="0.96996433264501603"/>
    <n v="2350.5929261363699"/>
    <n v="0.92509855453350853"/>
    <n v="5.2556818181818184E-2"/>
    <n v="1.4204545454545454E-2"/>
    <n v="0.94744318181818177"/>
    <n v="0.26666666666666666"/>
    <n v="516.70000000000005"/>
    <n v="1.3624927424037159"/>
    <n v="1.4285714285714286"/>
    <n v="0.95374491968260111"/>
    <n v="0.94744318181818177"/>
    <n v="0.87647831800262821"/>
    <n v="26.122812499999998"/>
    <n v="3.3389104064437074"/>
    <s v="Medium"/>
    <s v="Normal"/>
  </r>
  <r>
    <n v="814"/>
    <d v="2026-02-25T00:00:00"/>
    <x v="4"/>
    <s v="Plant A"/>
    <x v="3"/>
    <x v="11"/>
    <x v="1"/>
    <x v="1"/>
    <s v="B260225-0814"/>
    <s v="OP135"/>
    <n v="738"/>
    <n v="722"/>
    <n v="669"/>
    <n v="53"/>
    <n v="10"/>
    <n v="0"/>
    <s v="No Downtime"/>
    <n v="45"/>
    <n v="48"/>
    <n v="82.6"/>
    <n v="2.63"/>
    <n v="27.92"/>
    <n v="15009.15"/>
    <n v="10"/>
    <s v="Overdue"/>
    <n v="29"/>
    <n v="23724.27"/>
    <n v="0.926592797783934"/>
    <n v="19760.43"/>
    <n v="207.88296398892001"/>
    <n v="553.5"/>
    <n v="1"/>
    <n v="3755.9570360110802"/>
    <n v="0.97831978319783197"/>
    <n v="7.3407202216066489E-2"/>
    <n v="1.3850415512465374E-2"/>
    <n v="0.92659279778393355"/>
    <n v="0"/>
    <n v="553.5"/>
    <n v="1.3044263775971092"/>
    <n v="1.3333333333333333"/>
    <n v="0.97831978319783197"/>
    <n v="0.92659279778393355"/>
    <n v="0.9065040650406504"/>
    <n v="27.369016620498616"/>
    <n v="5.2021565595721331"/>
    <s v="High"/>
    <s v="Warning"/>
  </r>
  <r>
    <n v="815"/>
    <d v="2026-06-11T00:00:00"/>
    <x v="0"/>
    <s v="Plant A"/>
    <x v="0"/>
    <x v="1"/>
    <x v="1"/>
    <x v="0"/>
    <s v="B260611-0815"/>
    <s v="OP121"/>
    <n v="795"/>
    <n v="737"/>
    <n v="696"/>
    <n v="41"/>
    <n v="8"/>
    <n v="29"/>
    <s v="Machine Breakdown"/>
    <n v="42"/>
    <n v="45"/>
    <n v="77"/>
    <n v="1.66"/>
    <n v="29.68"/>
    <n v="12835.88"/>
    <n v="9.23"/>
    <s v="Completed"/>
    <n v="12"/>
    <n v="21772.93"/>
    <n v="0.94436906377204899"/>
    <n v="17256.5"/>
    <n v="139.33112618724601"/>
    <n v="556.5"/>
    <n v="0.94788858939802301"/>
    <n v="4377.0988738127598"/>
    <n v="0.92704402515723272"/>
    <n v="5.563093622795115E-2"/>
    <n v="1.0854816824966078E-2"/>
    <n v="0.94436906377204888"/>
    <n v="0.48333333333333334"/>
    <n v="527.5"/>
    <n v="1.3971563981042654"/>
    <n v="1.4285714285714286"/>
    <n v="0.97800947867298571"/>
    <n v="0.94436906377204888"/>
    <n v="0.87547169811320713"/>
    <n v="23.414518317503394"/>
    <n v="5.9390758125003522"/>
    <s v="Low"/>
    <s v="Normal"/>
  </r>
  <r>
    <n v="816"/>
    <d v="2026-04-12T00:00:00"/>
    <x v="5"/>
    <s v="Plant A"/>
    <x v="0"/>
    <x v="3"/>
    <x v="1"/>
    <x v="1"/>
    <s v="B260412-0816"/>
    <s v="OP106"/>
    <n v="685"/>
    <n v="618"/>
    <n v="598"/>
    <n v="20"/>
    <n v="5"/>
    <n v="25"/>
    <s v="Tool Change"/>
    <n v="45"/>
    <n v="46"/>
    <n v="78.7"/>
    <n v="2.71"/>
    <n v="22.18"/>
    <n v="12957.98"/>
    <n v="7.47"/>
    <s v="Completed"/>
    <n v="7"/>
    <n v="20429.02"/>
    <n v="0.96763754045307504"/>
    <n v="16519.099999999999"/>
    <n v="104.83802588996799"/>
    <n v="513.75"/>
    <n v="0.95133819951338205"/>
    <n v="3805.0819741100299"/>
    <n v="0.90218978102189784"/>
    <n v="3.2362459546925564E-2"/>
    <n v="8.0906148867313909E-3"/>
    <n v="0.96763754045307449"/>
    <n v="0.41666666666666669"/>
    <n v="488.75"/>
    <n v="1.2644501278772378"/>
    <n v="1.3333333333333333"/>
    <n v="0.94833759590792832"/>
    <n v="0.96763754045307449"/>
    <n v="0.87299270072992707"/>
    <n v="26.729935275080905"/>
    <n v="6.1570905729935763"/>
    <s v="Low"/>
    <s v="Normal"/>
  </r>
  <r>
    <n v="817"/>
    <d v="2026-05-09T00:00:00"/>
    <x v="3"/>
    <s v="Plant A"/>
    <x v="0"/>
    <x v="1"/>
    <x v="0"/>
    <x v="2"/>
    <s v="B260509-0817"/>
    <s v="OP120"/>
    <n v="504"/>
    <n v="527"/>
    <n v="490"/>
    <n v="37"/>
    <n v="7"/>
    <n v="27"/>
    <s v="Material Shortage"/>
    <n v="64"/>
    <n v="68"/>
    <n v="66.3"/>
    <n v="1.74"/>
    <n v="20.98"/>
    <n v="16532.23"/>
    <n v="9.49"/>
    <s v="Completed"/>
    <n v="25"/>
    <n v="25085.56"/>
    <n v="0.92979127134724904"/>
    <n v="20991.55"/>
    <n v="219.59318785578699"/>
    <n v="537.6"/>
    <n v="0.94977678571428603"/>
    <n v="3874.4168121442099"/>
    <n v="1.0456349206349207"/>
    <n v="7.020872865275142E-2"/>
    <n v="1.3282732447817837E-2"/>
    <n v="0.92979127134724859"/>
    <n v="0.45"/>
    <n v="510.6"/>
    <n v="1.0321190755973364"/>
    <n v="0.9375"/>
    <n v="1.1009270139704921"/>
    <n v="0.92979127134724859"/>
    <n v="0.97222222222222254"/>
    <n v="39.832163187855784"/>
    <n v="7.3518345581484059"/>
    <s v="Low"/>
    <s v="Normal"/>
  </r>
  <r>
    <n v="818"/>
    <d v="2026-06-08T00:00:00"/>
    <x v="0"/>
    <s v="Plant A"/>
    <x v="0"/>
    <x v="0"/>
    <x v="0"/>
    <x v="3"/>
    <s v="B260608-0818"/>
    <s v="OP128"/>
    <n v="666"/>
    <n v="626"/>
    <n v="601"/>
    <n v="25"/>
    <n v="7"/>
    <n v="39"/>
    <s v="Material Shortage"/>
    <n v="49"/>
    <n v="52"/>
    <n v="77.900000000000006"/>
    <n v="1.41"/>
    <n v="20.95"/>
    <n v="14395.41"/>
    <n v="7.08"/>
    <s v="Completed"/>
    <n v="32"/>
    <n v="22691.23"/>
    <n v="0.96006389776357803"/>
    <n v="17769.96"/>
    <n v="160.97103833865799"/>
    <n v="543.9"/>
    <n v="0.92829564258135699"/>
    <n v="4760.2989616613404"/>
    <n v="0.93993993993993996"/>
    <n v="3.9936102236421724E-2"/>
    <n v="1.1182108626198083E-2"/>
    <n v="0.96006389776357826"/>
    <n v="0.65"/>
    <n v="504.9"/>
    <n v="1.2398494751435929"/>
    <n v="1.2244897959183674"/>
    <n v="1.0125437380339342"/>
    <n v="0.96006389776357826"/>
    <n v="0.90240240240240255"/>
    <n v="28.386517571884983"/>
    <n v="7.6043114403535785"/>
    <s v="Medium"/>
    <s v="Normal"/>
  </r>
  <r>
    <n v="819"/>
    <d v="2026-06-23T00:00:00"/>
    <x v="0"/>
    <s v="Plant A"/>
    <x v="3"/>
    <x v="11"/>
    <x v="2"/>
    <x v="4"/>
    <s v="B260623-0819"/>
    <s v="OP112"/>
    <n v="636"/>
    <n v="462"/>
    <n v="421"/>
    <n v="41"/>
    <n v="10"/>
    <n v="43"/>
    <s v="Preventive Maintenance"/>
    <n v="57"/>
    <n v="60"/>
    <n v="75.2"/>
    <n v="2.19"/>
    <n v="20.52"/>
    <n v="12059.4"/>
    <n v="7.37"/>
    <s v="Pending"/>
    <n v="32"/>
    <n v="19594.400000000001"/>
    <n v="0.91125541125541099"/>
    <n v="15560.58"/>
    <n v="261.02597402597399"/>
    <n v="604.20000000000005"/>
    <n v="0.92883151274412501"/>
    <n v="3772.7940259740299"/>
    <n v="0.72641509433962259"/>
    <n v="8.8744588744588751E-2"/>
    <n v="2.1645021645021644E-2"/>
    <n v="0.91125541125541121"/>
    <n v="0.71666666666666667"/>
    <n v="561.20000000000005"/>
    <n v="0.82323592302209547"/>
    <n v="1.0526315789473684"/>
    <n v="0.78207412687099076"/>
    <n v="0.91125541125541121"/>
    <n v="0.66194968553459166"/>
    <n v="33.68090909090909"/>
    <n v="8.1662208354416226"/>
    <s v="High"/>
    <s v="Critical"/>
  </r>
  <r>
    <n v="820"/>
    <d v="2026-03-24T00:00:00"/>
    <x v="1"/>
    <s v="Plant A"/>
    <x v="4"/>
    <x v="12"/>
    <x v="2"/>
    <x v="4"/>
    <s v="B260324-0820"/>
    <s v="OP120"/>
    <n v="624"/>
    <n v="369"/>
    <n v="324"/>
    <n v="45"/>
    <n v="10"/>
    <n v="175"/>
    <s v="Tool Change"/>
    <n v="57"/>
    <n v="59"/>
    <n v="72.900000000000006"/>
    <n v="3.14"/>
    <n v="26.68"/>
    <n v="9859.27"/>
    <n v="4.76"/>
    <s v="Completed"/>
    <n v="34"/>
    <n v="14560.66"/>
    <n v="0.87804878048780499"/>
    <n v="12241.39"/>
    <n v="267.18888888888898"/>
    <n v="592.79999999999995"/>
    <n v="0.70479082321187603"/>
    <n v="2052.0811111111102"/>
    <n v="0.59134615384615385"/>
    <n v="0.12195121951219512"/>
    <n v="2.7100271002710029E-2"/>
    <n v="0.87804878048780488"/>
    <n v="2.9166666666666665"/>
    <n v="417.79999999999995"/>
    <n v="0.88319770224988037"/>
    <n v="1.0526315789473684"/>
    <n v="0.83903781713738634"/>
    <n v="0.87804878048780488"/>
    <n v="0.51923076923076938"/>
    <n v="33.17449864498645"/>
    <n v="5.5611954230653389"/>
    <s v="High"/>
    <s v="Critical"/>
  </r>
  <r>
    <n v="821"/>
    <d v="2026-05-29T00:00:00"/>
    <x v="3"/>
    <s v="Plant A"/>
    <x v="2"/>
    <x v="10"/>
    <x v="2"/>
    <x v="2"/>
    <s v="B260529-0821"/>
    <s v="OP127"/>
    <n v="597"/>
    <n v="474"/>
    <n v="425"/>
    <n v="49"/>
    <n v="15"/>
    <n v="33"/>
    <s v="Setup Time"/>
    <n v="64"/>
    <n v="72"/>
    <n v="63.9"/>
    <n v="2.66"/>
    <n v="20.95"/>
    <n v="14710.13"/>
    <n v="7.72"/>
    <s v="Pending"/>
    <n v="13"/>
    <n v="22437.33"/>
    <n v="0.89662447257384004"/>
    <n v="18372.68"/>
    <n v="465.51044303797499"/>
    <n v="636.79999999999995"/>
    <n v="0.94817839195979903"/>
    <n v="3599.1395569620299"/>
    <n v="0.79396984924623115"/>
    <n v="0.10337552742616034"/>
    <n v="3.1645569620253167E-2"/>
    <n v="0.8966244725738397"/>
    <n v="0.55000000000000004"/>
    <n v="603.79999999999995"/>
    <n v="0.78502815501821799"/>
    <n v="0.9375"/>
    <n v="0.8373633653527659"/>
    <n v="0.8966244725738397"/>
    <n v="0.71189279731993316"/>
    <n v="38.760928270042193"/>
    <n v="7.5931214281899369"/>
    <s v="High"/>
    <s v="Critical"/>
  </r>
  <r>
    <n v="822"/>
    <d v="2026-03-31T00:00:00"/>
    <x v="1"/>
    <s v="Plant A"/>
    <x v="3"/>
    <x v="7"/>
    <x v="1"/>
    <x v="2"/>
    <s v="B260331-0822"/>
    <s v="OP109"/>
    <n v="666"/>
    <n v="655"/>
    <n v="615"/>
    <n v="40"/>
    <n v="17"/>
    <n v="0"/>
    <s v="No Downtime"/>
    <n v="64"/>
    <n v="62"/>
    <n v="80.900000000000006"/>
    <n v="1.89"/>
    <n v="25.06"/>
    <n v="21131.360000000001"/>
    <n v="9.74"/>
    <s v="Scheduled"/>
    <n v="16"/>
    <n v="32489.759999999998"/>
    <n v="0.93893129770992401"/>
    <n v="25739.9"/>
    <n v="548.44751145038197"/>
    <n v="710.4"/>
    <n v="1"/>
    <n v="6201.4124885496203"/>
    <n v="0.98348348348348347"/>
    <n v="6.1068702290076333E-2"/>
    <n v="2.5954198473282442E-2"/>
    <n v="0.93893129770992367"/>
    <n v="0"/>
    <n v="710.4"/>
    <n v="0.92201576576576583"/>
    <n v="0.9375"/>
    <n v="0.98348348348348358"/>
    <n v="0.93893129770992367"/>
    <n v="0.92342342342342354"/>
    <n v="39.297557251908401"/>
    <n v="9.4678053260299553"/>
    <s v="Medium"/>
    <s v="Warning"/>
  </r>
  <r>
    <n v="823"/>
    <d v="2026-01-09T00:00:00"/>
    <x v="2"/>
    <s v="Plant A"/>
    <x v="4"/>
    <x v="14"/>
    <x v="1"/>
    <x v="1"/>
    <s v="B260109-0823"/>
    <s v="OP105"/>
    <n v="939"/>
    <n v="846"/>
    <n v="775"/>
    <n v="71"/>
    <n v="27"/>
    <n v="19"/>
    <s v="Quality Inspection"/>
    <n v="45"/>
    <n v="49"/>
    <n v="75.599999999999994"/>
    <n v="1.5"/>
    <n v="25.94"/>
    <n v="17561.61"/>
    <n v="8.34"/>
    <s v="Completed"/>
    <n v="11"/>
    <n v="27859.84"/>
    <n v="0.91607565011820302"/>
    <n v="21548.07"/>
    <n v="560.47691489361705"/>
    <n v="704.25"/>
    <n v="0.97302094426695096"/>
    <n v="5751.2930851063802"/>
    <n v="0.90095846645367417"/>
    <n v="8.3924349881796687E-2"/>
    <n v="3.1914893617021274E-2"/>
    <n v="0.91607565011820336"/>
    <n v="0.31666666666666665"/>
    <n v="685.25"/>
    <n v="1.23458591754834"/>
    <n v="1.3333333333333333"/>
    <n v="0.92593943816125501"/>
    <n v="0.91607565011820336"/>
    <n v="0.82534611288604931"/>
    <n v="25.470531914893616"/>
    <n v="6.7982187767214892"/>
    <s v="Medium"/>
    <s v="Warning"/>
  </r>
  <r>
    <n v="824"/>
    <d v="2026-02-19T00:00:00"/>
    <x v="4"/>
    <s v="Plant B"/>
    <x v="0"/>
    <x v="3"/>
    <x v="1"/>
    <x v="3"/>
    <s v="B260219-0824"/>
    <s v="OP123"/>
    <n v="755"/>
    <n v="704"/>
    <n v="685"/>
    <n v="19"/>
    <n v="4"/>
    <n v="59"/>
    <s v="Machine Breakdown"/>
    <n v="49"/>
    <n v="53"/>
    <n v="74.400000000000006"/>
    <n v="1.79"/>
    <n v="28.81"/>
    <n v="14807.68"/>
    <n v="7.54"/>
    <s v="Completed"/>
    <n v="35"/>
    <n v="25279.84"/>
    <n v="0.97301136363636398"/>
    <n v="18459.97"/>
    <n v="84.134545454545503"/>
    <n v="616.58333333333303"/>
    <n v="0.90431139343154499"/>
    <n v="6735.73545454545"/>
    <n v="0.93245033112582787"/>
    <n v="2.6988636363636364E-2"/>
    <n v="5.681818181818182E-3"/>
    <n v="0.97301136363636365"/>
    <n v="0.98333333333333328"/>
    <n v="557.58333333333303"/>
    <n v="1.2625915408758039"/>
    <n v="1.2244897959183674"/>
    <n v="1.0311164250485731"/>
    <n v="0.97301136363636365"/>
    <n v="0.90728476821192117"/>
    <n v="26.221548295454546"/>
    <n v="9.5678060433884227"/>
    <s v="Medium"/>
    <s v="Normal"/>
  </r>
  <r>
    <n v="825"/>
    <d v="2026-06-26T00:00:00"/>
    <x v="0"/>
    <s v="Plant B"/>
    <x v="2"/>
    <x v="9"/>
    <x v="0"/>
    <x v="4"/>
    <s v="B260626-0825"/>
    <s v="OP111"/>
    <n v="589"/>
    <n v="618"/>
    <n v="589"/>
    <n v="29"/>
    <n v="6"/>
    <n v="0"/>
    <s v="No Downtime"/>
    <n v="57"/>
    <n v="60"/>
    <n v="74.099999999999994"/>
    <n v="1.9"/>
    <n v="23.33"/>
    <n v="16924.88"/>
    <n v="9.59"/>
    <s v="Pending"/>
    <n v="28"/>
    <n v="27052.82"/>
    <n v="0.95307443365695799"/>
    <n v="21450.35"/>
    <n v="164.319223300971"/>
    <n v="559.54999999999995"/>
    <n v="1"/>
    <n v="5438.1507766990298"/>
    <n v="1.0492359932088284"/>
    <n v="4.6925566343042069E-2"/>
    <n v="9.7087378640776691E-3"/>
    <n v="0.95307443365695788"/>
    <n v="0"/>
    <n v="559.54999999999995"/>
    <n v="1.1044589402198195"/>
    <n v="1.0526315789473684"/>
    <n v="1.0492359932088287"/>
    <n v="0.95307443365695788"/>
    <n v="1"/>
    <n v="34.709304207119736"/>
    <n v="8.7995967260502095"/>
    <s v="Medium"/>
    <s v="Normal"/>
  </r>
  <r>
    <n v="826"/>
    <d v="2026-04-10T00:00:00"/>
    <x v="5"/>
    <s v="Plant B"/>
    <x v="2"/>
    <x v="10"/>
    <x v="0"/>
    <x v="0"/>
    <s v="B260410-0826"/>
    <s v="OP106"/>
    <n v="973"/>
    <n v="750"/>
    <n v="677"/>
    <n v="73"/>
    <n v="14"/>
    <n v="172"/>
    <s v="Preventive Maintenance"/>
    <n v="42"/>
    <n v="43"/>
    <n v="77"/>
    <n v="2.4700000000000002"/>
    <n v="33.619999999999997"/>
    <n v="13207.7"/>
    <n v="6.52"/>
    <s v="Completed"/>
    <n v="20"/>
    <n v="21029.68"/>
    <n v="0.90266666666666695"/>
    <n v="16444.28"/>
    <n v="246.54373333333299"/>
    <n v="681.1"/>
    <n v="0.74746733225664397"/>
    <n v="4338.8562666666703"/>
    <n v="0.77081192189105863"/>
    <n v="9.7333333333333327E-2"/>
    <n v="1.8666666666666668E-2"/>
    <n v="0.90266666666666662"/>
    <n v="2.8666666666666667"/>
    <n v="509.1"/>
    <n v="1.4731879787860931"/>
    <n v="1.4285714285714286"/>
    <n v="1.0312315851502651"/>
    <n v="0.90266666666666662"/>
    <n v="0.69578622816032909"/>
    <n v="21.925706666666667"/>
    <n v="5.7851416888888938"/>
    <s v="High"/>
    <s v="Critical"/>
  </r>
  <r>
    <n v="827"/>
    <d v="2026-05-20T00:00:00"/>
    <x v="3"/>
    <s v="Plant B"/>
    <x v="1"/>
    <x v="6"/>
    <x v="1"/>
    <x v="0"/>
    <s v="B260520-0827"/>
    <s v="OP110"/>
    <n v="737"/>
    <n v="644"/>
    <n v="608"/>
    <n v="36"/>
    <n v="7"/>
    <n v="46"/>
    <s v="Material Shortage"/>
    <n v="42"/>
    <n v="45"/>
    <n v="70.099999999999994"/>
    <n v="1.78"/>
    <n v="23.36"/>
    <n v="11646.63"/>
    <n v="6.46"/>
    <s v="Completed"/>
    <n v="13"/>
    <n v="19031.740000000002"/>
    <n v="0.94409937888198803"/>
    <n v="14763.87"/>
    <n v="126.59380434782599"/>
    <n v="515.9"/>
    <n v="0.91083543322349303"/>
    <n v="4141.2761956521799"/>
    <n v="0.87381275440976935"/>
    <n v="5.5900621118012424E-2"/>
    <n v="1.0869565217391304E-2"/>
    <n v="0.94409937888198758"/>
    <n v="0.76666666666666672"/>
    <n v="469.9"/>
    <n v="1.370504362630347"/>
    <n v="1.4285714285714286"/>
    <n v="0.95935305384124292"/>
    <n v="0.94409937888198758"/>
    <n v="0.82496607869742222"/>
    <n v="22.925263975155282"/>
    <n v="6.4305530988387885"/>
    <s v="Medium"/>
    <s v="Warning"/>
  </r>
  <r>
    <n v="828"/>
    <d v="2026-05-25T00:00:00"/>
    <x v="3"/>
    <s v="Plant A"/>
    <x v="0"/>
    <x v="1"/>
    <x v="0"/>
    <x v="3"/>
    <s v="B260525-0828"/>
    <s v="OP113"/>
    <n v="637"/>
    <n v="661"/>
    <n v="625"/>
    <n v="36"/>
    <n v="7"/>
    <n v="27"/>
    <s v="Machine Breakdown"/>
    <n v="49"/>
    <n v="53"/>
    <n v="64.5"/>
    <n v="1.77"/>
    <n v="22.96"/>
    <n v="13878.8"/>
    <n v="10.23"/>
    <s v="Completed"/>
    <n v="33"/>
    <n v="24277.45"/>
    <n v="0.94553706505294999"/>
    <n v="18688.939999999999"/>
    <n v="146.976701966717"/>
    <n v="520.21666666666704"/>
    <n v="0.94809854868163901"/>
    <n v="5441.5332980332896"/>
    <n v="1.0376766091051806"/>
    <n v="5.4462934947049922E-2"/>
    <n v="1.059001512859304E-2"/>
    <n v="0.9455370650529501"/>
    <n v="0.45"/>
    <n v="493.21666666666704"/>
    <n v="1.3401817997499399"/>
    <n v="1.2244897959183674"/>
    <n v="1.0944818031291175"/>
    <n v="0.9455370650529501"/>
    <n v="0.98116169544740894"/>
    <n v="28.273736762481086"/>
    <n v="8.2322742784164742"/>
    <s v="Medium"/>
    <s v="Normal"/>
  </r>
  <r>
    <n v="829"/>
    <d v="2026-03-13T00:00:00"/>
    <x v="1"/>
    <s v="Plant B"/>
    <x v="0"/>
    <x v="1"/>
    <x v="0"/>
    <x v="0"/>
    <s v="B260313-0829"/>
    <s v="OP105"/>
    <n v="962"/>
    <n v="1026"/>
    <n v="962"/>
    <n v="64"/>
    <n v="14"/>
    <n v="25"/>
    <s v="Power Failure"/>
    <n v="42"/>
    <n v="46"/>
    <n v="74.8"/>
    <n v="1.79"/>
    <n v="34.5"/>
    <n v="18747.099999999999"/>
    <n v="8.19"/>
    <s v="Completed"/>
    <n v="14"/>
    <n v="31543.82"/>
    <n v="0.93762183235867502"/>
    <n v="22743.1"/>
    <n v="255.80838206627701"/>
    <n v="673.4"/>
    <n v="0.96287496287496299"/>
    <n v="8544.9116179337307"/>
    <n v="1.0665280665280665"/>
    <n v="6.2378167641325533E-2"/>
    <n v="1.364522417153996E-2"/>
    <n v="0.93762183235867447"/>
    <n v="0.41666666666666669"/>
    <n v="648.4"/>
    <n v="1.5823565700185072"/>
    <n v="1.4285714285714286"/>
    <n v="1.1076495990129549"/>
    <n v="0.93762183235867447"/>
    <n v="1"/>
    <n v="22.166764132553606"/>
    <n v="8.328373896621569"/>
    <s v="Low"/>
    <s v="Normal"/>
  </r>
  <r>
    <n v="830"/>
    <d v="2026-03-11T00:00:00"/>
    <x v="1"/>
    <s v="Plant A"/>
    <x v="3"/>
    <x v="11"/>
    <x v="2"/>
    <x v="1"/>
    <s v="B260311-0830"/>
    <s v="OP102"/>
    <n v="819"/>
    <n v="592"/>
    <n v="535"/>
    <n v="57"/>
    <n v="23"/>
    <n v="47"/>
    <s v="Machine Breakdown"/>
    <n v="45"/>
    <n v="48"/>
    <n v="78"/>
    <n v="2.97"/>
    <n v="21.99"/>
    <n v="12085.93"/>
    <n v="7.16"/>
    <s v="Overdue"/>
    <n v="46"/>
    <n v="18190.330000000002"/>
    <n v="0.90371621621621601"/>
    <n v="15505.84"/>
    <n v="469.554712837838"/>
    <n v="614.25"/>
    <n v="0.92348392348392405"/>
    <n v="2214.93528716216"/>
    <n v="0.72283272283272282"/>
    <n v="9.6283783783783786E-2"/>
    <n v="3.885135135135135E-2"/>
    <n v="0.90371621621621623"/>
    <n v="0.78333333333333333"/>
    <n v="567.25"/>
    <n v="1.0436315557514324"/>
    <n v="1.3333333333333333"/>
    <n v="0.7827236668135743"/>
    <n v="0.90371621621621623"/>
    <n v="0.65323565323565358"/>
    <n v="26.192297297297298"/>
    <n v="3.7414447418279728"/>
    <s v="High"/>
    <s v="Critical"/>
  </r>
  <r>
    <n v="831"/>
    <d v="2026-06-23T00:00:00"/>
    <x v="0"/>
    <s v="Plant A"/>
    <x v="4"/>
    <x v="13"/>
    <x v="2"/>
    <x v="3"/>
    <s v="B260623-0831"/>
    <s v="OP135"/>
    <n v="799"/>
    <n v="644"/>
    <n v="600"/>
    <n v="44"/>
    <n v="14"/>
    <n v="23"/>
    <s v="Tool Change"/>
    <n v="49"/>
    <n v="49"/>
    <n v="70.3"/>
    <n v="2.25"/>
    <n v="22.92"/>
    <n v="13803.38"/>
    <n v="7.42"/>
    <s v="Scheduled"/>
    <n v="29"/>
    <n v="22681.84"/>
    <n v="0.93167701863354002"/>
    <n v="17348.66"/>
    <n v="300.07347826086999"/>
    <n v="652.51666666666699"/>
    <n v="0.96475185819008502"/>
    <n v="5033.1065217391297"/>
    <n v="0.80600750938673338"/>
    <n v="6.8322981366459631E-2"/>
    <n v="2.1739130434782608E-2"/>
    <n v="0.93167701863354035"/>
    <n v="0.38333333333333336"/>
    <n v="629.51666666666699"/>
    <n v="1.0230070689153048"/>
    <n v="1.2244897959183674"/>
    <n v="0.83545577294749884"/>
    <n v="0.93167701863354035"/>
    <n v="0.75093867334167697"/>
    <n v="26.938913043478262"/>
    <n v="7.8153827977315675"/>
    <s v="High"/>
    <s v="Warning"/>
  </r>
  <r>
    <n v="832"/>
    <d v="2026-05-03T00:00:00"/>
    <x v="3"/>
    <s v="Plant B"/>
    <x v="2"/>
    <x v="9"/>
    <x v="1"/>
    <x v="0"/>
    <s v="B260503-0832"/>
    <s v="OP125"/>
    <n v="750"/>
    <n v="773"/>
    <n v="736"/>
    <n v="37"/>
    <n v="15"/>
    <n v="8"/>
    <s v="Power Failure"/>
    <n v="42"/>
    <n v="40"/>
    <n v="72"/>
    <n v="1.57"/>
    <n v="31.77"/>
    <n v="13498.29"/>
    <n v="8.41"/>
    <s v="Pending"/>
    <n v="21"/>
    <n v="23030.04"/>
    <n v="0.952134540750323"/>
    <n v="17568.72"/>
    <n v="261.93318240620999"/>
    <n v="525"/>
    <n v="0.98476190476190495"/>
    <n v="5199.3868175937896"/>
    <n v="1.0306666666666666"/>
    <n v="4.7865459249676584E-2"/>
    <n v="1.9404915912031046E-2"/>
    <n v="0.95213454075032344"/>
    <n v="0.13333333333333333"/>
    <n v="517"/>
    <n v="1.495164410058027"/>
    <n v="1.4285714285714286"/>
    <n v="1.0466150870406188"/>
    <n v="0.95213454075032344"/>
    <n v="0.98133333333333328"/>
    <n v="22.727968952134542"/>
    <n v="6.7262442659686803"/>
    <s v="Medium"/>
    <s v="Normal"/>
  </r>
  <r>
    <n v="833"/>
    <d v="2026-04-22T00:00:00"/>
    <x v="5"/>
    <s v="Plant B"/>
    <x v="0"/>
    <x v="3"/>
    <x v="0"/>
    <x v="1"/>
    <s v="B260422-0833"/>
    <s v="OP134"/>
    <n v="783"/>
    <n v="795"/>
    <n v="768"/>
    <n v="27"/>
    <n v="11"/>
    <n v="21"/>
    <s v="Operator Issue"/>
    <n v="45"/>
    <n v="48"/>
    <n v="71.5"/>
    <n v="1.98"/>
    <n v="28.3"/>
    <n v="16442.39"/>
    <n v="9.08"/>
    <s v="Completed"/>
    <n v="40"/>
    <n v="26769.84"/>
    <n v="0.96603773584905706"/>
    <n v="20783.09"/>
    <n v="227.50476729559699"/>
    <n v="587.25"/>
    <n v="0.96424010217113698"/>
    <n v="5759.2452327044002"/>
    <n v="1.0153256704980842"/>
    <n v="3.3962264150943396E-2"/>
    <n v="1.3836477987421384E-2"/>
    <n v="0.96603773584905661"/>
    <n v="0.35"/>
    <n v="566.25"/>
    <n v="1.4039735099337749"/>
    <n v="1.3333333333333333"/>
    <n v="1.0529801324503312"/>
    <n v="0.96603773584905661"/>
    <n v="0.98084291187739503"/>
    <n v="26.142251572327044"/>
    <n v="7.2443336260432707"/>
    <s v="Medium"/>
    <s v="Normal"/>
  </r>
  <r>
    <n v="834"/>
    <d v="2026-02-07T00:00:00"/>
    <x v="4"/>
    <s v="Plant A"/>
    <x v="3"/>
    <x v="8"/>
    <x v="2"/>
    <x v="0"/>
    <s v="B260207-0834"/>
    <s v="OP132"/>
    <n v="795"/>
    <n v="740"/>
    <n v="686"/>
    <n v="54"/>
    <n v="15"/>
    <n v="17"/>
    <s v="Setup Time"/>
    <n v="42"/>
    <n v="46"/>
    <n v="73"/>
    <n v="2.09"/>
    <n v="29.45"/>
    <n v="14501.65"/>
    <n v="8.09"/>
    <s v="Scheduled"/>
    <n v="36"/>
    <n v="22099.759999999998"/>
    <n v="0.927027027027027"/>
    <n v="18407.2"/>
    <n v="293.95236486486499"/>
    <n v="556.5"/>
    <n v="0.96945193171608302"/>
    <n v="3398.6076351351298"/>
    <n v="0.9308176100628931"/>
    <n v="7.2972972972972977E-2"/>
    <n v="2.0270270270270271E-2"/>
    <n v="0.927027027027027"/>
    <n v="0.28333333333333333"/>
    <n v="539.5"/>
    <n v="1.3716404077849862"/>
    <n v="1.4285714285714286"/>
    <n v="0.96014828544949027"/>
    <n v="0.927027027027027"/>
    <n v="0.86289308176100654"/>
    <n v="24.874594594594594"/>
    <n v="4.5927130204528783"/>
    <s v="Medium"/>
    <s v="Normal"/>
  </r>
  <r>
    <n v="835"/>
    <d v="2026-01-01T00:00:00"/>
    <x v="2"/>
    <s v="Plant A"/>
    <x v="0"/>
    <x v="1"/>
    <x v="0"/>
    <x v="1"/>
    <s v="B260101-0835"/>
    <s v="OP102"/>
    <n v="727"/>
    <n v="763"/>
    <n v="720"/>
    <n v="43"/>
    <n v="13"/>
    <n v="0"/>
    <s v="No Downtime"/>
    <n v="45"/>
    <n v="48"/>
    <n v="76.5"/>
    <n v="2.75"/>
    <n v="29.03"/>
    <n v="16092"/>
    <n v="9.6999999999999993"/>
    <s v="Scheduled"/>
    <n v="24"/>
    <n v="25263.17"/>
    <n v="0.94364351245085198"/>
    <n v="20718.27"/>
    <n v="274.17562254259502"/>
    <n v="545.25"/>
    <n v="1"/>
    <n v="4270.7243774573999"/>
    <n v="1.0495185694635489"/>
    <n v="5.6356487549148099E-2"/>
    <n v="1.7038007863695939E-2"/>
    <n v="0.94364351245085187"/>
    <n v="0"/>
    <n v="545.25"/>
    <n v="1.3993580926180651"/>
    <n v="1.3333333333333333"/>
    <n v="1.0495185694635489"/>
    <n v="0.94364351245085187"/>
    <n v="0.99037138927097668"/>
    <n v="27.153695937090433"/>
    <n v="5.59727965590747"/>
    <s v="Low"/>
    <s v="Normal"/>
  </r>
  <r>
    <n v="836"/>
    <d v="2026-03-28T00:00:00"/>
    <x v="1"/>
    <s v="Plant B"/>
    <x v="2"/>
    <x v="4"/>
    <x v="2"/>
    <x v="2"/>
    <s v="B260328-0836"/>
    <s v="OP128"/>
    <n v="572"/>
    <n v="544"/>
    <n v="503"/>
    <n v="41"/>
    <n v="10"/>
    <n v="19"/>
    <s v="Machine Breakdown"/>
    <n v="64"/>
    <n v="69"/>
    <n v="75.599999999999994"/>
    <n v="1.59"/>
    <n v="19.649999999999999"/>
    <n v="17315.310000000001"/>
    <n v="7.61"/>
    <s v="Completed"/>
    <n v="16"/>
    <n v="26830.15"/>
    <n v="0.92463235294117696"/>
    <n v="20916.66"/>
    <n v="318.29613970588201"/>
    <n v="610.13333333333298"/>
    <n v="0.96885926573426595"/>
    <n v="5595.19386029412"/>
    <n v="0.95104895104895104"/>
    <n v="7.5367647058823525E-2"/>
    <n v="1.8382352941176471E-2"/>
    <n v="0.92463235294117652"/>
    <n v="0.31666666666666665"/>
    <n v="591.13333333333298"/>
    <n v="0.92026615540769197"/>
    <n v="0.9375"/>
    <n v="0.98161723243487142"/>
    <n v="0.92463235294117652"/>
    <n v="0.87937062937063015"/>
    <n v="38.449742647058827"/>
    <n v="10.285282831423014"/>
    <s v="Low"/>
    <s v="Normal"/>
  </r>
  <r>
    <n v="837"/>
    <d v="2026-05-14T00:00:00"/>
    <x v="3"/>
    <s v="Plant A"/>
    <x v="4"/>
    <x v="14"/>
    <x v="1"/>
    <x v="4"/>
    <s v="B260514-0837"/>
    <s v="OP124"/>
    <n v="697"/>
    <n v="613"/>
    <n v="567"/>
    <n v="46"/>
    <n v="12"/>
    <n v="24"/>
    <s v="Setup Time"/>
    <n v="57"/>
    <n v="57"/>
    <n v="71.400000000000006"/>
    <n v="2.0699999999999998"/>
    <n v="20.82"/>
    <n v="16681.25"/>
    <n v="6.42"/>
    <s v="Completed"/>
    <n v="3"/>
    <n v="26775.96"/>
    <n v="0.92495921696574201"/>
    <n v="19757.63"/>
    <n v="326.54975530179399"/>
    <n v="662.15"/>
    <n v="0.96375443630597302"/>
    <n v="6691.7802446981996"/>
    <n v="0.87948350071736014"/>
    <n v="7.5040783034257749E-2"/>
    <n v="1.9575856443719411E-2"/>
    <n v="0.92495921696574224"/>
    <n v="0.4"/>
    <n v="638.15"/>
    <n v="0.96058920316539997"/>
    <n v="1.0526315789473684"/>
    <n v="0.91255974300713005"/>
    <n v="0.92495921696574224"/>
    <n v="0.81348637015781933"/>
    <n v="32.231044045677002"/>
    <n v="10.916444118594127"/>
    <s v="Medium"/>
    <s v="Warning"/>
  </r>
  <r>
    <n v="838"/>
    <d v="2026-06-05T00:00:00"/>
    <x v="0"/>
    <s v="Plant B"/>
    <x v="4"/>
    <x v="12"/>
    <x v="2"/>
    <x v="3"/>
    <s v="B260605-0838"/>
    <s v="OP126"/>
    <n v="841"/>
    <n v="628"/>
    <n v="525"/>
    <n v="103"/>
    <n v="31"/>
    <n v="63"/>
    <s v="Setup Time"/>
    <n v="49"/>
    <n v="55"/>
    <n v="85.1"/>
    <n v="3.23"/>
    <n v="26.59"/>
    <n v="14592.15"/>
    <n v="5.74"/>
    <s v="Overdue"/>
    <n v="74"/>
    <n v="19519.96"/>
    <n v="0.83598726114649702"/>
    <n v="17414.46"/>
    <n v="720.31313694267499"/>
    <n v="686.81666666666695"/>
    <n v="0.90827246475284495"/>
    <n v="1385.1868630573199"/>
    <n v="0.74673008323424495"/>
    <n v="0.16401273885350318"/>
    <n v="4.9363057324840767E-2"/>
    <n v="0.8359872611464968"/>
    <n v="1.05"/>
    <n v="623.81666666666695"/>
    <n v="1.0067060300836246"/>
    <n v="1.2244897959183674"/>
    <n v="0.82214325790162668"/>
    <n v="0.8359872611464968"/>
    <n v="0.62425683709869151"/>
    <n v="27.730031847133755"/>
    <n v="2.2057115653778978"/>
    <s v="High"/>
    <s v="Critical"/>
  </r>
  <r>
    <n v="839"/>
    <d v="2026-05-16T00:00:00"/>
    <x v="3"/>
    <s v="Plant B"/>
    <x v="2"/>
    <x v="4"/>
    <x v="1"/>
    <x v="1"/>
    <s v="B260516-0839"/>
    <s v="OP109"/>
    <n v="919"/>
    <n v="856"/>
    <n v="804"/>
    <n v="52"/>
    <n v="11"/>
    <n v="16"/>
    <s v="Machine Breakdown"/>
    <n v="45"/>
    <n v="45"/>
    <n v="70.900000000000006"/>
    <n v="2.17"/>
    <n v="26.08"/>
    <n v="18496.47"/>
    <n v="8.4"/>
    <s v="Completed"/>
    <n v="38"/>
    <n v="28222.65"/>
    <n v="0.93925233644859796"/>
    <n v="22511.19"/>
    <n v="237.68828271027999"/>
    <n v="689.25"/>
    <n v="0.97678636198766799"/>
    <n v="5473.7717172897201"/>
    <n v="0.93144722524483137"/>
    <n v="6.0747663551401869E-2"/>
    <n v="1.2850467289719626E-2"/>
    <n v="0.93925233644859818"/>
    <n v="0.26666666666666666"/>
    <n v="673.25"/>
    <n v="1.2714444857036762"/>
    <n v="1.3333333333333333"/>
    <n v="0.95358336427775714"/>
    <n v="0.93925233644859818"/>
    <n v="0.87486398258977183"/>
    <n v="26.298119158878503"/>
    <n v="6.3945931276749066"/>
    <s v="Medium"/>
    <s v="Normal"/>
  </r>
  <r>
    <n v="840"/>
    <d v="2026-06-25T00:00:00"/>
    <x v="0"/>
    <s v="Plant B"/>
    <x v="0"/>
    <x v="0"/>
    <x v="0"/>
    <x v="4"/>
    <s v="B260625-0840"/>
    <s v="OP121"/>
    <n v="608"/>
    <n v="680"/>
    <n v="653"/>
    <n v="27"/>
    <n v="7"/>
    <n v="13"/>
    <s v="Material Shortage"/>
    <n v="57"/>
    <n v="62"/>
    <n v="78.3"/>
    <n v="2.2799999999999998"/>
    <n v="23.13"/>
    <n v="17864.75"/>
    <n v="8.9499999999999993"/>
    <s v="Completed"/>
    <n v="23"/>
    <n v="29293.06"/>
    <n v="0.96029411764705896"/>
    <n v="22100.42"/>
    <n v="183.90183823529401"/>
    <n v="577.6"/>
    <n v="0.97749307479224401"/>
    <n v="7008.7381617647097"/>
    <n v="1.118421052631579"/>
    <n v="3.9705882352941174E-2"/>
    <n v="1.0294117647058823E-2"/>
    <n v="0.96029411764705885"/>
    <n v="0.21666666666666667"/>
    <n v="564.6"/>
    <n v="1.2043924902585901"/>
    <n v="1.0526315789473684"/>
    <n v="1.1441728657456607"/>
    <n v="0.96029411764705885"/>
    <n v="1.0740131578947372"/>
    <n v="32.500617647058824"/>
    <n v="10.306967884948103"/>
    <s v="Low"/>
    <s v="Normal"/>
  </r>
  <r>
    <n v="841"/>
    <d v="2026-01-23T00:00:00"/>
    <x v="2"/>
    <s v="Plant A"/>
    <x v="3"/>
    <x v="8"/>
    <x v="1"/>
    <x v="2"/>
    <s v="B260123-0841"/>
    <s v="OP128"/>
    <n v="467"/>
    <n v="381"/>
    <n v="355"/>
    <n v="26"/>
    <n v="10"/>
    <n v="43"/>
    <s v="Material Shortage"/>
    <n v="64"/>
    <n v="66"/>
    <n v="76.2"/>
    <n v="1.41"/>
    <n v="18.16"/>
    <n v="12170.89"/>
    <n v="6.71"/>
    <s v="Pending"/>
    <n v="36"/>
    <n v="18981.29"/>
    <n v="0.93175853018372701"/>
    <n v="15353.83"/>
    <n v="319.44593175852998"/>
    <n v="498.13333333333298"/>
    <n v="0.91367773019272003"/>
    <n v="3308.0140682414699"/>
    <n v="0.81584582441113496"/>
    <n v="6.8241469816272965E-2"/>
    <n v="2.6246719160104987E-2"/>
    <n v="0.93175853018372701"/>
    <n v="0.71666666666666667"/>
    <n v="455.13333333333298"/>
    <n v="0.83711732825545693"/>
    <n v="0.9375"/>
    <n v="0.89292515013915408"/>
    <n v="0.93175853018372701"/>
    <n v="0.76017130620985118"/>
    <n v="40.298766404199476"/>
    <n v="8.6824516226810236"/>
    <s v="High"/>
    <s v="Warning"/>
  </r>
  <r>
    <n v="842"/>
    <d v="2026-03-20T00:00:00"/>
    <x v="1"/>
    <s v="Plant A"/>
    <x v="3"/>
    <x v="7"/>
    <x v="0"/>
    <x v="0"/>
    <s v="B260320-0842"/>
    <s v="OP120"/>
    <n v="916"/>
    <n v="901"/>
    <n v="859"/>
    <n v="42"/>
    <n v="10"/>
    <n v="44"/>
    <s v="Material Shortage"/>
    <n v="42"/>
    <n v="40"/>
    <n v="63.8"/>
    <n v="2.06"/>
    <n v="36.21"/>
    <n v="15966.22"/>
    <n v="7.84"/>
    <s v="Scheduled"/>
    <n v="32"/>
    <n v="27359.119999999999"/>
    <n v="0.95338512763595995"/>
    <n v="19820.11"/>
    <n v="177.20554938956701"/>
    <n v="641.20000000000005"/>
    <n v="0.93137866500311906"/>
    <n v="7361.8044506104297"/>
    <n v="0.98362445414847166"/>
    <n v="4.6614872364039953E-2"/>
    <n v="1.1098779134295227E-2"/>
    <n v="0.95338512763596006"/>
    <n v="0.73333333333333328"/>
    <n v="597.20000000000005"/>
    <n v="1.5087073007367715"/>
    <n v="1.4285714285714286"/>
    <n v="1.0560951105157401"/>
    <n v="0.95338512763596006"/>
    <n v="0.93777292576419213"/>
    <n v="21.997902330743617"/>
    <n v="8.1707041627196784"/>
    <s v="Medium"/>
    <s v="Normal"/>
  </r>
  <r>
    <n v="843"/>
    <d v="2026-05-06T00:00:00"/>
    <x v="3"/>
    <s v="Plant B"/>
    <x v="2"/>
    <x v="4"/>
    <x v="0"/>
    <x v="3"/>
    <s v="B260506-0843"/>
    <s v="OP107"/>
    <n v="684"/>
    <n v="696"/>
    <n v="645"/>
    <n v="51"/>
    <n v="19"/>
    <n v="13"/>
    <s v="Power Failure"/>
    <n v="49"/>
    <n v="47"/>
    <n v="75.3"/>
    <n v="2.4700000000000002"/>
    <n v="29.01"/>
    <n v="14900.53"/>
    <n v="7.58"/>
    <s v="Pending"/>
    <n v="20"/>
    <n v="25067.83"/>
    <n v="0.92672413793103503"/>
    <n v="18572.62"/>
    <n v="406.76734195402298"/>
    <n v="558.6"/>
    <n v="0.97672753311851102"/>
    <n v="6088.4426580459804"/>
    <n v="1.0175438596491229"/>
    <n v="7.3275862068965511E-2"/>
    <n v="2.7298850574712645E-2"/>
    <n v="0.92672413793103448"/>
    <n v="0.21666666666666667"/>
    <n v="545.6"/>
    <n v="1.2756598240469208"/>
    <n v="1.2244897959183674"/>
    <n v="1.0417888563049853"/>
    <n v="0.92672413793103448"/>
    <n v="0.94298245614035137"/>
    <n v="26.684798850574712"/>
    <n v="8.747762439721237"/>
    <s v="Medium"/>
    <s v="Normal"/>
  </r>
  <r>
    <n v="844"/>
    <d v="2026-04-15T00:00:00"/>
    <x v="5"/>
    <s v="Plant B"/>
    <x v="2"/>
    <x v="10"/>
    <x v="2"/>
    <x v="3"/>
    <s v="B260415-0844"/>
    <s v="OP130"/>
    <n v="661"/>
    <n v="587"/>
    <n v="527"/>
    <n v="60"/>
    <n v="18"/>
    <n v="5"/>
    <s v="Machine Breakdown"/>
    <n v="49"/>
    <n v="57"/>
    <n v="76.599999999999994"/>
    <n v="2.48"/>
    <n v="18.940000000000001"/>
    <n v="12503.79"/>
    <n v="8.93"/>
    <s v="Scheduled"/>
    <n v="1"/>
    <n v="19794.82"/>
    <n v="0.89778534923339004"/>
    <n v="16692.75"/>
    <n v="383.42115843270898"/>
    <n v="539.81666666666695"/>
    <n v="0.99073759609744105"/>
    <n v="2718.6488415672902"/>
    <n v="0.88804841149773073"/>
    <n v="0.10221465076660988"/>
    <n v="3.0664395229982964E-2"/>
    <n v="0.89778534923339015"/>
    <n v="8.3333333333333329E-2"/>
    <n v="534.81666666666695"/>
    <n v="1.0975723768269494"/>
    <n v="1.2244897959183674"/>
    <n v="0.89635077440867539"/>
    <n v="0.89778534923339015"/>
    <n v="0.79727685325264752"/>
    <n v="28.437393526405451"/>
    <n v="4.6314290316308178"/>
    <s v="High"/>
    <s v="Warning"/>
  </r>
  <r>
    <n v="845"/>
    <d v="2026-03-20T00:00:00"/>
    <x v="1"/>
    <s v="Plant B"/>
    <x v="1"/>
    <x v="6"/>
    <x v="0"/>
    <x v="0"/>
    <s v="B260320-0845"/>
    <s v="OP106"/>
    <n v="892"/>
    <n v="938"/>
    <n v="884"/>
    <n v="54"/>
    <n v="13"/>
    <n v="26"/>
    <s v="Quality Inspection"/>
    <n v="42"/>
    <n v="42"/>
    <n v="77.099999999999994"/>
    <n v="2.63"/>
    <n v="31.48"/>
    <n v="17907.77"/>
    <n v="7.92"/>
    <s v="Scheduled"/>
    <n v="15"/>
    <n v="28276.22"/>
    <n v="0.94243070362473402"/>
    <n v="21755.09"/>
    <n v="248.18871002132201"/>
    <n v="624.4"/>
    <n v="0.95836002562459999"/>
    <n v="6272.9412899786803"/>
    <n v="1.0515695067264574"/>
    <n v="5.7569296375266525E-2"/>
    <n v="1.3859275053304905E-2"/>
    <n v="0.94243070362473347"/>
    <n v="0.43333333333333335"/>
    <n v="598.4"/>
    <n v="1.5675133689839573"/>
    <n v="1.4285714285714286"/>
    <n v="1.0972593582887702"/>
    <n v="0.94243070362473347"/>
    <n v="0.99103139013452957"/>
    <n v="23.193059701492537"/>
    <n v="6.6875706716190617"/>
    <s v="Low"/>
    <s v="Normal"/>
  </r>
  <r>
    <n v="846"/>
    <d v="2026-02-20T00:00:00"/>
    <x v="4"/>
    <s v="Plant A"/>
    <x v="2"/>
    <x v="4"/>
    <x v="1"/>
    <x v="0"/>
    <s v="B260220-0846"/>
    <s v="OP128"/>
    <n v="839"/>
    <n v="791"/>
    <n v="724"/>
    <n v="67"/>
    <n v="19"/>
    <n v="27"/>
    <s v="Material Shortage"/>
    <n v="42"/>
    <n v="45"/>
    <n v="71.2"/>
    <n v="2.8"/>
    <n v="23.77"/>
    <n v="14211.48"/>
    <n v="9.1999999999999993"/>
    <s v="Pending"/>
    <n v="52"/>
    <n v="22609.66"/>
    <n v="0.91529709228824296"/>
    <n v="18565.41"/>
    <n v="341.36298356510702"/>
    <n v="587.29999999999995"/>
    <n v="0.95402690277541302"/>
    <n v="3702.88701643489"/>
    <n v="0.94278903456495833"/>
    <n v="8.4702907711757272E-2"/>
    <n v="2.402022756005057E-2"/>
    <n v="0.91529709228824274"/>
    <n v="0.45"/>
    <n v="560.29999999999995"/>
    <n v="1.4117437087274676"/>
    <n v="1.4285714285714286"/>
    <n v="0.9882205961092273"/>
    <n v="0.91529709228824274"/>
    <n v="0.86293206197854599"/>
    <n v="23.470809102402022"/>
    <n v="4.6812730928380404"/>
    <s v="Medium"/>
    <s v="Warning"/>
  </r>
  <r>
    <n v="847"/>
    <d v="2026-01-26T00:00:00"/>
    <x v="2"/>
    <s v="Plant A"/>
    <x v="3"/>
    <x v="8"/>
    <x v="0"/>
    <x v="2"/>
    <s v="B260126-0847"/>
    <s v="OP120"/>
    <n v="500"/>
    <n v="490"/>
    <n v="454"/>
    <n v="36"/>
    <n v="7"/>
    <n v="51"/>
    <s v="Machine Breakdown"/>
    <n v="64"/>
    <n v="69"/>
    <n v="75.400000000000006"/>
    <n v="1.81"/>
    <n v="22.54"/>
    <n v="14461.76"/>
    <n v="9.42"/>
    <s v="Pending"/>
    <n v="20"/>
    <n v="23445.18"/>
    <n v="0.92653061224489797"/>
    <n v="18903.62"/>
    <n v="206.596571428571"/>
    <n v="533.33333333333303"/>
    <n v="0.90437500000000004"/>
    <n v="4334.9634285714301"/>
    <n v="0.98"/>
    <n v="7.3469387755102047E-2"/>
    <n v="1.4285714285714285E-2"/>
    <n v="0.92653061224489797"/>
    <n v="0.85"/>
    <n v="482.33333333333303"/>
    <n v="1.0158949550794754"/>
    <n v="0.9375"/>
    <n v="1.0836212854181071"/>
    <n v="0.92653061224489797"/>
    <n v="0.90800000000000058"/>
    <n v="38.578816326530607"/>
    <n v="8.8468641399416938"/>
    <s v="Medium"/>
    <s v="Normal"/>
  </r>
  <r>
    <n v="848"/>
    <d v="2026-01-15T00:00:00"/>
    <x v="2"/>
    <s v="Plant A"/>
    <x v="3"/>
    <x v="8"/>
    <x v="2"/>
    <x v="0"/>
    <s v="B260115-0848"/>
    <s v="OP129"/>
    <n v="745"/>
    <n v="567"/>
    <n v="529"/>
    <n v="38"/>
    <n v="14"/>
    <n v="32"/>
    <s v="Machine Breakdown"/>
    <n v="42"/>
    <n v="43"/>
    <n v="80.400000000000006"/>
    <n v="1.77"/>
    <n v="20.78"/>
    <n v="10895.61"/>
    <n v="7.39"/>
    <s v="Overdue"/>
    <n v="42"/>
    <n v="16466.46"/>
    <n v="0.93298059964726598"/>
    <n v="14408.13"/>
    <n v="269.027407407407"/>
    <n v="521.5"/>
    <n v="0.93863854266538804"/>
    <n v="1789.3025925925899"/>
    <n v="0.76107382550335567"/>
    <n v="6.7019400352733682E-2"/>
    <n v="2.4691358024691357E-2"/>
    <n v="0.93298059964726632"/>
    <n v="0.53333333333333333"/>
    <n v="489.5"/>
    <n v="1.1583248212461696"/>
    <n v="1.4285714285714286"/>
    <n v="0.81082737487231871"/>
    <n v="0.93298059964726632"/>
    <n v="0.71006711409395962"/>
    <n v="25.411164021164019"/>
    <n v="3.1557364948722926"/>
    <s v="High"/>
    <s v="Critical"/>
  </r>
  <r>
    <n v="849"/>
    <d v="2026-01-27T00:00:00"/>
    <x v="2"/>
    <s v="Plant B"/>
    <x v="3"/>
    <x v="7"/>
    <x v="1"/>
    <x v="4"/>
    <s v="B260127-0849"/>
    <s v="OP104"/>
    <n v="704"/>
    <n v="642"/>
    <n v="618"/>
    <n v="24"/>
    <n v="6"/>
    <n v="39"/>
    <s v="Operator Issue"/>
    <n v="57"/>
    <n v="60"/>
    <n v="68"/>
    <n v="2.0099999999999998"/>
    <n v="23.34"/>
    <n v="17718.79"/>
    <n v="8.69"/>
    <s v="Completed"/>
    <n v="38"/>
    <n v="29148.86"/>
    <n v="0.96261682242990698"/>
    <n v="21839.35"/>
    <n v="165.59616822429899"/>
    <n v="668.8"/>
    <n v="0.94168660287081296"/>
    <n v="7143.9138317756997"/>
    <n v="0.91193181818181823"/>
    <n v="3.7383177570093455E-2"/>
    <n v="9.3457943925233638E-3"/>
    <n v="0.96261682242990654"/>
    <n v="0.65"/>
    <n v="629.79999999999995"/>
    <n v="1.0193712289615753"/>
    <n v="1.0526315789473684"/>
    <n v="0.96840266751349657"/>
    <n v="0.96261682242990654"/>
    <n v="0.87784090909090895"/>
    <n v="34.017679127725856"/>
    <n v="11.127591638279906"/>
    <s v="Medium"/>
    <s v="Normal"/>
  </r>
  <r>
    <n v="850"/>
    <d v="2026-05-23T00:00:00"/>
    <x v="3"/>
    <s v="Plant B"/>
    <x v="2"/>
    <x v="9"/>
    <x v="0"/>
    <x v="0"/>
    <s v="B260523-0850"/>
    <s v="OP130"/>
    <n v="748"/>
    <n v="802"/>
    <n v="772"/>
    <n v="30"/>
    <n v="10"/>
    <n v="0"/>
    <s v="No Downtime"/>
    <n v="42"/>
    <n v="41"/>
    <n v="79.5"/>
    <n v="2.17"/>
    <n v="32.630000000000003"/>
    <n v="15538.06"/>
    <n v="10.11"/>
    <s v="Overdue"/>
    <n v="25"/>
    <n v="24834.55"/>
    <n v="0.96259351620947597"/>
    <n v="20381.23"/>
    <n v="193.741396508728"/>
    <n v="523.6"/>
    <n v="1"/>
    <n v="4259.5786034912799"/>
    <n v="1.072192513368984"/>
    <n v="3.7406483790523692E-2"/>
    <n v="1.2468827930174564E-2"/>
    <n v="0.96259351620947631"/>
    <n v="0"/>
    <n v="523.6"/>
    <n v="1.5317035905271199"/>
    <n v="1.4285714285714286"/>
    <n v="1.0721925133689838"/>
    <n v="0.96259351620947631"/>
    <n v="1.0320855614973261"/>
    <n v="25.413004987531171"/>
    <n v="5.3111952661986033"/>
    <s v="High"/>
    <s v="Normal"/>
  </r>
  <r>
    <n v="851"/>
    <d v="2026-04-09T00:00:00"/>
    <x v="5"/>
    <s v="Plant B"/>
    <x v="1"/>
    <x v="2"/>
    <x v="1"/>
    <x v="4"/>
    <s v="B260409-0851"/>
    <s v="OP132"/>
    <n v="606"/>
    <n v="632"/>
    <n v="589"/>
    <n v="43"/>
    <n v="13"/>
    <n v="40"/>
    <s v="Tool Change"/>
    <n v="57"/>
    <n v="56"/>
    <n v="75.8"/>
    <n v="2.78"/>
    <n v="27.12"/>
    <n v="16691.16"/>
    <n v="8.39"/>
    <s v="Overdue"/>
    <n v="47"/>
    <n v="26596.81"/>
    <n v="0.931962025316456"/>
    <n v="20710.740000000002"/>
    <n v="343.33082278480998"/>
    <n v="575.70000000000005"/>
    <n v="0.93051936772624599"/>
    <n v="5542.7391772151896"/>
    <n v="1.0429042904290429"/>
    <n v="6.8037974683544306E-2"/>
    <n v="2.0569620253164556E-2"/>
    <n v="0.93196202531645567"/>
    <n v="0.66666666666666663"/>
    <n v="535.70000000000005"/>
    <n v="1.1797647937278326"/>
    <n v="1.0526315789473684"/>
    <n v="1.1207765540414409"/>
    <n v="0.93196202531645567"/>
    <n v="0.97194719471947144"/>
    <n v="32.770158227848107"/>
    <n v="8.7701569259734011"/>
    <s v="High"/>
    <s v="Normal"/>
  </r>
  <r>
    <n v="852"/>
    <d v="2026-02-04T00:00:00"/>
    <x v="4"/>
    <s v="Plant A"/>
    <x v="1"/>
    <x v="5"/>
    <x v="0"/>
    <x v="1"/>
    <s v="B260204-0852"/>
    <s v="OP126"/>
    <n v="699"/>
    <n v="811"/>
    <n v="785"/>
    <n v="26"/>
    <n v="8"/>
    <n v="0"/>
    <s v="No Downtime"/>
    <n v="45"/>
    <n v="46"/>
    <n v="68.7"/>
    <n v="2.4300000000000002"/>
    <n v="26.81"/>
    <n v="16989.88"/>
    <n v="8.61"/>
    <s v="Pending"/>
    <n v="26"/>
    <n v="26845.919999999998"/>
    <n v="0.96794081381011099"/>
    <n v="21105.67"/>
    <n v="167.59437731196101"/>
    <n v="524.25"/>
    <n v="1"/>
    <n v="5572.6556226880402"/>
    <n v="1.1602288984263234"/>
    <n v="3.2059186189889025E-2"/>
    <n v="9.8643649815043158E-3"/>
    <n v="0.96794081381011099"/>
    <n v="0"/>
    <n v="524.25"/>
    <n v="1.5469718645684312"/>
    <n v="1.3333333333333333"/>
    <n v="1.1602288984263234"/>
    <n v="0.96794081381011099"/>
    <n v="1.1230329041487841"/>
    <n v="26.024254007398273"/>
    <n v="6.8713386223033792"/>
    <s v="Medium"/>
    <s v="Normal"/>
  </r>
  <r>
    <n v="853"/>
    <d v="2026-05-28T00:00:00"/>
    <x v="3"/>
    <s v="Plant B"/>
    <x v="3"/>
    <x v="8"/>
    <x v="0"/>
    <x v="1"/>
    <s v="B260528-0853"/>
    <s v="OP127"/>
    <n v="832"/>
    <n v="791"/>
    <n v="734"/>
    <n v="57"/>
    <n v="22"/>
    <n v="23"/>
    <s v="Setup Time"/>
    <n v="45"/>
    <n v="45"/>
    <n v="82.5"/>
    <n v="2.72"/>
    <n v="25.34"/>
    <n v="16610.150000000001"/>
    <n v="9.0299999999999994"/>
    <s v="Pending"/>
    <n v="23"/>
    <n v="26253.69"/>
    <n v="0.92793931731984802"/>
    <n v="20901.71"/>
    <n v="461.97635903919098"/>
    <n v="624"/>
    <n v="0.96314102564102599"/>
    <n v="4890.0036409608101"/>
    <n v="0.95072115384615385"/>
    <n v="7.2060682680151714E-2"/>
    <n v="2.7812895069532238E-2"/>
    <n v="0.92793931731984824"/>
    <n v="0.38333333333333336"/>
    <n v="601"/>
    <n v="1.3161397670549084"/>
    <n v="1.3333333333333333"/>
    <n v="0.98710482529118138"/>
    <n v="0.92793931731984824"/>
    <n v="0.88221153846153877"/>
    <n v="26.424412136536031"/>
    <n v="6.1820526434397092"/>
    <s v="Medium"/>
    <s v="Warning"/>
  </r>
  <r>
    <n v="854"/>
    <d v="2026-05-28T00:00:00"/>
    <x v="3"/>
    <s v="Plant A"/>
    <x v="4"/>
    <x v="12"/>
    <x v="2"/>
    <x v="4"/>
    <s v="B260528-0854"/>
    <s v="OP115"/>
    <n v="526"/>
    <n v="355"/>
    <n v="310"/>
    <n v="45"/>
    <n v="12"/>
    <n v="25"/>
    <s v="Operator Issue"/>
    <n v="57"/>
    <n v="61"/>
    <n v="77.2"/>
    <n v="3"/>
    <n v="15.09"/>
    <n v="9631.4500000000007"/>
    <n v="5.51"/>
    <s v="Pending"/>
    <n v="27"/>
    <n v="14041.88"/>
    <n v="0.87323943661971803"/>
    <n v="12246.76"/>
    <n v="325.57014084507"/>
    <n v="499.7"/>
    <n v="0.94996998198919402"/>
    <n v="1469.5498591549299"/>
    <n v="0.67490494296577952"/>
    <n v="0.12676056338028169"/>
    <n v="3.3802816901408447E-2"/>
    <n v="0.87323943661971826"/>
    <n v="0.41666666666666669"/>
    <n v="474.7"/>
    <n v="0.74784074152096058"/>
    <n v="1.0526315789473684"/>
    <n v="0.71044870444491259"/>
    <n v="0.87323943661971826"/>
    <n v="0.58935361216730064"/>
    <n v="34.497915492957745"/>
    <n v="4.1395770680420556"/>
    <s v="High"/>
    <s v="Critical"/>
  </r>
  <r>
    <n v="855"/>
    <d v="2026-06-20T00:00:00"/>
    <x v="0"/>
    <s v="Plant B"/>
    <x v="3"/>
    <x v="7"/>
    <x v="1"/>
    <x v="0"/>
    <s v="B260620-0855"/>
    <s v="OP121"/>
    <n v="728"/>
    <n v="753"/>
    <n v="721"/>
    <n v="32"/>
    <n v="13"/>
    <n v="12"/>
    <s v="Tool Change"/>
    <n v="42"/>
    <n v="42"/>
    <n v="71.8"/>
    <n v="2.31"/>
    <n v="24.76"/>
    <n v="13657.95"/>
    <n v="9.99"/>
    <s v="Overdue"/>
    <n v="31"/>
    <n v="22533.73"/>
    <n v="0.957503320053121"/>
    <n v="18376.29"/>
    <n v="235.79462151394401"/>
    <n v="509.6"/>
    <n v="0.97645211930926201"/>
    <n v="3921.64537848605"/>
    <n v="1.0343406593406594"/>
    <n v="4.2496679946879147E-2"/>
    <n v="1.7264276228419653E-2"/>
    <n v="0.95750332005312089"/>
    <n v="0.2"/>
    <n v="497.6"/>
    <n v="1.5132636655948553"/>
    <n v="1.4285714285714286"/>
    <n v="1.0592845659163987"/>
    <n v="0.95750332005312089"/>
    <n v="0.99038461538461531"/>
    <n v="24.404103585657371"/>
    <n v="5.2080283910837322"/>
    <s v="High"/>
    <s v="Normal"/>
  </r>
  <r>
    <n v="856"/>
    <d v="2026-05-20T00:00:00"/>
    <x v="3"/>
    <s v="Plant A"/>
    <x v="1"/>
    <x v="2"/>
    <x v="0"/>
    <x v="0"/>
    <s v="B260520-0856"/>
    <s v="OP115"/>
    <n v="910"/>
    <n v="997"/>
    <n v="948"/>
    <n v="49"/>
    <n v="18"/>
    <n v="13"/>
    <s v="Material Shortage"/>
    <n v="42"/>
    <n v="41"/>
    <n v="76.3"/>
    <n v="1.54"/>
    <n v="34.479999999999997"/>
    <n v="18186.32"/>
    <n v="8.44"/>
    <s v="Scheduled"/>
    <n v="9"/>
    <n v="30217.93"/>
    <n v="0.95085255767301902"/>
    <n v="22294.639999999999"/>
    <n v="328.33877632898702"/>
    <n v="637"/>
    <n v="0.97959183673469397"/>
    <n v="7594.9512236710098"/>
    <n v="1.0956043956043957"/>
    <n v="4.9147442326980942E-2"/>
    <n v="1.8054162487462388E-2"/>
    <n v="0.95085255767301902"/>
    <n v="0.21666666666666667"/>
    <n v="624"/>
    <n v="1.5977564102564104"/>
    <n v="1.4285714285714286"/>
    <n v="1.1184294871794873"/>
    <n v="0.95085255767301902"/>
    <n v="1.0417582417582421"/>
    <n v="22.36172517552658"/>
    <n v="7.6178046375837614"/>
    <s v="Low"/>
    <s v="Normal"/>
  </r>
  <r>
    <n v="857"/>
    <d v="2026-04-05T00:00:00"/>
    <x v="5"/>
    <s v="Plant B"/>
    <x v="1"/>
    <x v="2"/>
    <x v="1"/>
    <x v="0"/>
    <s v="B260405-0857"/>
    <s v="OP105"/>
    <n v="946"/>
    <n v="861"/>
    <n v="820"/>
    <n v="41"/>
    <n v="10"/>
    <n v="22"/>
    <s v="Tool Change"/>
    <n v="42"/>
    <n v="41"/>
    <n v="74.599999999999994"/>
    <n v="1.73"/>
    <n v="32.369999999999997"/>
    <n v="15159.54"/>
    <n v="7.51"/>
    <s v="Overdue"/>
    <n v="19"/>
    <n v="26287.35"/>
    <n v="0.952380952380952"/>
    <n v="18830.37"/>
    <n v="176.068989547038"/>
    <n v="662.2"/>
    <n v="0.96677740863787398"/>
    <n v="7280.91101045296"/>
    <n v="0.91014799154334036"/>
    <n v="4.7619047619047616E-2"/>
    <n v="1.1614401858304297E-2"/>
    <n v="0.95238095238095233"/>
    <n v="0.36666666666666664"/>
    <n v="640.20000000000005"/>
    <n v="1.3448922211808809"/>
    <n v="1.4285714285714286"/>
    <n v="0.94142455482661658"/>
    <n v="0.95238095238095233"/>
    <n v="0.86680761099365755"/>
    <n v="21.870348432055749"/>
    <n v="8.4563426369953074"/>
    <s v="High"/>
    <s v="Normal"/>
  </r>
  <r>
    <n v="858"/>
    <d v="2026-02-17T00:00:00"/>
    <x v="4"/>
    <s v="Plant B"/>
    <x v="4"/>
    <x v="14"/>
    <x v="2"/>
    <x v="4"/>
    <s v="B260217-0858"/>
    <s v="OP121"/>
    <n v="700"/>
    <n v="573"/>
    <n v="520"/>
    <n v="53"/>
    <n v="22"/>
    <n v="26"/>
    <s v="Tool Change"/>
    <n v="57"/>
    <n v="59"/>
    <n v="72.599999999999994"/>
    <n v="1.68"/>
    <n v="23.8"/>
    <n v="15788.12"/>
    <n v="6.7"/>
    <s v="Completed"/>
    <n v="11"/>
    <n v="23800.33"/>
    <n v="0.90750436300174497"/>
    <n v="19017.32"/>
    <n v="606.17563699825496"/>
    <n v="665"/>
    <n v="0.96090225563909804"/>
    <n v="4176.8343630017398"/>
    <n v="0.81857142857142862"/>
    <n v="9.2495636998254804E-2"/>
    <n v="3.8394415357766144E-2"/>
    <n v="0.9075043630017452"/>
    <n v="0.43333333333333335"/>
    <n v="639"/>
    <n v="0.89671361502347413"/>
    <n v="1.0526315789473684"/>
    <n v="0.85187793427230052"/>
    <n v="0.9075043630017452"/>
    <n v="0.7428571428571431"/>
    <n v="33.189040139616054"/>
    <n v="7.2894142460763351"/>
    <s v="High"/>
    <s v="Critical"/>
  </r>
  <r>
    <n v="859"/>
    <d v="2026-03-06T00:00:00"/>
    <x v="1"/>
    <s v="Plant A"/>
    <x v="0"/>
    <x v="1"/>
    <x v="1"/>
    <x v="3"/>
    <s v="B260306-0859"/>
    <s v="OP114"/>
    <n v="693"/>
    <n v="629"/>
    <n v="599"/>
    <n v="30"/>
    <n v="10"/>
    <n v="44"/>
    <s v="Machine Breakdown"/>
    <n v="49"/>
    <n v="49"/>
    <n v="60"/>
    <n v="1.69"/>
    <n v="21.86"/>
    <n v="14206.7"/>
    <n v="9.0399999999999991"/>
    <s v="Overdue"/>
    <n v="44"/>
    <n v="22634.22"/>
    <n v="0.95230524642289405"/>
    <n v="18471.439999999999"/>
    <n v="225.86168521462599"/>
    <n v="565.95000000000005"/>
    <n v="0.92225461613216697"/>
    <n v="3936.9183147853701"/>
    <n v="0.90764790764790759"/>
    <n v="4.7694753577106522E-2"/>
    <n v="1.5898251192368838E-2"/>
    <n v="0.95230524642289349"/>
    <n v="0.73333333333333328"/>
    <n v="521.95000000000005"/>
    <n v="1.2050962735894242"/>
    <n v="1.2244897959183674"/>
    <n v="0.98416195676469642"/>
    <n v="0.95230524642289349"/>
    <n v="0.8643578643578641"/>
    <n v="29.366359300476944"/>
    <n v="6.2590116292295228"/>
    <s v="High"/>
    <s v="Normal"/>
  </r>
  <r>
    <n v="860"/>
    <d v="2026-06-21T00:00:00"/>
    <x v="0"/>
    <s v="Plant A"/>
    <x v="4"/>
    <x v="12"/>
    <x v="2"/>
    <x v="4"/>
    <s v="B260621-0860"/>
    <s v="OP126"/>
    <n v="671"/>
    <n v="546"/>
    <n v="483"/>
    <n v="63"/>
    <n v="14"/>
    <n v="48"/>
    <s v="Machine Breakdown"/>
    <n v="57"/>
    <n v="59"/>
    <n v="81.5"/>
    <n v="2.56"/>
    <n v="20.100000000000001"/>
    <n v="15744.38"/>
    <n v="7.46"/>
    <s v="Pending"/>
    <n v="41"/>
    <n v="22819.95"/>
    <n v="0.88461538461538503"/>
    <n v="19282.28"/>
    <n v="403.702051282051"/>
    <n v="637.45000000000005"/>
    <n v="0.92469997646874302"/>
    <n v="3133.9679487179501"/>
    <n v="0.8137108792846498"/>
    <n v="0.11538461538461539"/>
    <n v="2.564102564102564E-2"/>
    <n v="0.88461538461538458"/>
    <n v="0.8"/>
    <n v="589.45000000000005"/>
    <n v="0.92628721689710736"/>
    <n v="1.0526315789473684"/>
    <n v="0.87997285605225206"/>
    <n v="0.88461538461538458"/>
    <n v="0.71982116244411343"/>
    <n v="35.315531135531131"/>
    <n v="5.7398680379449631"/>
    <s v="High"/>
    <s v="Critical"/>
  </r>
  <r>
    <n v="861"/>
    <d v="2026-01-03T00:00:00"/>
    <x v="2"/>
    <s v="Plant B"/>
    <x v="3"/>
    <x v="11"/>
    <x v="1"/>
    <x v="3"/>
    <s v="B260103-0861"/>
    <s v="OP129"/>
    <n v="649"/>
    <n v="611"/>
    <n v="562"/>
    <n v="49"/>
    <n v="15"/>
    <n v="23"/>
    <s v="Material Shortage"/>
    <n v="49"/>
    <n v="49"/>
    <n v="72.8"/>
    <n v="2.08"/>
    <n v="19.25"/>
    <n v="12974.31"/>
    <n v="8.0299999999999994"/>
    <s v="Scheduled"/>
    <n v="1"/>
    <n v="21298.9"/>
    <n v="0.91980360065466504"/>
    <n v="16761.060000000001"/>
    <n v="318.51824877250402"/>
    <n v="530.01666666666699"/>
    <n v="0.95660513820320103"/>
    <n v="4219.3217512274996"/>
    <n v="0.94144838212634818"/>
    <n v="8.0196399345335512E-2"/>
    <n v="2.4549918166939442E-2"/>
    <n v="0.91980360065466449"/>
    <n v="0.38333333333333336"/>
    <n v="507.01666666666699"/>
    <n v="1.2050885901186672"/>
    <n v="1.2244897959183674"/>
    <n v="0.98415568193024483"/>
    <n v="0.91980360065466449"/>
    <n v="0.86594761171032286"/>
    <n v="27.432176759410805"/>
    <n v="6.9056002475081826"/>
    <s v="Medium"/>
    <s v="Warning"/>
  </r>
  <r>
    <n v="862"/>
    <d v="2026-02-22T00:00:00"/>
    <x v="4"/>
    <s v="Plant A"/>
    <x v="0"/>
    <x v="0"/>
    <x v="0"/>
    <x v="2"/>
    <s v="B260222-0862"/>
    <s v="OP110"/>
    <n v="573"/>
    <n v="483"/>
    <n v="453"/>
    <n v="30"/>
    <n v="6"/>
    <n v="23"/>
    <s v="Operator Issue"/>
    <n v="64"/>
    <n v="67"/>
    <n v="65.2"/>
    <n v="2.09"/>
    <n v="16.079999999999998"/>
    <n v="14357.82"/>
    <n v="8.5299999999999994"/>
    <s v="Scheduled"/>
    <n v="21"/>
    <n v="23257.71"/>
    <n v="0.93788819875776397"/>
    <n v="18341.04"/>
    <n v="178.35801242235999"/>
    <n v="611.20000000000005"/>
    <n v="0.96236910994764402"/>
    <n v="4738.3119875776401"/>
    <n v="0.84293193717277481"/>
    <n v="6.2111801242236024E-2"/>
    <n v="1.2422360248447204E-2"/>
    <n v="0.93788819875776397"/>
    <n v="0.38333333333333336"/>
    <n v="588.20000000000005"/>
    <n v="0.82114926895613727"/>
    <n v="0.9375"/>
    <n v="0.87589255355321305"/>
    <n v="0.93788819875776397"/>
    <n v="0.79057591623036638"/>
    <n v="37.973167701863353"/>
    <n v="9.8101697465375572"/>
    <s v="High"/>
    <s v="Warning"/>
  </r>
  <r>
    <n v="863"/>
    <d v="2026-05-22T00:00:00"/>
    <x v="3"/>
    <s v="Plant B"/>
    <x v="2"/>
    <x v="9"/>
    <x v="0"/>
    <x v="3"/>
    <s v="B260522-0863"/>
    <s v="OP107"/>
    <n v="837"/>
    <n v="913"/>
    <n v="858"/>
    <n v="55"/>
    <n v="10"/>
    <n v="28"/>
    <s v="Operator Issue"/>
    <n v="49"/>
    <n v="48"/>
    <n v="67.099999999999994"/>
    <n v="3.35"/>
    <n v="39.369999999999997"/>
    <n v="19325.27"/>
    <n v="9.2799999999999994"/>
    <s v="Scheduled"/>
    <n v="39"/>
    <n v="31777.360000000001"/>
    <n v="0.93975903614457801"/>
    <n v="23855.599999999999"/>
    <n v="211.66779846659401"/>
    <n v="683.55"/>
    <n v="0.95903737839221703"/>
    <n v="7710.0922015333999"/>
    <n v="1.090800477897252"/>
    <n v="6.0240963855421686E-2"/>
    <n v="1.0952902519167579E-2"/>
    <n v="0.93975903614457834"/>
    <n v="0.46666666666666667"/>
    <n v="655.55"/>
    <n v="1.3927236671497216"/>
    <n v="1.2244897959183674"/>
    <n v="1.1373909948389394"/>
    <n v="0.93975903614457834"/>
    <n v="1.0250896057347669"/>
    <n v="26.12880613362541"/>
    <n v="8.4447888297189486"/>
    <s v="Medium"/>
    <s v="Warning"/>
  </r>
  <r>
    <n v="864"/>
    <d v="2026-04-19T00:00:00"/>
    <x v="5"/>
    <s v="Plant A"/>
    <x v="0"/>
    <x v="1"/>
    <x v="1"/>
    <x v="2"/>
    <s v="B260419-0864"/>
    <s v="OP102"/>
    <n v="685"/>
    <n v="611"/>
    <n v="578"/>
    <n v="33"/>
    <n v="6"/>
    <n v="37"/>
    <s v="Machine Breakdown"/>
    <n v="64"/>
    <n v="69"/>
    <n v="76.400000000000006"/>
    <n v="2.17"/>
    <n v="23.35"/>
    <n v="18743.87"/>
    <n v="7.77"/>
    <s v="Completed"/>
    <n v="22"/>
    <n v="29658.65"/>
    <n v="0.94599018003273305"/>
    <n v="22450.52"/>
    <n v="184.0641898527"/>
    <n v="730.66666666666697"/>
    <n v="0.949361313868613"/>
    <n v="7024.0658101473"/>
    <n v="0.89197080291970798"/>
    <n v="5.4009819967266774E-2"/>
    <n v="9.8199672667757774E-3"/>
    <n v="0.94599018003273327"/>
    <n v="0.6166666666666667"/>
    <n v="693.66666666666697"/>
    <n v="0.8808265257087935"/>
    <n v="0.9375"/>
    <n v="0.93954829408937968"/>
    <n v="0.94599018003273327"/>
    <n v="0.84379562043795575"/>
    <n v="36.743895253682489"/>
    <n v="11.496016055887562"/>
    <s v="Medium"/>
    <s v="Warning"/>
  </r>
  <r>
    <n v="865"/>
    <d v="2026-05-28T00:00:00"/>
    <x v="3"/>
    <s v="Plant A"/>
    <x v="0"/>
    <x v="1"/>
    <x v="0"/>
    <x v="3"/>
    <s v="B260528-0865"/>
    <s v="OP129"/>
    <n v="841"/>
    <n v="911"/>
    <n v="855"/>
    <n v="56"/>
    <n v="18"/>
    <n v="20"/>
    <s v="Machine Breakdown"/>
    <n v="49"/>
    <n v="51"/>
    <n v="63.6"/>
    <n v="2"/>
    <n v="34.25"/>
    <n v="19621.240000000002"/>
    <n v="10.3"/>
    <s v="Completed"/>
    <n v="25"/>
    <n v="32694.12"/>
    <n v="0.93852908891328202"/>
    <n v="24564.49"/>
    <n v="387.68641053787098"/>
    <n v="686.81666666666695"/>
    <n v="0.97088014754058605"/>
    <n v="7741.9435894621301"/>
    <n v="1.0832342449464922"/>
    <n v="6.1470911086717893E-2"/>
    <n v="1.9758507135016465E-2"/>
    <n v="0.93852908891328213"/>
    <n v="0.33333333333333331"/>
    <n v="666.81666666666695"/>
    <n v="1.3661926066635002"/>
    <n v="1.2244897959183674"/>
    <n v="1.1157239621085251"/>
    <n v="0.93852908891328213"/>
    <n v="1.0166468489892981"/>
    <n v="26.96431394072448"/>
    <n v="8.4982915361823608"/>
    <s v="Low"/>
    <s v="Normal"/>
  </r>
  <r>
    <n v="866"/>
    <d v="2026-02-02T00:00:00"/>
    <x v="4"/>
    <s v="Plant B"/>
    <x v="3"/>
    <x v="7"/>
    <x v="0"/>
    <x v="2"/>
    <s v="B260202-0866"/>
    <s v="OP111"/>
    <n v="679"/>
    <n v="640"/>
    <n v="612"/>
    <n v="28"/>
    <n v="11"/>
    <n v="25"/>
    <s v="Preventive Maintenance"/>
    <n v="64"/>
    <n v="64"/>
    <n v="73.3"/>
    <n v="1.23"/>
    <n v="25.23"/>
    <n v="20187.32"/>
    <n v="9.35"/>
    <s v="Scheduled"/>
    <n v="27"/>
    <n v="31186.639999999999"/>
    <n v="0.95625000000000004"/>
    <n v="24621.89"/>
    <n v="346.96956249999999"/>
    <n v="724.26666666666699"/>
    <n v="0.96548232695139902"/>
    <n v="6217.7804374999996"/>
    <n v="0.94256259204712811"/>
    <n v="4.3749999999999997E-2"/>
    <n v="1.7187500000000001E-2"/>
    <n v="0.95625000000000004"/>
    <n v="0.41666666666666669"/>
    <n v="699.26666666666699"/>
    <n v="0.91524454190103877"/>
    <n v="0.9375"/>
    <n v="0.9762608446944413"/>
    <n v="0.95625000000000004"/>
    <n v="0.90132547864506574"/>
    <n v="38.471703124999998"/>
    <n v="9.715281933593749"/>
    <s v="Low"/>
    <s v="Normal"/>
  </r>
  <r>
    <n v="867"/>
    <d v="2026-06-14T00:00:00"/>
    <x v="0"/>
    <s v="Plant B"/>
    <x v="4"/>
    <x v="14"/>
    <x v="1"/>
    <x v="3"/>
    <s v="B260614-0867"/>
    <s v="OP124"/>
    <n v="631"/>
    <n v="516"/>
    <n v="463"/>
    <n v="53"/>
    <n v="18"/>
    <n v="36"/>
    <s v="Power Failure"/>
    <n v="49"/>
    <n v="53"/>
    <n v="81.2"/>
    <n v="2.2599999999999998"/>
    <n v="22.71"/>
    <n v="11818.44"/>
    <n v="6.35"/>
    <s v="Completed"/>
    <n v="47"/>
    <n v="17262.71"/>
    <n v="0.89728682170542595"/>
    <n v="14880.33"/>
    <n v="412.27116279069799"/>
    <n v="515.31666666666695"/>
    <n v="0.93014004333904698"/>
    <n v="1970.1088372093"/>
    <n v="0.81774960380348649"/>
    <n v="0.10271317829457365"/>
    <n v="3.4883720930232558E-2"/>
    <n v="0.8972868217054264"/>
    <n v="0.6"/>
    <n v="479.31666666666695"/>
    <n v="1.0765325637191829"/>
    <n v="1.2244897959183674"/>
    <n v="0.87916826037066609"/>
    <n v="0.8972868217054264"/>
    <n v="0.73375594294770152"/>
    <n v="28.837848837209304"/>
    <n v="3.818040382188566"/>
    <s v="High"/>
    <s v="Critical"/>
  </r>
  <r>
    <n v="868"/>
    <d v="2026-01-20T00:00:00"/>
    <x v="2"/>
    <s v="Plant B"/>
    <x v="4"/>
    <x v="14"/>
    <x v="1"/>
    <x v="3"/>
    <s v="B260120-0868"/>
    <s v="OP135"/>
    <n v="637"/>
    <n v="582"/>
    <n v="532"/>
    <n v="50"/>
    <n v="10"/>
    <n v="31"/>
    <s v="Setup Time"/>
    <n v="49"/>
    <n v="49"/>
    <n v="77.8"/>
    <n v="3.13"/>
    <n v="19.010000000000002"/>
    <n v="13037.51"/>
    <n v="7.58"/>
    <s v="Overdue"/>
    <n v="33"/>
    <n v="19681.55"/>
    <n v="0.91408934707903799"/>
    <n v="16619.599999999999"/>
    <n v="224.01219931271501"/>
    <n v="520.21666666666704"/>
    <n v="0.94040944478262301"/>
    <n v="2837.9378006872798"/>
    <n v="0.91365777080062793"/>
    <n v="8.5910652920962199E-2"/>
    <n v="1.7182130584192441E-2"/>
    <n v="0.91408934707903777"/>
    <n v="0.51666666666666672"/>
    <n v="489.21666666666704"/>
    <n v="1.1896569345552406"/>
    <n v="1.2244897959183674"/>
    <n v="0.97155316322011309"/>
    <n v="0.91408934707903777"/>
    <n v="0.83516483516483497"/>
    <n v="28.556013745704465"/>
    <n v="4.8761817881224738"/>
    <s v="High"/>
    <s v="Warning"/>
  </r>
  <r>
    <n v="869"/>
    <d v="2026-06-08T00:00:00"/>
    <x v="0"/>
    <s v="Plant A"/>
    <x v="4"/>
    <x v="13"/>
    <x v="0"/>
    <x v="1"/>
    <s v="B260608-0869"/>
    <s v="OP103"/>
    <n v="795"/>
    <n v="812"/>
    <n v="762"/>
    <n v="50"/>
    <n v="13"/>
    <n v="7"/>
    <s v="Operator Issue"/>
    <n v="45"/>
    <n v="45"/>
    <n v="65.2"/>
    <n v="2.08"/>
    <n v="25.84"/>
    <n v="16829.96"/>
    <n v="7.8"/>
    <s v="Scheduled"/>
    <n v="4"/>
    <n v="25912.55"/>
    <n v="0.93842364532019695"/>
    <n v="20572.52"/>
    <n v="269.44517241379299"/>
    <n v="596.25"/>
    <n v="0.98825995807127898"/>
    <n v="5070.5848275862099"/>
    <n v="1.0213836477987421"/>
    <n v="6.1576354679802957E-2"/>
    <n v="1.600985221674877E-2"/>
    <n v="0.93842364532019706"/>
    <n v="0.11666666666666667"/>
    <n v="589.25"/>
    <n v="1.378022910479423"/>
    <n v="1.3333333333333333"/>
    <n v="1.0335171828595673"/>
    <n v="0.93842364532019706"/>
    <n v="0.95849056603773608"/>
    <n v="25.335615763546798"/>
    <n v="6.2445625955495192"/>
    <s v="Low"/>
    <s v="Normal"/>
  </r>
  <r>
    <n v="870"/>
    <d v="2026-05-25T00:00:00"/>
    <x v="3"/>
    <s v="Plant A"/>
    <x v="0"/>
    <x v="3"/>
    <x v="2"/>
    <x v="1"/>
    <s v="B260525-0870"/>
    <s v="OP118"/>
    <n v="726"/>
    <n v="617"/>
    <n v="586"/>
    <n v="31"/>
    <n v="10"/>
    <n v="0"/>
    <s v="No Downtime"/>
    <n v="45"/>
    <n v="47"/>
    <n v="68.5"/>
    <n v="1.81"/>
    <n v="18.350000000000001"/>
    <n v="12106.1"/>
    <n v="8.83"/>
    <s v="Completed"/>
    <n v="14"/>
    <n v="19987.310000000001"/>
    <n v="0.94975688816855797"/>
    <n v="16244.75"/>
    <n v="196.20907617504099"/>
    <n v="544.5"/>
    <n v="1"/>
    <n v="3546.3509238249599"/>
    <n v="0.84986225895316803"/>
    <n v="5.0243111831442464E-2"/>
    <n v="1.6207455429497569E-2"/>
    <n v="0.94975688816855752"/>
    <n v="0"/>
    <n v="544.5"/>
    <n v="1.1331496786042241"/>
    <n v="1.3333333333333333"/>
    <n v="0.84986225895316814"/>
    <n v="0.94975688816855752"/>
    <n v="0.80716253443526176"/>
    <n v="26.328606158833065"/>
    <n v="5.7477324535250567"/>
    <s v="Medium"/>
    <s v="Warning"/>
  </r>
  <r>
    <n v="871"/>
    <d v="2026-04-28T00:00:00"/>
    <x v="5"/>
    <s v="Plant B"/>
    <x v="2"/>
    <x v="10"/>
    <x v="0"/>
    <x v="0"/>
    <s v="B260428-0871"/>
    <s v="OP101"/>
    <n v="916"/>
    <n v="830"/>
    <n v="752"/>
    <n v="78"/>
    <n v="27"/>
    <n v="13"/>
    <s v="Machine Breakdown"/>
    <n v="42"/>
    <n v="45"/>
    <n v="65.8"/>
    <n v="1.9"/>
    <n v="24.97"/>
    <n v="15765.07"/>
    <n v="6.91"/>
    <s v="Scheduled"/>
    <n v="25"/>
    <n v="24714.87"/>
    <n v="0.90602409638554204"/>
    <n v="19099.3"/>
    <n v="512.83962650602405"/>
    <n v="641.20000000000005"/>
    <n v="0.97972551466001301"/>
    <n v="5102.7303734939796"/>
    <n v="0.90611353711790388"/>
    <n v="9.3975903614457831E-2"/>
    <n v="3.2530120481927709E-2"/>
    <n v="0.90602409638554215"/>
    <n v="0.21666666666666667"/>
    <n v="628.20000000000005"/>
    <n v="1.3212352753900032"/>
    <n v="1.4285714285714286"/>
    <n v="0.92486469277300221"/>
    <n v="0.90602409638554215"/>
    <n v="0.8209606986899568"/>
    <n v="23.011204819277108"/>
    <n v="6.1478679198722643"/>
    <s v="Medium"/>
    <s v="Warning"/>
  </r>
  <r>
    <n v="872"/>
    <d v="2026-05-02T00:00:00"/>
    <x v="3"/>
    <s v="Plant B"/>
    <x v="3"/>
    <x v="11"/>
    <x v="2"/>
    <x v="4"/>
    <s v="B260502-0872"/>
    <s v="OP126"/>
    <n v="584"/>
    <n v="332"/>
    <n v="304"/>
    <n v="28"/>
    <n v="6"/>
    <n v="169"/>
    <s v="Power Failure"/>
    <n v="57"/>
    <n v="60"/>
    <n v="72.099999999999994"/>
    <n v="2"/>
    <n v="22.02"/>
    <n v="8876.4599999999991"/>
    <n v="5.73"/>
    <s v="Completed"/>
    <n v="20"/>
    <n v="13724.78"/>
    <n v="0.91566265060241003"/>
    <n v="11653.14"/>
    <n v="160.417951807229"/>
    <n v="554.79999999999995"/>
    <n v="0.69538572458543602"/>
    <n v="1911.22204819277"/>
    <n v="0.56849315068493156"/>
    <n v="8.4337349397590355E-2"/>
    <n v="1.8072289156626505E-2"/>
    <n v="0.91566265060240959"/>
    <n v="2.8166666666666669"/>
    <n v="385.79999999999995"/>
    <n v="0.86054950751684822"/>
    <n v="1.0526315789473684"/>
    <n v="0.81752203214100583"/>
    <n v="0.91566265060240959"/>
    <n v="0.52054794520547942"/>
    <n v="35.099819277108431"/>
    <n v="5.7566929162432832"/>
    <s v="High"/>
    <s v="Critical"/>
  </r>
  <r>
    <n v="873"/>
    <d v="2026-06-30T00:00:00"/>
    <x v="0"/>
    <s v="Plant A"/>
    <x v="0"/>
    <x v="1"/>
    <x v="1"/>
    <x v="2"/>
    <s v="B260630-0873"/>
    <s v="OP123"/>
    <n v="452"/>
    <n v="420"/>
    <n v="394"/>
    <n v="26"/>
    <n v="10"/>
    <n v="47"/>
    <s v="Machine Breakdown"/>
    <n v="64"/>
    <n v="67"/>
    <n v="74.3"/>
    <n v="2.37"/>
    <n v="16.18"/>
    <n v="12967.09"/>
    <n v="9.68"/>
    <s v="Scheduled"/>
    <n v="21"/>
    <n v="20784.560000000001"/>
    <n v="0.93809523809523798"/>
    <n v="17468.71"/>
    <n v="308.740238095238"/>
    <n v="482.13333333333298"/>
    <n v="0.90251659292035402"/>
    <n v="3007.10976190476"/>
    <n v="0.92920353982300885"/>
    <n v="6.1904761904761907E-2"/>
    <n v="2.3809523809523808E-2"/>
    <n v="0.93809523809523809"/>
    <n v="0.78333333333333333"/>
    <n v="435.13333333333298"/>
    <n v="0.96522138808028268"/>
    <n v="0.9375"/>
    <n v="1.0295694806189681"/>
    <n v="0.93809523809523809"/>
    <n v="0.87168141592920423"/>
    <n v="41.592166666666664"/>
    <n v="7.1597851473922862"/>
    <s v="Low"/>
    <s v="Normal"/>
  </r>
  <r>
    <n v="874"/>
    <d v="2026-02-03T00:00:00"/>
    <x v="4"/>
    <s v="Plant A"/>
    <x v="0"/>
    <x v="0"/>
    <x v="1"/>
    <x v="1"/>
    <s v="B260203-0874"/>
    <s v="OP117"/>
    <n v="844"/>
    <n v="849"/>
    <n v="811"/>
    <n v="38"/>
    <n v="7"/>
    <n v="13"/>
    <s v="Machine Breakdown"/>
    <n v="45"/>
    <n v="49"/>
    <n v="80.599999999999994"/>
    <n v="2.09"/>
    <n v="29.86"/>
    <n v="17560.27"/>
    <n v="10.43"/>
    <s v="Pending"/>
    <n v="11"/>
    <n v="28823.64"/>
    <n v="0.95524146054181402"/>
    <n v="22522.51"/>
    <n v="144.784322732627"/>
    <n v="633"/>
    <n v="0.97946287519747199"/>
    <n v="6156.3456772673699"/>
    <n v="1.0059241706161137"/>
    <n v="4.47585394581861E-2"/>
    <n v="8.2449941107184919E-3"/>
    <n v="0.95524146054181391"/>
    <n v="0.21666666666666667"/>
    <n v="620"/>
    <n v="1.3693548387096774"/>
    <n v="1.3333333333333333"/>
    <n v="1.0270161290322581"/>
    <n v="0.95524146054181391"/>
    <n v="0.96090047393364908"/>
    <n v="26.528280329799763"/>
    <n v="7.2512905503738159"/>
    <s v="Medium"/>
    <s v="Warning"/>
  </r>
  <r>
    <n v="875"/>
    <d v="2026-05-31T00:00:00"/>
    <x v="3"/>
    <s v="Plant B"/>
    <x v="4"/>
    <x v="14"/>
    <x v="0"/>
    <x v="4"/>
    <s v="B260531-0875"/>
    <s v="OP104"/>
    <n v="562"/>
    <n v="521"/>
    <n v="474"/>
    <n v="47"/>
    <n v="17"/>
    <n v="0"/>
    <s v="No Downtime"/>
    <n v="57"/>
    <n v="62"/>
    <n v="82.2"/>
    <n v="1.86"/>
    <n v="18.18"/>
    <n v="14398.83"/>
    <n v="9.65"/>
    <s v="Completed"/>
    <n v="20"/>
    <n v="21721.9"/>
    <n v="0.90978886756237998"/>
    <n v="18904.95"/>
    <n v="469.82746641074903"/>
    <n v="533.9"/>
    <n v="1"/>
    <n v="2347.12253358925"/>
    <n v="0.92704626334519569"/>
    <n v="9.0211132437619967E-2"/>
    <n v="3.2629558541266791E-2"/>
    <n v="0.90978886756238009"/>
    <n v="0"/>
    <n v="533.9"/>
    <n v="0.97583817194231137"/>
    <n v="1.0526315789473684"/>
    <n v="0.92704626334519591"/>
    <n v="0.90978886756238009"/>
    <n v="0.84341637010676174"/>
    <n v="36.285892514395393"/>
    <n v="4.5050336537221689"/>
    <s v="Medium"/>
    <s v="Warning"/>
  </r>
  <r>
    <n v="876"/>
    <d v="2026-05-03T00:00:00"/>
    <x v="3"/>
    <s v="Plant A"/>
    <x v="1"/>
    <x v="5"/>
    <x v="0"/>
    <x v="4"/>
    <s v="B260503-0876"/>
    <s v="OP126"/>
    <n v="643"/>
    <n v="623"/>
    <n v="599"/>
    <n v="24"/>
    <n v="5"/>
    <n v="15"/>
    <s v="Material Shortage"/>
    <n v="57"/>
    <n v="56"/>
    <n v="73.900000000000006"/>
    <n v="1.1299999999999999"/>
    <n v="22.81"/>
    <n v="16431.490000000002"/>
    <n v="7.56"/>
    <s v="Scheduled"/>
    <n v="36"/>
    <n v="27975.55"/>
    <n v="0.96147672552166896"/>
    <n v="20038.78"/>
    <n v="131.87391653290501"/>
    <n v="610.85"/>
    <n v="0.97544405336825701"/>
    <n v="7804.8960834670897"/>
    <n v="0.96889580093312599"/>
    <n v="3.8523274478330656E-2"/>
    <n v="8.0256821829855531E-3"/>
    <n v="0.9614767255216693"/>
    <n v="0.25"/>
    <n v="595.85"/>
    <n v="1.0455651590165309"/>
    <n v="1.0526315789473684"/>
    <n v="0.99328690106570439"/>
    <n v="0.9614767255216693"/>
    <n v="0.9315707620528767"/>
    <n v="32.164975922953452"/>
    <n v="12.52792308742711"/>
    <s v="Medium"/>
    <s v="Normal"/>
  </r>
  <r>
    <n v="877"/>
    <d v="2026-05-17T00:00:00"/>
    <x v="3"/>
    <s v="Plant A"/>
    <x v="4"/>
    <x v="12"/>
    <x v="2"/>
    <x v="2"/>
    <s v="B260517-0877"/>
    <s v="OP126"/>
    <n v="493"/>
    <n v="403"/>
    <n v="334"/>
    <n v="69"/>
    <n v="13"/>
    <n v="46"/>
    <s v="Tool Change"/>
    <n v="64"/>
    <n v="68"/>
    <n v="79"/>
    <n v="4.3899999999999997"/>
    <n v="15"/>
    <n v="12369.33"/>
    <n v="6.34"/>
    <s v="Overdue"/>
    <n v="59"/>
    <n v="16888.39"/>
    <n v="0.82878411910670002"/>
    <n v="15357.33"/>
    <n v="399.01064516128997"/>
    <n v="525.86666666666702"/>
    <n v="0.91252535496957399"/>
    <n v="1132.0493548387101"/>
    <n v="0.81744421906693709"/>
    <n v="0.17121588089330025"/>
    <n v="3.2258064516129031E-2"/>
    <n v="0.8287841191066998"/>
    <n v="0.76666666666666672"/>
    <n v="479.86666666666702"/>
    <n v="0.83981661572659005"/>
    <n v="0.9375"/>
    <n v="0.89580439010836277"/>
    <n v="0.8287841191066998"/>
    <n v="0.6774847870182551"/>
    <n v="38.107518610421835"/>
    <n v="2.8090554710637967"/>
    <s v="High"/>
    <s v="Critical"/>
  </r>
  <r>
    <n v="878"/>
    <d v="2026-04-15T00:00:00"/>
    <x v="5"/>
    <s v="Plant B"/>
    <x v="0"/>
    <x v="1"/>
    <x v="2"/>
    <x v="2"/>
    <s v="B260415-0878"/>
    <s v="OP104"/>
    <n v="696"/>
    <n v="642"/>
    <n v="595"/>
    <n v="47"/>
    <n v="9"/>
    <n v="12"/>
    <s v="Tool Change"/>
    <n v="64"/>
    <n v="66"/>
    <n v="79.7"/>
    <n v="2.25"/>
    <n v="25.02"/>
    <n v="19294.46"/>
    <n v="8.9600000000000009"/>
    <s v="Completed"/>
    <n v="18"/>
    <n v="30341.56"/>
    <n v="0.92679127725856703"/>
    <n v="23551.64"/>
    <n v="270.48308411214998"/>
    <n v="742.4"/>
    <n v="0.98383620689655205"/>
    <n v="6519.4369158878499"/>
    <n v="0.92241379310344829"/>
    <n v="7.3208722741433016E-2"/>
    <n v="1.4018691588785047E-2"/>
    <n v="0.92679127725856703"/>
    <n v="0.2"/>
    <n v="730.4"/>
    <n v="0.87897042716319829"/>
    <n v="0.9375"/>
    <n v="0.93756845564074487"/>
    <n v="0.92679127725856703"/>
    <n v="0.85488505747126475"/>
    <n v="36.684797507788161"/>
    <n v="10.15488616181908"/>
    <s v="Low"/>
    <s v="Normal"/>
  </r>
  <r>
    <n v="879"/>
    <d v="2026-02-11T00:00:00"/>
    <x v="4"/>
    <s v="Plant B"/>
    <x v="1"/>
    <x v="5"/>
    <x v="0"/>
    <x v="4"/>
    <s v="B260211-0879"/>
    <s v="OP125"/>
    <n v="738"/>
    <n v="661"/>
    <n v="622"/>
    <n v="39"/>
    <n v="8"/>
    <n v="48"/>
    <s v="Setup Time"/>
    <n v="57"/>
    <n v="56"/>
    <n v="78.7"/>
    <n v="2.57"/>
    <n v="30.24"/>
    <n v="17939.57"/>
    <n v="7.09"/>
    <s v="Overdue"/>
    <n v="53"/>
    <n v="29366.31"/>
    <n v="0.940998487140696"/>
    <n v="21402.23"/>
    <n v="217.120363086233"/>
    <n v="701.1"/>
    <n v="0.93153615746683804"/>
    <n v="7746.9596369137698"/>
    <n v="0.89566395663956644"/>
    <n v="5.9001512859304085E-2"/>
    <n v="1.2102874432677761E-2"/>
    <n v="0.94099848714069589"/>
    <n v="0.8"/>
    <n v="653.1"/>
    <n v="1.0120961567906905"/>
    <n v="1.0526315789473684"/>
    <n v="0.96149134895115607"/>
    <n v="0.94099848714069589"/>
    <n v="0.8428184281842821"/>
    <n v="32.378562783661117"/>
    <n v="11.720059965073782"/>
    <s v="High"/>
    <s v="Warning"/>
  </r>
  <r>
    <n v="880"/>
    <d v="2026-01-03T00:00:00"/>
    <x v="2"/>
    <s v="Plant A"/>
    <x v="2"/>
    <x v="10"/>
    <x v="0"/>
    <x v="0"/>
    <s v="B260103-0880"/>
    <s v="OP118"/>
    <n v="936"/>
    <n v="797"/>
    <n v="723"/>
    <n v="74"/>
    <n v="14"/>
    <n v="37"/>
    <s v="Preventive Maintenance"/>
    <n v="42"/>
    <n v="43"/>
    <n v="74.2"/>
    <n v="1.92"/>
    <n v="34.229999999999997"/>
    <n v="14360.76"/>
    <n v="6.39"/>
    <s v="Scheduled"/>
    <n v="31"/>
    <n v="22632.400000000001"/>
    <n v="0.90715181932245903"/>
    <n v="17544.330000000002"/>
    <n v="252.25927227101599"/>
    <n v="655.20000000000005"/>
    <n v="0.94352869352869395"/>
    <n v="4835.8107277289801"/>
    <n v="0.85149572649572647"/>
    <n v="9.2848180677540776E-2"/>
    <n v="1.7565872020075281E-2"/>
    <n v="0.90715181932245925"/>
    <n v="0.6166666666666667"/>
    <n v="618.20000000000005"/>
    <n v="1.2892267874474279"/>
    <n v="1.4285714285714286"/>
    <n v="0.90245875121319952"/>
    <n v="0.90715181932245925"/>
    <n v="0.77243589743589769"/>
    <n v="22.01296110414053"/>
    <n v="6.0675165968995985"/>
    <s v="High"/>
    <s v="Warning"/>
  </r>
  <r>
    <n v="881"/>
    <d v="2026-02-21T00:00:00"/>
    <x v="4"/>
    <s v="Plant A"/>
    <x v="1"/>
    <x v="2"/>
    <x v="0"/>
    <x v="1"/>
    <s v="B260221-0881"/>
    <s v="OP108"/>
    <n v="780"/>
    <n v="853"/>
    <n v="812"/>
    <n v="41"/>
    <n v="15"/>
    <n v="26"/>
    <s v="Material Shortage"/>
    <n v="45"/>
    <n v="45"/>
    <n v="68.8"/>
    <n v="2.06"/>
    <n v="31.68"/>
    <n v="18482.55"/>
    <n v="10.83"/>
    <s v="Pending"/>
    <n v="6"/>
    <n v="28946.65"/>
    <n v="0.95193434935521704"/>
    <n v="23641.17"/>
    <n v="325.015533411489"/>
    <n v="585"/>
    <n v="0.95555555555555605"/>
    <n v="4980.4644665885098"/>
    <n v="1.0935897435897435"/>
    <n v="4.8065650644783117E-2"/>
    <n v="1.7584994138335287E-2"/>
    <n v="0.95193434935521692"/>
    <n v="0.43333333333333335"/>
    <n v="559"/>
    <n v="1.5259391771019677"/>
    <n v="1.3333333333333333"/>
    <n v="1.1444543828264759"/>
    <n v="0.95193434935521692"/>
    <n v="1.0410256410256415"/>
    <n v="27.715322391559202"/>
    <n v="5.838762563409742"/>
    <s v="Medium"/>
    <s v="Normal"/>
  </r>
  <r>
    <n v="882"/>
    <d v="2026-05-02T00:00:00"/>
    <x v="3"/>
    <s v="Plant B"/>
    <x v="4"/>
    <x v="14"/>
    <x v="1"/>
    <x v="3"/>
    <s v="B260502-0882"/>
    <s v="OP106"/>
    <n v="873"/>
    <n v="799"/>
    <n v="732"/>
    <n v="67"/>
    <n v="16"/>
    <n v="15"/>
    <s v="Quality Inspection"/>
    <n v="49"/>
    <n v="47"/>
    <n v="75.099999999999994"/>
    <n v="2.63"/>
    <n v="26.13"/>
    <n v="16878.150000000001"/>
    <n v="7.4"/>
    <s v="Completed"/>
    <n v="11"/>
    <n v="27541.02"/>
    <n v="0.91614518147684598"/>
    <n v="20443.32"/>
    <n v="337.98548185231499"/>
    <n v="712.95"/>
    <n v="0.97896065642751995"/>
    <n v="6759.7145181476899"/>
    <n v="0.91523482245131726"/>
    <n v="8.3854818523153948E-2"/>
    <n v="2.002503128911139E-2"/>
    <n v="0.91614518147684609"/>
    <n v="0.25"/>
    <n v="697.95"/>
    <n v="1.1447811447811447"/>
    <n v="1.2244897959183674"/>
    <n v="0.93490460157126809"/>
    <n v="0.91614518147684609"/>
    <n v="0.83848797250859142"/>
    <n v="25.586132665832292"/>
    <n v="8.4602184207105005"/>
    <s v="Medium"/>
    <s v="Warning"/>
  </r>
  <r>
    <n v="883"/>
    <d v="2026-02-20T00:00:00"/>
    <x v="4"/>
    <s v="Plant B"/>
    <x v="2"/>
    <x v="10"/>
    <x v="1"/>
    <x v="1"/>
    <s v="B260220-0883"/>
    <s v="OP101"/>
    <n v="764"/>
    <n v="644"/>
    <n v="587"/>
    <n v="57"/>
    <n v="16"/>
    <n v="44"/>
    <s v="Material Shortage"/>
    <n v="45"/>
    <n v="50"/>
    <n v="75.2"/>
    <n v="2.0499999999999998"/>
    <n v="25.59"/>
    <n v="12429.03"/>
    <n v="8.73"/>
    <s v="Scheduled"/>
    <n v="19"/>
    <n v="20208.64"/>
    <n v="0.91149068322981397"/>
    <n v="16587.84"/>
    <n v="308.79577639751602"/>
    <n v="573"/>
    <n v="0.923211169284468"/>
    <n v="3312.0042236024801"/>
    <n v="0.84293193717277481"/>
    <n v="8.8509316770186336E-2"/>
    <n v="2.4844720496894408E-2"/>
    <n v="0.91149068322981364"/>
    <n v="0.73333333333333328"/>
    <n v="529"/>
    <n v="1.2173913043478262"/>
    <n v="1.3333333333333333"/>
    <n v="0.91304347826086962"/>
    <n v="0.91149068322981364"/>
    <n v="0.7683246073298432"/>
    <n v="25.757515527950311"/>
    <n v="5.1428637012460872"/>
    <s v="High"/>
    <s v="Warning"/>
  </r>
  <r>
    <n v="884"/>
    <d v="2026-03-28T00:00:00"/>
    <x v="1"/>
    <s v="Plant B"/>
    <x v="1"/>
    <x v="6"/>
    <x v="2"/>
    <x v="0"/>
    <s v="B260328-0884"/>
    <s v="OP126"/>
    <n v="862"/>
    <n v="702"/>
    <n v="664"/>
    <n v="38"/>
    <n v="13"/>
    <n v="30"/>
    <s v="Operator Issue"/>
    <n v="42"/>
    <n v="42"/>
    <n v="73.099999999999994"/>
    <n v="1.57"/>
    <n v="21.75"/>
    <n v="13216.94"/>
    <n v="6.97"/>
    <s v="Completed"/>
    <n v="37"/>
    <n v="20893.75"/>
    <n v="0.94586894586894599"/>
    <n v="16549.189999999999"/>
    <n v="244.758148148148"/>
    <n v="603.4"/>
    <n v="0.95028173682465999"/>
    <n v="4099.8018518518502"/>
    <n v="0.81438515081206497"/>
    <n v="5.4131054131054131E-2"/>
    <n v="1.8518518518518517E-2"/>
    <n v="0.94586894586894588"/>
    <n v="0.5"/>
    <n v="573.4"/>
    <n v="1.2242762469480293"/>
    <n v="1.4285714285714286"/>
    <n v="0.85699337286362043"/>
    <n v="0.94586894586894588"/>
    <n v="0.77030162412993008"/>
    <n v="23.574344729344727"/>
    <n v="5.8401735781365387"/>
    <s v="High"/>
    <s v="Warning"/>
  </r>
  <r>
    <n v="885"/>
    <d v="2026-05-10T00:00:00"/>
    <x v="3"/>
    <s v="Plant B"/>
    <x v="4"/>
    <x v="14"/>
    <x v="1"/>
    <x v="3"/>
    <s v="B260510-0885"/>
    <s v="OP125"/>
    <n v="662"/>
    <n v="584"/>
    <n v="536"/>
    <n v="48"/>
    <n v="11"/>
    <n v="31"/>
    <s v="Operator Issue"/>
    <n v="49"/>
    <n v="53"/>
    <n v="77.2"/>
    <n v="1.46"/>
    <n v="22.64"/>
    <n v="13564.42"/>
    <n v="6.55"/>
    <s v="Scheduled"/>
    <n v="7"/>
    <n v="20835.16"/>
    <n v="0.91780821917808197"/>
    <n v="16715.68"/>
    <n v="255.49421232876699"/>
    <n v="540.63333333333298"/>
    <n v="0.94265984339355102"/>
    <n v="3863.9857876712399"/>
    <n v="0.8821752265861027"/>
    <n v="8.2191780821917804E-2"/>
    <n v="1.8835616438356163E-2"/>
    <n v="0.9178082191780822"/>
    <n v="0.51666666666666672"/>
    <n v="509.63333333333298"/>
    <n v="1.1459219046373217"/>
    <n v="1.2244897959183674"/>
    <n v="0.93583622212047934"/>
    <n v="0.9178082191780822"/>
    <n v="0.80966767371601278"/>
    <n v="28.622739726027397"/>
    <n v="6.6164140199850001"/>
    <s v="Medium"/>
    <s v="Warning"/>
  </r>
  <r>
    <n v="886"/>
    <d v="2026-01-23T00:00:00"/>
    <x v="2"/>
    <s v="Plant B"/>
    <x v="2"/>
    <x v="9"/>
    <x v="1"/>
    <x v="0"/>
    <s v="B260123-0886"/>
    <s v="OP104"/>
    <n v="796"/>
    <n v="728"/>
    <n v="693"/>
    <n v="35"/>
    <n v="12"/>
    <n v="29"/>
    <s v="Operator Issue"/>
    <n v="42"/>
    <n v="40"/>
    <n v="67.5"/>
    <n v="2.0099999999999998"/>
    <n v="29.77"/>
    <n v="13128.7"/>
    <n v="7.3"/>
    <s v="Scheduled"/>
    <n v="27"/>
    <n v="22684.68"/>
    <n v="0.95192307692307698"/>
    <n v="16681.63"/>
    <n v="216.40714285714299"/>
    <n v="557.20000000000005"/>
    <n v="0.94795405599425697"/>
    <n v="5786.6428571428596"/>
    <n v="0.914572864321608"/>
    <n v="4.807692307692308E-2"/>
    <n v="1.6483516483516484E-2"/>
    <n v="0.95192307692307687"/>
    <n v="0.48333333333333334"/>
    <n v="528.20000000000005"/>
    <n v="1.3782658084059067"/>
    <n v="1.4285714285714286"/>
    <n v="0.96478606588413474"/>
    <n v="0.95192307692307687"/>
    <n v="0.87060301507537685"/>
    <n v="22.914326923076924"/>
    <n v="7.9486852433281037"/>
    <s v="Low"/>
    <s v="Normal"/>
  </r>
  <r>
    <n v="887"/>
    <d v="2026-01-09T00:00:00"/>
    <x v="2"/>
    <s v="Plant B"/>
    <x v="0"/>
    <x v="3"/>
    <x v="1"/>
    <x v="3"/>
    <s v="B260109-0887"/>
    <s v="OP128"/>
    <n v="880"/>
    <n v="818"/>
    <n v="789"/>
    <n v="29"/>
    <n v="6"/>
    <n v="27"/>
    <s v="Power Failure"/>
    <n v="49"/>
    <n v="48"/>
    <n v="66.900000000000006"/>
    <n v="2.29"/>
    <n v="32.119999999999997"/>
    <n v="18833.580000000002"/>
    <n v="8.15"/>
    <s v="Scheduled"/>
    <n v="37"/>
    <n v="29588.41"/>
    <n v="0.96454767726161394"/>
    <n v="22790.16"/>
    <n v="138.14361858190699"/>
    <n v="718.66666666666697"/>
    <n v="0.96243042671614099"/>
    <n v="6660.1063814180898"/>
    <n v="0.92954545454545456"/>
    <n v="3.5452322738386305E-2"/>
    <n v="7.3349633251833741E-3"/>
    <n v="0.96454767726161372"/>
    <n v="0.45"/>
    <n v="691.66666666666697"/>
    <n v="1.1826506024096379"/>
    <n v="1.2244897959183674"/>
    <n v="0.9658313253012043"/>
    <n v="0.96454767726161372"/>
    <n v="0.89659090909090855"/>
    <n v="27.860831295843521"/>
    <n v="8.141939341586907"/>
    <s v="Medium"/>
    <s v="Normal"/>
  </r>
  <r>
    <n v="888"/>
    <d v="2026-01-21T00:00:00"/>
    <x v="2"/>
    <s v="Plant A"/>
    <x v="2"/>
    <x v="10"/>
    <x v="1"/>
    <x v="4"/>
    <s v="B260121-0888"/>
    <s v="OP122"/>
    <n v="575"/>
    <n v="583"/>
    <n v="526"/>
    <n v="57"/>
    <n v="13"/>
    <n v="15"/>
    <s v="Material Shortage"/>
    <n v="57"/>
    <n v="63"/>
    <n v="69"/>
    <n v="2.0099999999999998"/>
    <n v="21.12"/>
    <n v="16701.669999999998"/>
    <n v="9.83"/>
    <s v="Overdue"/>
    <n v="1"/>
    <n v="23505.06"/>
    <n v="0.902229845626072"/>
    <n v="21315.25"/>
    <n v="372.42145797598602"/>
    <n v="546.25"/>
    <n v="0.97254004576659003"/>
    <n v="1817.3885420240199"/>
    <n v="1.0139130434782608"/>
    <n v="9.7770154373927956E-2"/>
    <n v="2.2298456260720412E-2"/>
    <n v="0.902229845626072"/>
    <n v="0.25"/>
    <n v="531.25"/>
    <n v="1.0974117647058823"/>
    <n v="1.0526315789473684"/>
    <n v="1.0425411764705883"/>
    <n v="0.902229845626072"/>
    <n v="0.91478260869565187"/>
    <n v="36.561320754716981"/>
    <n v="3.1173045317736192"/>
    <s v="High"/>
    <s v="Warning"/>
  </r>
  <r>
    <n v="889"/>
    <d v="2026-03-22T00:00:00"/>
    <x v="1"/>
    <s v="Plant B"/>
    <x v="0"/>
    <x v="0"/>
    <x v="1"/>
    <x v="4"/>
    <s v="B260322-0889"/>
    <s v="OP109"/>
    <n v="732"/>
    <n v="655"/>
    <n v="627"/>
    <n v="28"/>
    <n v="8"/>
    <n v="24"/>
    <s v="Operator Issue"/>
    <n v="57"/>
    <n v="58"/>
    <n v="70.099999999999994"/>
    <n v="2.5"/>
    <n v="21.74"/>
    <n v="18579.97"/>
    <n v="7.63"/>
    <s v="Completed"/>
    <n v="15"/>
    <n v="29587.74"/>
    <n v="0.95725190839694696"/>
    <n v="22209.13"/>
    <n v="226.93093129771"/>
    <n v="695.4"/>
    <n v="0.96548748921483996"/>
    <n v="7151.6790687022904"/>
    <n v="0.89480874316939896"/>
    <n v="4.2748091603053436E-2"/>
    <n v="1.2213740458015267E-2"/>
    <n v="0.95725190839694652"/>
    <n v="0.4"/>
    <n v="671.4"/>
    <n v="0.97557342865653862"/>
    <n v="1.0526315789473684"/>
    <n v="0.92679475722371174"/>
    <n v="0.95725190839694652"/>
    <n v="0.85655737704918"/>
    <n v="33.907068702290076"/>
    <n v="10.918593998018764"/>
    <s v="Low"/>
    <s v="Normal"/>
  </r>
  <r>
    <n v="890"/>
    <d v="2026-06-23T00:00:00"/>
    <x v="0"/>
    <s v="Plant A"/>
    <x v="1"/>
    <x v="5"/>
    <x v="2"/>
    <x v="4"/>
    <s v="B260623-0890"/>
    <s v="OP112"/>
    <n v="716"/>
    <n v="678"/>
    <n v="648"/>
    <n v="30"/>
    <n v="8"/>
    <n v="23"/>
    <s v="Setup Time"/>
    <n v="57"/>
    <n v="63"/>
    <n v="77.3"/>
    <n v="1.81"/>
    <n v="23.45"/>
    <n v="17982.89"/>
    <n v="9.33"/>
    <s v="Completed"/>
    <n v="10"/>
    <n v="29732.06"/>
    <n v="0.95575221238938102"/>
    <n v="22392.44"/>
    <n v="212.187492625369"/>
    <n v="680.2"/>
    <n v="0.96618641576007103"/>
    <n v="7127.4325073746304"/>
    <n v="0.94692737430167595"/>
    <n v="4.4247787610619468E-2"/>
    <n v="1.1799410029498525E-2"/>
    <n v="0.95575221238938057"/>
    <n v="0.38333333333333336"/>
    <n v="657.2"/>
    <n v="1.0316494217894094"/>
    <n v="1.0526315789473684"/>
    <n v="0.98006695069993899"/>
    <n v="0.95575221238938057"/>
    <n v="0.90502793296089423"/>
    <n v="33.02719764011799"/>
    <n v="10.512437326511254"/>
    <s v="Low"/>
    <s v="Normal"/>
  </r>
  <r>
    <n v="891"/>
    <d v="2026-01-02T00:00:00"/>
    <x v="2"/>
    <s v="Plant B"/>
    <x v="4"/>
    <x v="12"/>
    <x v="0"/>
    <x v="3"/>
    <s v="B260102-0891"/>
    <s v="OP119"/>
    <n v="700"/>
    <n v="597"/>
    <n v="509"/>
    <n v="88"/>
    <n v="37"/>
    <n v="17"/>
    <s v="Machine Breakdown"/>
    <n v="49"/>
    <n v="55"/>
    <n v="77.5"/>
    <n v="3.54"/>
    <n v="21.48"/>
    <n v="13289.74"/>
    <n v="6.32"/>
    <s v="Pending"/>
    <n v="46"/>
    <n v="19386.810000000001"/>
    <n v="0.85259631490787302"/>
    <n v="16327.06"/>
    <n v="823.65222780569502"/>
    <n v="571.66666666666697"/>
    <n v="0.97026239067055398"/>
    <n v="2236.09777219431"/>
    <n v="0.85285714285714287"/>
    <n v="0.14740368509212731"/>
    <n v="6.1976549413735343E-2"/>
    <n v="0.85259631490787269"/>
    <n v="0.28333333333333333"/>
    <n v="554.66666666666697"/>
    <n v="1.0763221153846148"/>
    <n v="1.2244897959183674"/>
    <n v="0.8789963942307687"/>
    <n v="0.85259631490787269"/>
    <n v="0.72714285714285676"/>
    <n v="27.348509212730317"/>
    <n v="3.7455574073606535"/>
    <s v="High"/>
    <s v="Critical"/>
  </r>
  <r>
    <n v="892"/>
    <d v="2026-02-18T00:00:00"/>
    <x v="4"/>
    <s v="Plant A"/>
    <x v="4"/>
    <x v="13"/>
    <x v="2"/>
    <x v="4"/>
    <s v="B260218-0892"/>
    <s v="OP118"/>
    <n v="579"/>
    <n v="496"/>
    <n v="468"/>
    <n v="28"/>
    <n v="11"/>
    <n v="0"/>
    <s v="No Downtime"/>
    <n v="57"/>
    <n v="62"/>
    <n v="72"/>
    <n v="2.2200000000000002"/>
    <n v="18.260000000000002"/>
    <n v="13584.2"/>
    <n v="7.69"/>
    <s v="Scheduled"/>
    <n v="40"/>
    <n v="21530.58"/>
    <n v="0.94354838709677402"/>
    <n v="17209.04"/>
    <n v="301.26249999999999"/>
    <n v="550.04999999999995"/>
    <n v="1"/>
    <n v="4020.2775000000001"/>
    <n v="0.85664939550949915"/>
    <n v="5.6451612903225805E-2"/>
    <n v="2.2177419354838711E-2"/>
    <n v="0.94354838709677424"/>
    <n v="0"/>
    <n v="550.04999999999995"/>
    <n v="0.90173620579947289"/>
    <n v="1.0526315789473684"/>
    <n v="0.85664939550949926"/>
    <n v="0.94354838709677424"/>
    <n v="0.80829015544041471"/>
    <n v="34.695645161290322"/>
    <n v="8.105398185483871"/>
    <s v="Medium"/>
    <s v="Warning"/>
  </r>
  <r>
    <n v="893"/>
    <d v="2026-01-02T00:00:00"/>
    <x v="2"/>
    <s v="Plant B"/>
    <x v="1"/>
    <x v="6"/>
    <x v="0"/>
    <x v="0"/>
    <s v="B260102-0893"/>
    <s v="OP108"/>
    <n v="895"/>
    <n v="1026"/>
    <n v="962"/>
    <n v="64"/>
    <n v="22"/>
    <n v="16"/>
    <s v="Quality Inspection"/>
    <n v="42"/>
    <n v="46"/>
    <n v="76.400000000000006"/>
    <n v="2.06"/>
    <n v="41.73"/>
    <n v="18054.32"/>
    <n v="8.26"/>
    <s v="Pending"/>
    <n v="1"/>
    <n v="31291.4"/>
    <n v="0.93762183235867502"/>
    <n v="22146.89"/>
    <n v="387.12966861598397"/>
    <n v="626.5"/>
    <n v="0.97446129289704697"/>
    <n v="8757.3803313840199"/>
    <n v="1.1463687150837989"/>
    <n v="6.2378167641325533E-2"/>
    <n v="2.1442495126705652E-2"/>
    <n v="0.93762183235867447"/>
    <n v="0.26666666666666666"/>
    <n v="610.5"/>
    <n v="1.6805896805896805"/>
    <n v="1.4285714285714286"/>
    <n v="1.1764127764127763"/>
    <n v="0.93762183235867447"/>
    <n v="1.0748603351955306"/>
    <n v="21.585662768031188"/>
    <n v="8.5354584126549895"/>
    <s v="Medium"/>
    <s v="Normal"/>
  </r>
  <r>
    <n v="894"/>
    <d v="2026-01-30T00:00:00"/>
    <x v="2"/>
    <s v="Plant B"/>
    <x v="0"/>
    <x v="0"/>
    <x v="2"/>
    <x v="3"/>
    <s v="B260130-0894"/>
    <s v="OP120"/>
    <n v="641"/>
    <n v="550"/>
    <n v="517"/>
    <n v="33"/>
    <n v="10"/>
    <n v="34"/>
    <s v="Preventive Maintenance"/>
    <n v="49"/>
    <n v="49"/>
    <n v="65.599999999999994"/>
    <n v="1.36"/>
    <n v="20.18"/>
    <n v="12246.13"/>
    <n v="7.35"/>
    <s v="Scheduled"/>
    <n v="44"/>
    <n v="20082.28"/>
    <n v="0.94"/>
    <n v="15735.25"/>
    <n v="222.65690909090901"/>
    <n v="523.48333333333301"/>
    <n v="0.93505046324301999"/>
    <n v="4124.37309090909"/>
    <n v="0.85803432137285496"/>
    <n v="0.06"/>
    <n v="1.8181818181818181E-2"/>
    <n v="0.94"/>
    <n v="0.56666666666666665"/>
    <n v="489.48333333333301"/>
    <n v="1.1236337634921183"/>
    <n v="1.2244897959183674"/>
    <n v="0.91763424018522988"/>
    <n v="0.94"/>
    <n v="0.80655226209048447"/>
    <n v="28.609545454545454"/>
    <n v="7.4988601652892548"/>
    <s v="Medium"/>
    <s v="Warning"/>
  </r>
  <r>
    <n v="895"/>
    <d v="2026-03-17T00:00:00"/>
    <x v="1"/>
    <s v="Plant B"/>
    <x v="2"/>
    <x v="10"/>
    <x v="1"/>
    <x v="0"/>
    <s v="B260317-0895"/>
    <s v="OP102"/>
    <n v="954"/>
    <n v="822"/>
    <n v="746"/>
    <n v="76"/>
    <n v="24"/>
    <n v="24"/>
    <s v="Tool Change"/>
    <n v="42"/>
    <n v="46"/>
    <n v="72.8"/>
    <n v="2.64"/>
    <n v="25.63"/>
    <n v="15926.62"/>
    <n v="8.65"/>
    <s v="Completed"/>
    <n v="8"/>
    <n v="23832.25"/>
    <n v="0.90754257907542601"/>
    <n v="20049.79"/>
    <n v="465.010802919708"/>
    <n v="667.8"/>
    <n v="0.96406109613656799"/>
    <n v="3317.4491970802901"/>
    <n v="0.86163522012578619"/>
    <n v="9.2457420924574207E-2"/>
    <n v="2.9197080291970802E-2"/>
    <n v="0.90754257907542579"/>
    <n v="0.4"/>
    <n v="643.79999999999995"/>
    <n v="1.2767940354147251"/>
    <n v="1.4285714285714286"/>
    <n v="0.89375582479030757"/>
    <n v="0.90754257907542579"/>
    <n v="0.78197064989517828"/>
    <n v="24.391472019464722"/>
    <n v="4.0358262738203043"/>
    <s v="High"/>
    <s v="Warning"/>
  </r>
  <r>
    <n v="896"/>
    <d v="2026-04-11T00:00:00"/>
    <x v="5"/>
    <s v="Plant A"/>
    <x v="0"/>
    <x v="0"/>
    <x v="0"/>
    <x v="0"/>
    <s v="B260411-0896"/>
    <s v="OP102"/>
    <n v="842"/>
    <n v="904"/>
    <n v="861"/>
    <n v="43"/>
    <n v="17"/>
    <n v="0"/>
    <s v="No Downtime"/>
    <n v="42"/>
    <n v="45"/>
    <n v="77.2"/>
    <n v="2.04"/>
    <n v="28.61"/>
    <n v="17332.22"/>
    <n v="9.08"/>
    <s v="Pending"/>
    <n v="30"/>
    <n v="27786.62"/>
    <n v="0.95243362831858402"/>
    <n v="21675.71"/>
    <n v="325.93776548672599"/>
    <n v="589.4"/>
    <n v="1"/>
    <n v="5784.9722345132705"/>
    <n v="1.0736342042755345"/>
    <n v="4.7566371681415927E-2"/>
    <n v="1.8805309734513276E-2"/>
    <n v="0.95243362831858402"/>
    <n v="0"/>
    <n v="589.4"/>
    <n v="1.5337631489650492"/>
    <n v="1.4285714285714286"/>
    <n v="1.0736342042755345"/>
    <n v="0.95243362831858402"/>
    <n v="1.0225653206650831"/>
    <n v="23.977555309734512"/>
    <n v="6.3993055691518475"/>
    <s v="Medium"/>
    <s v="Normal"/>
  </r>
  <r>
    <n v="897"/>
    <d v="2026-03-27T00:00:00"/>
    <x v="1"/>
    <s v="Plant B"/>
    <x v="0"/>
    <x v="3"/>
    <x v="0"/>
    <x v="1"/>
    <s v="B260327-0897"/>
    <s v="OP119"/>
    <n v="753"/>
    <n v="804"/>
    <n v="780"/>
    <n v="24"/>
    <n v="5"/>
    <n v="6"/>
    <s v="Power Failure"/>
    <n v="45"/>
    <n v="43"/>
    <n v="78.099999999999994"/>
    <n v="2.52"/>
    <n v="32.36"/>
    <n v="16294.24"/>
    <n v="10.56"/>
    <s v="Scheduled"/>
    <n v="17"/>
    <n v="26890.38"/>
    <n v="0.97014925373134298"/>
    <n v="21337.48"/>
    <n v="101.33233830845801"/>
    <n v="564.75"/>
    <n v="0.98937583001328"/>
    <n v="5451.5676616915398"/>
    <n v="1.0677290836653386"/>
    <n v="2.9850746268656716E-2"/>
    <n v="6.2189054726368162E-3"/>
    <n v="0.97014925373134331"/>
    <n v="0.1"/>
    <n v="558.75"/>
    <n v="1.4389261744966444"/>
    <n v="1.3333333333333333"/>
    <n v="1.0791946308724834"/>
    <n v="0.97014925373134331"/>
    <n v="1.0358565737051793"/>
    <n v="26.539154228855722"/>
    <n v="6.7805567931486816"/>
    <s v="Low"/>
    <s v="Normal"/>
  </r>
  <r>
    <n v="898"/>
    <d v="2026-04-07T00:00:00"/>
    <x v="5"/>
    <s v="Plant B"/>
    <x v="0"/>
    <x v="3"/>
    <x v="2"/>
    <x v="3"/>
    <s v="B260407-0898"/>
    <s v="OP125"/>
    <n v="782"/>
    <n v="606"/>
    <n v="580"/>
    <n v="26"/>
    <n v="5"/>
    <n v="22"/>
    <s v="Machine Breakdown"/>
    <n v="49"/>
    <n v="51"/>
    <n v="70.3"/>
    <n v="1.59"/>
    <n v="22.32"/>
    <n v="13119.57"/>
    <n v="7.99"/>
    <s v="Scheduled"/>
    <n v="20"/>
    <n v="22662.71"/>
    <n v="0.95709570957095702"/>
    <n v="16915.95"/>
    <n v="108.247277227723"/>
    <n v="638.63333333333298"/>
    <n v="0.96555143796649101"/>
    <n v="5638.5127227722796"/>
    <n v="0.77493606138107418"/>
    <n v="4.2904290429042903E-2"/>
    <n v="8.2508250825082501E-3"/>
    <n v="0.95709570957095713"/>
    <n v="0.36666666666666664"/>
    <n v="616.63333333333298"/>
    <n v="0.98275582463917022"/>
    <n v="1.2244897959183674"/>
    <n v="0.80258392345532237"/>
    <n v="0.95709570957095713"/>
    <n v="0.74168797953964238"/>
    <n v="27.914108910891091"/>
    <n v="9.3044764402182825"/>
    <s v="High"/>
    <s v="Critical"/>
  </r>
  <r>
    <n v="899"/>
    <d v="2026-04-13T00:00:00"/>
    <x v="5"/>
    <s v="Plant B"/>
    <x v="2"/>
    <x v="9"/>
    <x v="0"/>
    <x v="3"/>
    <s v="B260413-0899"/>
    <s v="OP129"/>
    <n v="875"/>
    <n v="791"/>
    <n v="751"/>
    <n v="40"/>
    <n v="13"/>
    <n v="48"/>
    <s v="Power Failure"/>
    <n v="49"/>
    <n v="48"/>
    <n v="74.5"/>
    <n v="1.66"/>
    <n v="31.27"/>
    <n v="16950.32"/>
    <n v="6.73"/>
    <s v="Completed"/>
    <n v="4"/>
    <n v="28213.37"/>
    <n v="0.94943109987357799"/>
    <n v="20260.25"/>
    <n v="278.57668773704199"/>
    <n v="714.58333333333303"/>
    <n v="0.93282798833819303"/>
    <n v="7674.5433122629602"/>
    <n v="0.90400000000000003"/>
    <n v="5.0568900126422248E-2"/>
    <n v="1.643489254108723E-2"/>
    <n v="0.94943109987357777"/>
    <n v="0.8"/>
    <n v="666.58333333333303"/>
    <n v="1.1866483310413807"/>
    <n v="1.2244897959183674"/>
    <n v="0.96909613701712749"/>
    <n v="0.94943109987357777"/>
    <n v="0.85828571428571521"/>
    <n v="25.61346396965866"/>
    <n v="9.702330356843186"/>
    <s v="Low"/>
    <s v="Normal"/>
  </r>
  <r>
    <n v="900"/>
    <d v="2026-05-05T00:00:00"/>
    <x v="3"/>
    <s v="Plant A"/>
    <x v="3"/>
    <x v="11"/>
    <x v="0"/>
    <x v="3"/>
    <s v="B260505-0900"/>
    <s v="OP134"/>
    <n v="818"/>
    <n v="708"/>
    <n v="649"/>
    <n v="59"/>
    <n v="16"/>
    <n v="43"/>
    <s v="Material Shortage"/>
    <n v="49"/>
    <n v="50"/>
    <n v="83.9"/>
    <n v="1.88"/>
    <n v="23.66"/>
    <n v="15782.11"/>
    <n v="7.92"/>
    <s v="Overdue"/>
    <n v="29"/>
    <n v="24811.18"/>
    <n v="0.91666666666666696"/>
    <n v="19559.05"/>
    <n v="356.65785310734498"/>
    <n v="668.03333333333296"/>
    <n v="0.93563195449328895"/>
    <n v="4895.47214689266"/>
    <n v="0.86552567237163813"/>
    <n v="8.3333333333333329E-2"/>
    <n v="2.2598870056497175E-2"/>
    <n v="0.91666666666666663"/>
    <n v="0.71666666666666667"/>
    <n v="625.03333333333296"/>
    <n v="1.1327395872220154"/>
    <n v="1.2244897959183674"/>
    <n v="0.92507066289797923"/>
    <n v="0.91666666666666663"/>
    <n v="0.79339853300733554"/>
    <n v="27.625776836158192"/>
    <n v="6.91450868205178"/>
    <s v="High"/>
    <s v="Warning"/>
  </r>
  <r>
    <n v="901"/>
    <d v="2026-02-09T00:00:00"/>
    <x v="4"/>
    <s v="Plant A"/>
    <x v="3"/>
    <x v="7"/>
    <x v="1"/>
    <x v="1"/>
    <s v="B260209-0901"/>
    <s v="OP126"/>
    <n v="943"/>
    <n v="881"/>
    <n v="841"/>
    <n v="40"/>
    <n v="16"/>
    <n v="21"/>
    <s v="Material Shortage"/>
    <n v="45"/>
    <n v="48"/>
    <n v="72.2"/>
    <n v="2.0499999999999998"/>
    <n v="28.79"/>
    <n v="17512.23"/>
    <n v="7.74"/>
    <s v="Scheduled"/>
    <n v="7"/>
    <n v="29869.52"/>
    <n v="0.95459704880817298"/>
    <n v="21254.34"/>
    <n v="318.04276958002299"/>
    <n v="707.25"/>
    <n v="0.97030752916224805"/>
    <n v="8297.1372304199795"/>
    <n v="0.9342523860021209"/>
    <n v="4.5402951191827468E-2"/>
    <n v="1.8161180476730987E-2"/>
    <n v="0.95459704880817253"/>
    <n v="0.35"/>
    <n v="686.25"/>
    <n v="1.2837887067395264"/>
    <n v="1.3333333333333333"/>
    <n v="0.96284153005464479"/>
    <n v="0.95459704880817253"/>
    <n v="0.89183457051961812"/>
    <n v="24.125244040862658"/>
    <n v="9.417862917616322"/>
    <s v="Low"/>
    <s v="Normal"/>
  </r>
  <r>
    <n v="902"/>
    <d v="2026-06-03T00:00:00"/>
    <x v="0"/>
    <s v="Plant A"/>
    <x v="3"/>
    <x v="8"/>
    <x v="0"/>
    <x v="0"/>
    <s v="B260603-0902"/>
    <s v="OP105"/>
    <n v="868"/>
    <n v="792"/>
    <n v="734"/>
    <n v="58"/>
    <n v="24"/>
    <n v="9"/>
    <s v="Power Failure"/>
    <n v="42"/>
    <n v="43"/>
    <n v="76.3"/>
    <n v="1.48"/>
    <n v="25.87"/>
    <n v="14171.7"/>
    <n v="6.67"/>
    <s v="Completed"/>
    <n v="31"/>
    <n v="24102.14"/>
    <n v="0.92676767676767702"/>
    <n v="17406.03"/>
    <n v="429.44545454545499"/>
    <n v="607.6"/>
    <n v="0.98518762343647104"/>
    <n v="6266.6645454545396"/>
    <n v="0.9124423963133641"/>
    <n v="7.3232323232323232E-2"/>
    <n v="3.0303030303030304E-2"/>
    <n v="0.9267676767676768"/>
    <n v="0.15"/>
    <n v="598.6"/>
    <n v="1.3230872034747745"/>
    <n v="1.4285714285714286"/>
    <n v="0.9261610424323421"/>
    <n v="0.9267676767676768"/>
    <n v="0.84562211981566793"/>
    <n v="21.977310606060605"/>
    <n v="7.912455234159772"/>
    <s v="Medium"/>
    <s v="Warning"/>
  </r>
  <r>
    <n v="903"/>
    <d v="2026-01-19T00:00:00"/>
    <x v="2"/>
    <s v="Plant A"/>
    <x v="4"/>
    <x v="14"/>
    <x v="0"/>
    <x v="4"/>
    <s v="B260119-0903"/>
    <s v="OP132"/>
    <n v="602"/>
    <n v="502"/>
    <n v="463"/>
    <n v="39"/>
    <n v="14"/>
    <n v="9"/>
    <s v="Machine Breakdown"/>
    <n v="57"/>
    <n v="59"/>
    <n v="70.2"/>
    <n v="2.35"/>
    <n v="20.55"/>
    <n v="14481.87"/>
    <n v="6.91"/>
    <s v="Overdue"/>
    <n v="14"/>
    <n v="21488.36"/>
    <n v="0.92231075697211196"/>
    <n v="17776.32"/>
    <n v="403.87685258964098"/>
    <n v="571.9"/>
    <n v="0.98426298303899296"/>
    <n v="3308.1631474103601"/>
    <n v="0.83388704318936879"/>
    <n v="7.7689243027888447E-2"/>
    <n v="2.7888446215139442E-2"/>
    <n v="0.92231075697211151"/>
    <n v="0.15"/>
    <n v="562.9"/>
    <n v="0.89181026825368626"/>
    <n v="1.0526315789473684"/>
    <n v="0.84721975484100198"/>
    <n v="0.92231075697211151"/>
    <n v="0.76910299003322269"/>
    <n v="35.410996015936256"/>
    <n v="6.5899664291043027"/>
    <s v="High"/>
    <s v="Warning"/>
  </r>
  <r>
    <n v="904"/>
    <d v="2026-01-15T00:00:00"/>
    <x v="2"/>
    <s v="Plant A"/>
    <x v="3"/>
    <x v="7"/>
    <x v="2"/>
    <x v="0"/>
    <s v="B260115-0904"/>
    <s v="OP132"/>
    <n v="938"/>
    <n v="772"/>
    <n v="725"/>
    <n v="47"/>
    <n v="19"/>
    <n v="27"/>
    <s v="Setup Time"/>
    <n v="42"/>
    <n v="45"/>
    <n v="70.099999999999994"/>
    <n v="1.89"/>
    <n v="31.45"/>
    <n v="15092.27"/>
    <n v="8.14"/>
    <s v="Scheduled"/>
    <n v="13"/>
    <n v="23697.37"/>
    <n v="0.93911917098445596"/>
    <n v="19038.32"/>
    <n v="371.44187823834199"/>
    <n v="656.6"/>
    <n v="0.95887907401766703"/>
    <n v="4287.6081217616602"/>
    <n v="0.82302771855010659"/>
    <n v="6.0880829015544043E-2"/>
    <n v="2.4611398963730571E-2"/>
    <n v="0.93911917098445596"/>
    <n v="0.45"/>
    <n v="629.6"/>
    <n v="1.2261753494282084"/>
    <n v="1.4285714285714286"/>
    <n v="0.85832274459974589"/>
    <n v="0.93911917098445596"/>
    <n v="0.77292110874200448"/>
    <n v="24.661036269430053"/>
    <n v="5.5538965307793529"/>
    <s v="High"/>
    <s v="Warning"/>
  </r>
  <r>
    <n v="905"/>
    <d v="2026-04-13T00:00:00"/>
    <x v="5"/>
    <s v="Plant A"/>
    <x v="0"/>
    <x v="3"/>
    <x v="1"/>
    <x v="3"/>
    <s v="B260413-0905"/>
    <s v="OP101"/>
    <n v="849"/>
    <n v="761"/>
    <n v="728"/>
    <n v="33"/>
    <n v="8"/>
    <n v="40"/>
    <s v="Power Failure"/>
    <n v="49"/>
    <n v="49"/>
    <n v="73"/>
    <n v="1.61"/>
    <n v="31.58"/>
    <n v="17335.48"/>
    <n v="7.36"/>
    <s v="Completed"/>
    <n v="1"/>
    <n v="28013.93"/>
    <n v="0.95663600525624204"/>
    <n v="20931.7"/>
    <n v="182.23894875164299"/>
    <n v="693.35"/>
    <n v="0.94230907910867501"/>
    <n v="6899.9910512483602"/>
    <n v="0.89634864546525328"/>
    <n v="4.3363994743758211E-2"/>
    <n v="1.0512483574244415E-2"/>
    <n v="0.95663600525624182"/>
    <n v="0.66666666666666663"/>
    <n v="653.35"/>
    <n v="1.1647662049437515"/>
    <n v="1.2244897959183674"/>
    <n v="0.95122573403739707"/>
    <n v="0.95663600525624182"/>
    <n v="0.85747938751472308"/>
    <n v="27.50551905387648"/>
    <n v="9.0670053235852297"/>
    <s v="Low"/>
    <s v="Normal"/>
  </r>
  <r>
    <n v="906"/>
    <d v="2026-03-23T00:00:00"/>
    <x v="1"/>
    <s v="Plant A"/>
    <x v="0"/>
    <x v="0"/>
    <x v="0"/>
    <x v="1"/>
    <s v="B260323-0906"/>
    <s v="OP121"/>
    <n v="887"/>
    <n v="817"/>
    <n v="787"/>
    <n v="30"/>
    <n v="8"/>
    <n v="38"/>
    <s v="Machine Breakdown"/>
    <n v="45"/>
    <n v="44"/>
    <n v="60"/>
    <n v="2.08"/>
    <n v="33.409999999999997"/>
    <n v="16104.03"/>
    <n v="6.77"/>
    <s v="Scheduled"/>
    <n v="8"/>
    <n v="28095.89"/>
    <n v="0.96328029375765001"/>
    <n v="19451.22"/>
    <n v="157.68940024479801"/>
    <n v="665.25"/>
    <n v="0.94287861706125498"/>
    <n v="8486.9805997551994"/>
    <n v="0.92108229988726043"/>
    <n v="3.6719706242350061E-2"/>
    <n v="9.7919216646266821E-3"/>
    <n v="0.9632802937576499"/>
    <n v="0.6333333333333333"/>
    <n v="627.25"/>
    <n v="1.3025109605420486"/>
    <n v="1.3333333333333333"/>
    <n v="0.97688322040653652"/>
    <n v="0.9632802937576499"/>
    <n v="0.88726042841037189"/>
    <n v="23.808102815177481"/>
    <n v="10.387981150251163"/>
    <s v="Low"/>
    <s v="Normal"/>
  </r>
  <r>
    <n v="907"/>
    <d v="2026-05-30T00:00:00"/>
    <x v="3"/>
    <s v="Plant A"/>
    <x v="2"/>
    <x v="4"/>
    <x v="1"/>
    <x v="0"/>
    <s v="B260530-0907"/>
    <s v="OP130"/>
    <n v="740"/>
    <n v="669"/>
    <n v="622"/>
    <n v="47"/>
    <n v="14"/>
    <n v="0"/>
    <s v="No Downtime"/>
    <n v="42"/>
    <n v="45"/>
    <n v="81"/>
    <n v="1.95"/>
    <n v="18.96"/>
    <n v="12427.81"/>
    <n v="9.09"/>
    <s v="Pending"/>
    <n v="21"/>
    <n v="19683.32"/>
    <n v="0.92974588938714497"/>
    <n v="16688.95"/>
    <n v="260.07375186846002"/>
    <n v="518"/>
    <n v="1"/>
    <n v="2734.2962481315399"/>
    <n v="0.90405405405405403"/>
    <n v="7.0254110612855011E-2"/>
    <n v="2.0926756352765322E-2"/>
    <n v="0.92974588938714497"/>
    <n v="0"/>
    <n v="518"/>
    <n v="1.2915057915057915"/>
    <n v="1.4285714285714286"/>
    <n v="0.90405405405405403"/>
    <n v="0.92974588938714497"/>
    <n v="0.8405405405405405"/>
    <n v="24.94611360239163"/>
    <n v="4.0871393843520778"/>
    <s v="Medium"/>
    <s v="Warning"/>
  </r>
  <r>
    <n v="908"/>
    <d v="2026-01-17T00:00:00"/>
    <x v="2"/>
    <s v="Plant A"/>
    <x v="1"/>
    <x v="2"/>
    <x v="0"/>
    <x v="1"/>
    <s v="B260117-0908"/>
    <s v="OP105"/>
    <n v="921"/>
    <n v="921"/>
    <n v="872"/>
    <n v="49"/>
    <n v="11"/>
    <n v="52"/>
    <s v="Operator Issue"/>
    <n v="45"/>
    <n v="49"/>
    <n v="78.5"/>
    <n v="2.42"/>
    <n v="34.770000000000003"/>
    <n v="18354.830000000002"/>
    <n v="8.4700000000000006"/>
    <s v="Overdue"/>
    <n v="40"/>
    <n v="29672.23"/>
    <n v="0.94679695982627599"/>
    <n v="22479.26"/>
    <n v="219.22163952225799"/>
    <n v="690.75"/>
    <n v="0.924719507781397"/>
    <n v="6973.7483604777399"/>
    <n v="1"/>
    <n v="5.3203040173724216E-2"/>
    <n v="1.1943539630836048E-2"/>
    <n v="0.94679695982627576"/>
    <n v="0.8666666666666667"/>
    <n v="638.75"/>
    <n v="1.4418786692759296"/>
    <n v="1.3333333333333333"/>
    <n v="1.0814090019569473"/>
    <n v="0.94679695982627576"/>
    <n v="0.94679695982627599"/>
    <n v="24.40744842562432"/>
    <n v="7.5719309017130723"/>
    <s v="High"/>
    <s v="Normal"/>
  </r>
  <r>
    <n v="909"/>
    <d v="2026-01-19T00:00:00"/>
    <x v="2"/>
    <s v="Plant B"/>
    <x v="2"/>
    <x v="4"/>
    <x v="0"/>
    <x v="4"/>
    <s v="B260119-0909"/>
    <s v="OP106"/>
    <n v="706"/>
    <n v="694"/>
    <n v="654"/>
    <n v="40"/>
    <n v="11"/>
    <n v="52"/>
    <s v="Power Failure"/>
    <n v="57"/>
    <n v="57"/>
    <n v="67.3"/>
    <n v="1.68"/>
    <n v="28.79"/>
    <n v="17946.07"/>
    <n v="8"/>
    <s v="Overdue"/>
    <n v="45"/>
    <n v="30792.05"/>
    <n v="0.94236311239193105"/>
    <n v="21805.18"/>
    <n v="284.44779538904902"/>
    <n v="670.7"/>
    <n v="0.92246906217384805"/>
    <n v="8702.4222046109498"/>
    <n v="0.98300283286118983"/>
    <n v="5.7636887608069162E-2"/>
    <n v="1.5850144092219021E-2"/>
    <n v="0.94236311239193082"/>
    <n v="0.8666666666666667"/>
    <n v="618.70000000000005"/>
    <n v="1.1217068045902698"/>
    <n v="1.0526315789473684"/>
    <n v="1.0656214643607564"/>
    <n v="0.94236311239193082"/>
    <n v="0.92634560906515562"/>
    <n v="31.41956772334294"/>
    <n v="12.539513263128169"/>
    <s v="High"/>
    <s v="Normal"/>
  </r>
  <r>
    <n v="910"/>
    <d v="2026-01-04T00:00:00"/>
    <x v="2"/>
    <s v="Plant B"/>
    <x v="4"/>
    <x v="13"/>
    <x v="0"/>
    <x v="3"/>
    <s v="B260104-0910"/>
    <s v="OP102"/>
    <n v="747"/>
    <n v="663"/>
    <n v="628"/>
    <n v="35"/>
    <n v="13"/>
    <n v="30"/>
    <s v="Machine Breakdown"/>
    <n v="49"/>
    <n v="53"/>
    <n v="75.400000000000006"/>
    <n v="2.12"/>
    <n v="27.11"/>
    <n v="13780.69"/>
    <n v="7.9"/>
    <s v="Overdue"/>
    <n v="36"/>
    <n v="23926.98"/>
    <n v="0.947209653092006"/>
    <n v="17579.68"/>
    <n v="270.20960784313701"/>
    <n v="610.04999999999995"/>
    <n v="0.95082370297516605"/>
    <n v="6077.0903921568597"/>
    <n v="0.8875502008032129"/>
    <n v="5.2790346907993967E-2"/>
    <n v="1.9607843137254902E-2"/>
    <n v="0.947209653092006"/>
    <n v="0.5"/>
    <n v="580.04999999999995"/>
    <n v="1.1430049133695372"/>
    <n v="1.2244897959183674"/>
    <n v="0.93345401258512206"/>
    <n v="0.947209653092006"/>
    <n v="0.84069611780455167"/>
    <n v="26.515354449472095"/>
    <n v="9.1660488569485068"/>
    <s v="High"/>
    <s v="Warning"/>
  </r>
  <r>
    <n v="911"/>
    <d v="2026-04-13T00:00:00"/>
    <x v="5"/>
    <s v="Plant B"/>
    <x v="0"/>
    <x v="0"/>
    <x v="1"/>
    <x v="4"/>
    <s v="B260413-0911"/>
    <s v="OP110"/>
    <n v="620"/>
    <n v="575"/>
    <n v="552"/>
    <n v="23"/>
    <n v="8"/>
    <n v="11"/>
    <s v="Setup Time"/>
    <n v="57"/>
    <n v="58"/>
    <n v="64.7"/>
    <n v="2.14"/>
    <n v="17.5"/>
    <n v="15224.03"/>
    <n v="9.69"/>
    <s v="Completed"/>
    <n v="15"/>
    <n v="25925.24"/>
    <n v="0.96"/>
    <n v="19742.03"/>
    <n v="211.81259130434799"/>
    <n v="589"/>
    <n v="0.98132427843803105"/>
    <n v="5971.3974086956596"/>
    <n v="0.92741935483870963"/>
    <n v="0.04"/>
    <n v="1.391304347826087E-2"/>
    <n v="0.96"/>
    <n v="0.18333333333333332"/>
    <n v="578"/>
    <n v="0.99480968858131491"/>
    <n v="1.0526315789473684"/>
    <n v="0.94506920415224926"/>
    <n v="0.96"/>
    <n v="0.8903225806451619"/>
    <n v="34.333965217391302"/>
    <n v="10.385038971644626"/>
    <s v="Low"/>
    <s v="Normal"/>
  </r>
  <r>
    <n v="912"/>
    <d v="2026-05-09T00:00:00"/>
    <x v="3"/>
    <s v="Plant A"/>
    <x v="1"/>
    <x v="2"/>
    <x v="0"/>
    <x v="1"/>
    <s v="B260509-0912"/>
    <s v="OP131"/>
    <n v="701"/>
    <n v="722"/>
    <n v="685"/>
    <n v="37"/>
    <n v="12"/>
    <n v="44"/>
    <s v="Machine Breakdown"/>
    <n v="45"/>
    <n v="48"/>
    <n v="80"/>
    <n v="2.5299999999999998"/>
    <n v="32.47"/>
    <n v="14053.01"/>
    <n v="8.09"/>
    <s v="Overdue"/>
    <n v="31"/>
    <n v="23464.71"/>
    <n v="0.94875346260387805"/>
    <n v="17985.740000000002"/>
    <n v="233.56803324099701"/>
    <n v="525.75"/>
    <n v="0.91631003328578198"/>
    <n v="5245.4019667590001"/>
    <n v="1.0299572039942939"/>
    <n v="5.1246537396121887E-2"/>
    <n v="1.662049861495845E-2"/>
    <n v="0.94875346260387816"/>
    <n v="0.73333333333333328"/>
    <n v="481.75"/>
    <n v="1.4987026466009341"/>
    <n v="1.3333333333333333"/>
    <n v="1.1240269849507007"/>
    <n v="0.94875346260387816"/>
    <n v="0.97717546362339502"/>
    <n v="24.910997229916898"/>
    <n v="7.2650996769515235"/>
    <s v="High"/>
    <s v="Warning"/>
  </r>
  <r>
    <n v="913"/>
    <d v="2026-04-10T00:00:00"/>
    <x v="5"/>
    <s v="Plant B"/>
    <x v="0"/>
    <x v="3"/>
    <x v="0"/>
    <x v="3"/>
    <s v="B260410-0913"/>
    <s v="OP122"/>
    <n v="644"/>
    <n v="640"/>
    <n v="615"/>
    <n v="25"/>
    <n v="5"/>
    <n v="8"/>
    <s v="Preventive Maintenance"/>
    <n v="49"/>
    <n v="48"/>
    <n v="70.900000000000006"/>
    <n v="2.84"/>
    <n v="18.420000000000002"/>
    <n v="14764.26"/>
    <n v="9.3800000000000008"/>
    <s v="Scheduled"/>
    <n v="26"/>
    <n v="24003.759999999998"/>
    <n v="0.9609375"/>
    <n v="19151.04"/>
    <n v="115.34578125"/>
    <n v="525.93333333333305"/>
    <n v="0.98478894663455396"/>
    <n v="4737.3742187500002"/>
    <n v="0.99378881987577639"/>
    <n v="3.90625E-2"/>
    <n v="7.8125E-3"/>
    <n v="0.9609375"/>
    <n v="0.13333333333333333"/>
    <n v="517.93333333333305"/>
    <n v="1.2356802677307253"/>
    <n v="1.2244897959183674"/>
    <n v="1.0091388853134255"/>
    <n v="0.9609375"/>
    <n v="0.95496894409937871"/>
    <n v="29.923500000000001"/>
    <n v="7.4021472167968749"/>
    <s v="Low"/>
    <s v="Normal"/>
  </r>
  <r>
    <n v="914"/>
    <d v="2026-04-04T00:00:00"/>
    <x v="5"/>
    <s v="Plant B"/>
    <x v="4"/>
    <x v="13"/>
    <x v="1"/>
    <x v="2"/>
    <s v="B260404-0914"/>
    <s v="OP104"/>
    <n v="671"/>
    <n v="549"/>
    <n v="517"/>
    <n v="32"/>
    <n v="11"/>
    <n v="43"/>
    <s v="Setup Time"/>
    <n v="64"/>
    <n v="69"/>
    <n v="79.3"/>
    <n v="2.4300000000000002"/>
    <n v="23.73"/>
    <n v="17487.080000000002"/>
    <n v="7.45"/>
    <s v="Scheduled"/>
    <n v="23"/>
    <n v="27356.09"/>
    <n v="0.94171220400728595"/>
    <n v="21053.15"/>
    <n v="350.37865209471801"/>
    <n v="715.73333333333301"/>
    <n v="0.93992175856930005"/>
    <n v="5952.5613479052799"/>
    <n v="0.81818181818181823"/>
    <n v="5.8287795992714025E-2"/>
    <n v="2.0036429872495445E-2"/>
    <n v="0.94171220400728595"/>
    <n v="0.71666666666666667"/>
    <n v="672.73333333333301"/>
    <n v="0.81607372906550435"/>
    <n v="0.9375"/>
    <n v="0.87047864433653799"/>
    <n v="0.94171220400728595"/>
    <n v="0.77049180327868927"/>
    <n v="38.348178506375227"/>
    <n v="10.842552546275556"/>
    <s v="High"/>
    <s v="Warning"/>
  </r>
  <r>
    <n v="915"/>
    <d v="2026-04-10T00:00:00"/>
    <x v="5"/>
    <s v="Plant B"/>
    <x v="3"/>
    <x v="7"/>
    <x v="0"/>
    <x v="3"/>
    <s v="B260410-0915"/>
    <s v="OP125"/>
    <n v="621"/>
    <n v="582"/>
    <n v="557"/>
    <n v="25"/>
    <n v="6"/>
    <n v="19"/>
    <s v="Material Shortage"/>
    <n v="49"/>
    <n v="52"/>
    <n v="74.5"/>
    <n v="1.48"/>
    <n v="20.2"/>
    <n v="12543.79"/>
    <n v="9.26"/>
    <s v="Scheduled"/>
    <n v="30"/>
    <n v="20583.759999999998"/>
    <n v="0.95704467353951905"/>
    <n v="16892.59"/>
    <n v="129.31742268041199"/>
    <n v="507.15"/>
    <n v="0.96253573893325495"/>
    <n v="3561.8525773195902"/>
    <n v="0.9371980676328503"/>
    <n v="4.29553264604811E-2"/>
    <n v="1.0309278350515464E-2"/>
    <n v="0.95704467353951894"/>
    <n v="0.31666666666666665"/>
    <n v="488.15"/>
    <n v="1.192256478541432"/>
    <n v="1.2244897959183674"/>
    <n v="0.97367612414216942"/>
    <n v="0.95704467353951894"/>
    <n v="0.89694041867954966"/>
    <n v="29.025068728522339"/>
    <n v="6.12002161051476"/>
    <s v="Medium"/>
    <s v="Normal"/>
  </r>
  <r>
    <n v="916"/>
    <d v="2026-04-12T00:00:00"/>
    <x v="5"/>
    <s v="Plant A"/>
    <x v="1"/>
    <x v="5"/>
    <x v="0"/>
    <x v="0"/>
    <s v="B260412-0916"/>
    <s v="OP134"/>
    <n v="764"/>
    <n v="861"/>
    <n v="836"/>
    <n v="25"/>
    <n v="5"/>
    <n v="0"/>
    <s v="No Downtime"/>
    <n v="42"/>
    <n v="44"/>
    <n v="71.400000000000006"/>
    <n v="2"/>
    <n v="25.43"/>
    <n v="16512.43"/>
    <n v="9"/>
    <s v="Completed"/>
    <n v="25"/>
    <n v="26535.05"/>
    <n v="0.97096399535423905"/>
    <n v="20791.3"/>
    <n v="95.890998838559796"/>
    <n v="534.79999999999995"/>
    <n v="1"/>
    <n v="5647.8590011614397"/>
    <n v="1.1269633507853403"/>
    <n v="2.9036004645760744E-2"/>
    <n v="5.8072009291521487E-3"/>
    <n v="0.97096399535423927"/>
    <n v="0"/>
    <n v="534.79999999999995"/>
    <n v="1.6099476439790577"/>
    <n v="1.4285714285714286"/>
    <n v="1.1269633507853403"/>
    <n v="0.97096399535423927"/>
    <n v="1.0942408376963351"/>
    <n v="24.147851335656213"/>
    <n v="6.5596504078530078"/>
    <s v="Low"/>
    <s v="Normal"/>
  </r>
  <r>
    <n v="917"/>
    <d v="2026-01-06T00:00:00"/>
    <x v="2"/>
    <s v="Plant B"/>
    <x v="4"/>
    <x v="14"/>
    <x v="1"/>
    <x v="1"/>
    <s v="B260106-0917"/>
    <s v="OP130"/>
    <n v="869"/>
    <n v="836"/>
    <n v="765"/>
    <n v="71"/>
    <n v="14"/>
    <n v="10"/>
    <s v="Operator Issue"/>
    <n v="45"/>
    <n v="47"/>
    <n v="60.2"/>
    <n v="2.73"/>
    <n v="33.32"/>
    <n v="17996.060000000001"/>
    <n v="9.93"/>
    <s v="Pending"/>
    <n v="20"/>
    <n v="27034.59"/>
    <n v="0.91507177033492804"/>
    <n v="22764.44"/>
    <n v="301.36942583732099"/>
    <n v="651.75"/>
    <n v="0.984656693517453"/>
    <n v="3968.7805741626798"/>
    <n v="0.96202531645569622"/>
    <n v="8.4928229665071769E-2"/>
    <n v="1.6746411483253589E-2"/>
    <n v="0.91507177033492826"/>
    <n v="0.16666666666666666"/>
    <n v="641.75"/>
    <n v="1.3026879626022594"/>
    <n v="1.3333333333333333"/>
    <n v="0.97701597195169454"/>
    <n v="0.91507177033492826"/>
    <n v="0.88032220943613348"/>
    <n v="27.230191387559806"/>
    <n v="4.7473451844051198"/>
    <s v="Medium"/>
    <s v="Warning"/>
  </r>
  <r>
    <n v="918"/>
    <d v="2026-03-07T00:00:00"/>
    <x v="1"/>
    <s v="Plant B"/>
    <x v="2"/>
    <x v="4"/>
    <x v="0"/>
    <x v="3"/>
    <s v="B260307-0918"/>
    <s v="OP119"/>
    <n v="766"/>
    <n v="817"/>
    <n v="766"/>
    <n v="51"/>
    <n v="17"/>
    <n v="23"/>
    <s v="Tool Change"/>
    <n v="49"/>
    <n v="51"/>
    <n v="76.599999999999994"/>
    <n v="2.48"/>
    <n v="29.56"/>
    <n v="18705.11"/>
    <n v="8.68"/>
    <s v="Completed"/>
    <n v="28"/>
    <n v="29946.92"/>
    <n v="0.93757649938800502"/>
    <n v="22877.15"/>
    <n v="389.212815177479"/>
    <n v="625.56666666666695"/>
    <n v="0.96323333510950104"/>
    <n v="6680.55718482252"/>
    <n v="1.066579634464752"/>
    <n v="6.2423500611995107E-2"/>
    <n v="2.0807833537331701E-2"/>
    <n v="0.93757649938800491"/>
    <n v="0.38333333333333336"/>
    <n v="602.56666666666695"/>
    <n v="1.3558665707805493"/>
    <n v="1.2244897959183674"/>
    <n v="1.1072910328041152"/>
    <n v="0.93757649938800491"/>
    <n v="0.99999999999999989"/>
    <n v="28.001407588739291"/>
    <n v="8.1769365787301354"/>
    <s v="Low"/>
    <s v="Normal"/>
  </r>
  <r>
    <n v="919"/>
    <d v="2026-02-10T00:00:00"/>
    <x v="4"/>
    <s v="Plant A"/>
    <x v="2"/>
    <x v="9"/>
    <x v="0"/>
    <x v="0"/>
    <s v="B260210-0919"/>
    <s v="OP132"/>
    <n v="746"/>
    <n v="730"/>
    <n v="698"/>
    <n v="32"/>
    <n v="8"/>
    <n v="22"/>
    <s v="Setup Time"/>
    <n v="42"/>
    <n v="43"/>
    <n v="63.1"/>
    <n v="1.88"/>
    <n v="29.54"/>
    <n v="13377.94"/>
    <n v="10.02"/>
    <s v="Completed"/>
    <n v="22"/>
    <n v="21929.58"/>
    <n v="0.95616438356164402"/>
    <n v="18152.8"/>
    <n v="146.60756164383599"/>
    <n v="522.20000000000005"/>
    <n v="0.95787054768288005"/>
    <n v="3630.17243835616"/>
    <n v="0.97855227882037532"/>
    <n v="4.3835616438356165E-2"/>
    <n v="1.0958904109589041E-2"/>
    <n v="0.95616438356164379"/>
    <n v="0.36666666666666664"/>
    <n v="500.20000000000005"/>
    <n v="1.4594162335065972"/>
    <n v="1.4285714285714286"/>
    <n v="1.0215913634546181"/>
    <n v="0.95616438356164379"/>
    <n v="0.93565683646112585"/>
    <n v="24.866849315068492"/>
    <n v="4.9728389566522742"/>
    <s v="Low"/>
    <s v="Normal"/>
  </r>
  <r>
    <n v="920"/>
    <d v="2026-01-17T00:00:00"/>
    <x v="2"/>
    <s v="Plant B"/>
    <x v="2"/>
    <x v="10"/>
    <x v="0"/>
    <x v="3"/>
    <s v="B260117-0920"/>
    <s v="OP113"/>
    <n v="622"/>
    <n v="602"/>
    <n v="545"/>
    <n v="57"/>
    <n v="18"/>
    <n v="32"/>
    <s v="Power Failure"/>
    <n v="49"/>
    <n v="55"/>
    <n v="71.3"/>
    <n v="2.2799999999999998"/>
    <n v="21.13"/>
    <n v="12929.68"/>
    <n v="7.64"/>
    <s v="Scheduled"/>
    <n v="35"/>
    <n v="20470.91"/>
    <n v="0.90531561461793997"/>
    <n v="16557.849999999999"/>
    <n v="386.60172757475101"/>
    <n v="507.96666666666698"/>
    <n v="0.93700374040291401"/>
    <n v="3526.45827242525"/>
    <n v="0.96784565916398713"/>
    <n v="9.4684385382059796E-2"/>
    <n v="2.9900332225913623E-2"/>
    <n v="0.90531561461794019"/>
    <n v="0.53333333333333333"/>
    <n v="475.96666666666698"/>
    <n v="1.2647944533930939"/>
    <n v="1.2244897959183674"/>
    <n v="1.0329154702710266"/>
    <n v="0.90531561461794019"/>
    <n v="0.87620578778135016"/>
    <n v="27.5047342192691"/>
    <n v="5.8579041070186877"/>
    <s v="Medium"/>
    <s v="Warning"/>
  </r>
  <r>
    <n v="921"/>
    <d v="2026-05-26T00:00:00"/>
    <x v="3"/>
    <s v="Plant B"/>
    <x v="0"/>
    <x v="0"/>
    <x v="0"/>
    <x v="3"/>
    <s v="B260526-0921"/>
    <s v="OP124"/>
    <n v="729"/>
    <n v="700"/>
    <n v="663"/>
    <n v="37"/>
    <n v="7"/>
    <n v="0"/>
    <s v="No Downtime"/>
    <n v="49"/>
    <n v="54"/>
    <n v="72.3"/>
    <n v="2.0099999999999998"/>
    <n v="25.45"/>
    <n v="15539.67"/>
    <n v="8.17"/>
    <s v="Overdue"/>
    <n v="30"/>
    <n v="25854.18"/>
    <n v="0.94714285714285695"/>
    <n v="19445.22"/>
    <n v="155.39670000000001"/>
    <n v="595.35"/>
    <n v="1"/>
    <n v="6253.5632999999998"/>
    <n v="0.96021947873799729"/>
    <n v="5.2857142857142859E-2"/>
    <n v="0.01"/>
    <n v="0.94714285714285718"/>
    <n v="0"/>
    <n v="595.35"/>
    <n v="1.1757789535567313"/>
    <n v="1.2244897959183674"/>
    <n v="0.96021947873799729"/>
    <n v="0.94714285714285718"/>
    <n v="0.90946502057613177"/>
    <n v="27.778885714285718"/>
    <n v="8.933661857142857"/>
    <s v="High"/>
    <s v="Normal"/>
  </r>
  <r>
    <n v="922"/>
    <d v="2026-04-14T00:00:00"/>
    <x v="5"/>
    <s v="Plant A"/>
    <x v="1"/>
    <x v="2"/>
    <x v="0"/>
    <x v="0"/>
    <s v="B260414-0922"/>
    <s v="OP116"/>
    <n v="819"/>
    <n v="877"/>
    <n v="840"/>
    <n v="37"/>
    <n v="11"/>
    <n v="16"/>
    <s v="Preventive Maintenance"/>
    <n v="42"/>
    <n v="44"/>
    <n v="62.1"/>
    <n v="2.73"/>
    <n v="34.54"/>
    <n v="17185.939999999999"/>
    <n v="10.16"/>
    <s v="Scheduled"/>
    <n v="17"/>
    <n v="27365.919999999998"/>
    <n v="0.95781071835803899"/>
    <n v="22068.799999999999"/>
    <n v="215.559110604333"/>
    <n v="573.29999999999995"/>
    <n v="0.97209140066282895"/>
    <n v="5081.5608893956696"/>
    <n v="1.0708180708180708"/>
    <n v="4.2189281641961229E-2"/>
    <n v="1.2542759407069556E-2"/>
    <n v="0.95781071835803877"/>
    <n v="0.26666666666666666"/>
    <n v="557.29999999999995"/>
    <n v="1.5736587116454335"/>
    <n v="1.4285714285714286"/>
    <n v="1.1015610981518034"/>
    <n v="0.95781071835803877"/>
    <n v="1.0256410256410253"/>
    <n v="25.163968072976054"/>
    <n v="5.7942541498240248"/>
    <s v="Low"/>
    <s v="Normal"/>
  </r>
  <r>
    <n v="923"/>
    <d v="2026-01-23T00:00:00"/>
    <x v="2"/>
    <s v="Plant B"/>
    <x v="3"/>
    <x v="8"/>
    <x v="2"/>
    <x v="0"/>
    <s v="B260123-0923"/>
    <s v="OP112"/>
    <n v="803"/>
    <n v="633"/>
    <n v="585"/>
    <n v="48"/>
    <n v="11"/>
    <n v="37"/>
    <s v="Machine Breakdown"/>
    <n v="42"/>
    <n v="47"/>
    <n v="78.099999999999994"/>
    <n v="1.99"/>
    <n v="27.83"/>
    <n v="11371.94"/>
    <n v="6.16"/>
    <s v="Scheduled"/>
    <n v="15"/>
    <n v="18308.2"/>
    <n v="0.92417061611374396"/>
    <n v="14394.41"/>
    <n v="197.616650868878"/>
    <n v="562.1"/>
    <n v="0.93417541362746903"/>
    <n v="3716.1733491311202"/>
    <n v="0.78829389788293902"/>
    <n v="7.582938388625593E-2"/>
    <n v="1.7377567140600316E-2"/>
    <n v="0.92417061611374407"/>
    <n v="0.6166666666666667"/>
    <n v="525.1"/>
    <n v="1.2054846695867454"/>
    <n v="1.4285714285714286"/>
    <n v="0.84383926871072179"/>
    <n v="0.92417061611374407"/>
    <n v="0.72851805728518104"/>
    <n v="22.739984202211691"/>
    <n v="5.8707319891486893"/>
    <s v="High"/>
    <s v="Critical"/>
  </r>
  <r>
    <n v="924"/>
    <d v="2026-03-03T00:00:00"/>
    <x v="1"/>
    <s v="Plant A"/>
    <x v="1"/>
    <x v="2"/>
    <x v="0"/>
    <x v="2"/>
    <s v="B260303-0924"/>
    <s v="OP112"/>
    <n v="516"/>
    <n v="519"/>
    <n v="490"/>
    <n v="29"/>
    <n v="6"/>
    <n v="9"/>
    <s v="Setup Time"/>
    <n v="64"/>
    <n v="63"/>
    <n v="70.2"/>
    <n v="1.1599999999999999"/>
    <n v="16.52"/>
    <n v="16234.25"/>
    <n v="8.08"/>
    <s v="Overdue"/>
    <n v="16"/>
    <n v="24815.37"/>
    <n v="0.94412331406551098"/>
    <n v="20018.93"/>
    <n v="187.67919075144499"/>
    <n v="550.4"/>
    <n v="0.98364825581395399"/>
    <n v="4608.7608092485498"/>
    <n v="1.0058139534883721"/>
    <n v="5.5876685934489405E-2"/>
    <n v="1.1560693641618497E-2"/>
    <n v="0.94412331406551064"/>
    <n v="0.15"/>
    <n v="541.4"/>
    <n v="0.95862578500184714"/>
    <n v="0.9375"/>
    <n v="1.0225341706686371"/>
    <n v="0.94412331406551064"/>
    <n v="0.94961240310077588"/>
    <n v="38.572119460500964"/>
    <n v="8.8800786305367048"/>
    <s v="High"/>
    <s v="Normal"/>
  </r>
  <r>
    <n v="925"/>
    <d v="2026-06-07T00:00:00"/>
    <x v="0"/>
    <s v="Plant A"/>
    <x v="3"/>
    <x v="8"/>
    <x v="1"/>
    <x v="3"/>
    <s v="B260607-0925"/>
    <s v="OP114"/>
    <n v="772"/>
    <n v="703"/>
    <n v="660"/>
    <n v="43"/>
    <n v="11"/>
    <n v="37"/>
    <s v="Machine Breakdown"/>
    <n v="49"/>
    <n v="51"/>
    <n v="66.5"/>
    <n v="2.4700000000000002"/>
    <n v="25.43"/>
    <n v="14644.9"/>
    <n v="9.34"/>
    <s v="Completed"/>
    <n v="38"/>
    <n v="25182.92"/>
    <n v="0.93883357041251803"/>
    <n v="19076.77"/>
    <n v="229.15206258890501"/>
    <n v="630.46666666666704"/>
    <n v="0.94131331288992304"/>
    <n v="5876.9979374110899"/>
    <n v="0.9106217616580311"/>
    <n v="6.1166429587482217E-2"/>
    <n v="1.5647226173541962E-2"/>
    <n v="0.9388335704125178"/>
    <n v="0.6166666666666667"/>
    <n v="593.46666666666704"/>
    <n v="1.1845652662323065"/>
    <n v="1.2244897959183674"/>
    <n v="0.96739496742305031"/>
    <n v="0.9388335704125178"/>
    <n v="0.85492227979274571"/>
    <n v="27.136230440967285"/>
    <n v="8.3598832680100852"/>
    <s v="Medium"/>
    <s v="Normal"/>
  </r>
  <r>
    <n v="926"/>
    <d v="2026-06-05T00:00:00"/>
    <x v="0"/>
    <s v="Plant A"/>
    <x v="3"/>
    <x v="11"/>
    <x v="2"/>
    <x v="0"/>
    <s v="B260605-0926"/>
    <s v="OP101"/>
    <n v="921"/>
    <n v="797"/>
    <n v="725"/>
    <n v="72"/>
    <n v="21"/>
    <n v="34"/>
    <s v="Operator Issue"/>
    <n v="42"/>
    <n v="44"/>
    <n v="65.900000000000006"/>
    <n v="1.55"/>
    <n v="28.65"/>
    <n v="15521.65"/>
    <n v="7.41"/>
    <s v="Scheduled"/>
    <n v="2"/>
    <n v="23478.18"/>
    <n v="0.90966122961104201"/>
    <n v="19114"/>
    <n v="408.97697616060202"/>
    <n v="644.70000000000005"/>
    <n v="0.94726229253916605"/>
    <n v="3955.2030238394"/>
    <n v="0.86536373507057551"/>
    <n v="9.03387703889586E-2"/>
    <n v="2.6348808030112924E-2"/>
    <n v="0.90966122961104146"/>
    <n v="0.56666666666666665"/>
    <n v="610.70000000000005"/>
    <n v="1.3050597674799409"/>
    <n v="1.4285714285714286"/>
    <n v="0.91354183723595861"/>
    <n v="0.90966122961104146"/>
    <n v="0.7871878393051035"/>
    <n v="23.982434127979925"/>
    <n v="4.962613580726976"/>
    <s v="High"/>
    <s v="Warning"/>
  </r>
  <r>
    <n v="927"/>
    <d v="2026-01-09T00:00:00"/>
    <x v="2"/>
    <s v="Plant B"/>
    <x v="1"/>
    <x v="2"/>
    <x v="1"/>
    <x v="0"/>
    <s v="B260109-0927"/>
    <s v="OP129"/>
    <n v="721"/>
    <n v="658"/>
    <n v="631"/>
    <n v="27"/>
    <n v="10"/>
    <n v="29"/>
    <s v="Operator Issue"/>
    <n v="42"/>
    <n v="42"/>
    <n v="78.400000000000006"/>
    <n v="2.12"/>
    <n v="20.309999999999999"/>
    <n v="12476.92"/>
    <n v="8.76"/>
    <s v="Completed"/>
    <n v="18"/>
    <n v="20187.23"/>
    <n v="0.95896656534954405"/>
    <n v="16601.71"/>
    <n v="189.618844984802"/>
    <n v="504.7"/>
    <n v="0.94254012284525501"/>
    <n v="3395.9011550151999"/>
    <n v="0.91262135922330101"/>
    <n v="4.1033434650455926E-2"/>
    <n v="1.5197568389057751E-2"/>
    <n v="0.95896656534954405"/>
    <n v="0.48333333333333334"/>
    <n v="475.7"/>
    <n v="1.383224721463107"/>
    <n v="1.4285714285714286"/>
    <n v="0.96825730502417495"/>
    <n v="0.95896656534954405"/>
    <n v="0.87517337031900189"/>
    <n v="25.230562310030393"/>
    <n v="5.1609440045823707"/>
    <s v="Low"/>
    <s v="Normal"/>
  </r>
  <r>
    <n v="928"/>
    <d v="2026-01-05T00:00:00"/>
    <x v="2"/>
    <s v="Plant B"/>
    <x v="1"/>
    <x v="2"/>
    <x v="1"/>
    <x v="3"/>
    <s v="B260105-0928"/>
    <s v="OP127"/>
    <n v="690"/>
    <n v="617"/>
    <n v="591"/>
    <n v="26"/>
    <n v="10"/>
    <n v="48"/>
    <s v="Power Failure"/>
    <n v="49"/>
    <n v="48"/>
    <n v="74.099999999999994"/>
    <n v="1.77"/>
    <n v="24.95"/>
    <n v="14139.14"/>
    <n v="8.83"/>
    <s v="Completed"/>
    <n v="17"/>
    <n v="23071.37"/>
    <n v="0.95786061588330595"/>
    <n v="18337.189999999999"/>
    <n v="229.159481361426"/>
    <n v="563.5"/>
    <n v="0.91481810115350504"/>
    <n v="4505.0205186385701"/>
    <n v="0.89420289855072466"/>
    <n v="4.2139384116693678E-2"/>
    <n v="1.6207455429497569E-2"/>
    <n v="0.95786061588330629"/>
    <n v="0.8"/>
    <n v="515.5"/>
    <n v="1.1968962172647915"/>
    <n v="1.2244897959183674"/>
    <n v="0.97746524409957969"/>
    <n v="0.95786061588330629"/>
    <n v="0.85652173913043483"/>
    <n v="29.719918962722851"/>
    <n v="7.301491926480665"/>
    <s v="Low"/>
    <s v="Normal"/>
  </r>
  <r>
    <n v="929"/>
    <d v="2026-03-09T00:00:00"/>
    <x v="1"/>
    <s v="Plant B"/>
    <x v="0"/>
    <x v="1"/>
    <x v="1"/>
    <x v="3"/>
    <s v="B260309-0929"/>
    <s v="OP132"/>
    <n v="726"/>
    <n v="622"/>
    <n v="580"/>
    <n v="42"/>
    <n v="17"/>
    <n v="18"/>
    <s v="Quality Inspection"/>
    <n v="49"/>
    <n v="51"/>
    <n v="79.599999999999994"/>
    <n v="2.65"/>
    <n v="22.16"/>
    <n v="14078.25"/>
    <n v="8.68"/>
    <s v="Overdue"/>
    <n v="54"/>
    <n v="21397.59"/>
    <n v="0.932475884244373"/>
    <n v="18183.689999999999"/>
    <n v="384.77532154340798"/>
    <n v="592.9"/>
    <n v="0.96964074886152796"/>
    <n v="2829.1246784565901"/>
    <n v="0.85674931129476584"/>
    <n v="6.7524115755627015E-2"/>
    <n v="2.7331189710610933E-2"/>
    <n v="0.932475884244373"/>
    <n v="0.3"/>
    <n v="574.9"/>
    <n v="1.0819272917029048"/>
    <n v="1.2244897959183674"/>
    <n v="0.88357395489070556"/>
    <n v="0.932475884244373"/>
    <n v="0.7988980716253441"/>
    <n v="29.234228295819932"/>
    <n v="4.548431958933425"/>
    <s v="High"/>
    <s v="Warning"/>
  </r>
  <r>
    <n v="930"/>
    <d v="2026-03-14T00:00:00"/>
    <x v="1"/>
    <s v="Plant A"/>
    <x v="3"/>
    <x v="7"/>
    <x v="1"/>
    <x v="3"/>
    <s v="B260314-0930"/>
    <s v="OP114"/>
    <n v="685"/>
    <n v="628"/>
    <n v="599"/>
    <n v="29"/>
    <n v="12"/>
    <n v="24"/>
    <s v="Setup Time"/>
    <n v="49"/>
    <n v="48"/>
    <n v="78.400000000000006"/>
    <n v="2.48"/>
    <n v="23.41"/>
    <n v="14082.15"/>
    <n v="9.35"/>
    <s v="Completed"/>
    <n v="21"/>
    <n v="22472.9"/>
    <n v="0.95382165605095504"/>
    <n v="18500.34"/>
    <n v="269.08566878980901"/>
    <n v="559.41666666666697"/>
    <n v="0.95709816773424705"/>
    <n v="3703.47433121019"/>
    <n v="0.91678832116788322"/>
    <n v="4.6178343949044583E-2"/>
    <n v="1.9108280254777069E-2"/>
    <n v="0.95382165605095537"/>
    <n v="0.4"/>
    <n v="535.41666666666697"/>
    <n v="1.1729182879377424"/>
    <n v="1.2244897959183674"/>
    <n v="0.95788326848248961"/>
    <n v="0.95382165605095537"/>
    <n v="0.87445255474452499"/>
    <n v="29.459140127388537"/>
    <n v="5.8972521197614487"/>
    <s v="Low"/>
    <s v="Normal"/>
  </r>
  <r>
    <n v="931"/>
    <d v="2026-03-28T00:00:00"/>
    <x v="1"/>
    <s v="Plant A"/>
    <x v="4"/>
    <x v="14"/>
    <x v="0"/>
    <x v="0"/>
    <s v="B260328-0931"/>
    <s v="OP129"/>
    <n v="943"/>
    <n v="865"/>
    <n v="750"/>
    <n v="115"/>
    <n v="25"/>
    <n v="34"/>
    <s v="Machine Breakdown"/>
    <n v="42"/>
    <n v="41"/>
    <n v="72.2"/>
    <n v="4.01"/>
    <n v="30.51"/>
    <n v="16010.21"/>
    <n v="8.09"/>
    <s v="Overdue"/>
    <n v="48"/>
    <n v="24395.07"/>
    <n v="0.86705202312138696"/>
    <n v="19925.3"/>
    <n v="462.72283236994201"/>
    <n v="660.1"/>
    <n v="0.94849265262839"/>
    <n v="4007.0471676300599"/>
    <n v="0.91728525980911979"/>
    <n v="0.13294797687861271"/>
    <n v="2.8901734104046242E-2"/>
    <n v="0.86705202312138729"/>
    <n v="0.56666666666666665"/>
    <n v="626.1"/>
    <n v="1.3815684395463983"/>
    <n v="1.4285714285714286"/>
    <n v="0.96709790768247883"/>
    <n v="0.86705202312138729"/>
    <n v="0.795334040296925"/>
    <n v="23.035028901734105"/>
    <n v="4.6324244712486244"/>
    <s v="High"/>
    <s v="Warning"/>
  </r>
  <r>
    <n v="932"/>
    <d v="2026-05-15T00:00:00"/>
    <x v="3"/>
    <s v="Plant A"/>
    <x v="3"/>
    <x v="8"/>
    <x v="1"/>
    <x v="4"/>
    <s v="B260515-0932"/>
    <s v="OP131"/>
    <n v="534"/>
    <n v="483"/>
    <n v="456"/>
    <n v="27"/>
    <n v="10"/>
    <n v="0"/>
    <s v="No Downtime"/>
    <n v="57"/>
    <n v="55"/>
    <n v="67.099999999999994"/>
    <n v="2.0299999999999998"/>
    <n v="17.91"/>
    <n v="13509.53"/>
    <n v="7.71"/>
    <s v="Completed"/>
    <n v="9"/>
    <n v="21579.53"/>
    <n v="0.94409937888198803"/>
    <n v="17140.22"/>
    <n v="279.70041407867501"/>
    <n v="507.3"/>
    <n v="1"/>
    <n v="4159.6095859213301"/>
    <n v="0.9044943820224719"/>
    <n v="5.5900621118012424E-2"/>
    <n v="2.0703933747412008E-2"/>
    <n v="0.94409937888198758"/>
    <n v="0"/>
    <n v="507.3"/>
    <n v="0.95209934949733888"/>
    <n v="1.0526315789473684"/>
    <n v="0.90449438202247201"/>
    <n v="0.94409937888198758"/>
    <n v="0.85393258426966301"/>
    <n v="35.48699792960663"/>
    <n v="8.6120281282015121"/>
    <s v="Low"/>
    <s v="Normal"/>
  </r>
  <r>
    <n v="933"/>
    <d v="2026-06-03T00:00:00"/>
    <x v="0"/>
    <s v="Plant B"/>
    <x v="1"/>
    <x v="5"/>
    <x v="1"/>
    <x v="3"/>
    <s v="B260603-0933"/>
    <s v="OP128"/>
    <n v="847"/>
    <n v="878"/>
    <n v="853"/>
    <n v="25"/>
    <n v="7"/>
    <n v="8"/>
    <s v="Machine Breakdown"/>
    <n v="49"/>
    <n v="52"/>
    <n v="72.400000000000006"/>
    <n v="1.31"/>
    <n v="26.49"/>
    <n v="18294.62"/>
    <n v="10.47"/>
    <s v="Completed"/>
    <n v="4"/>
    <n v="32188.77"/>
    <n v="0.97152619589977196"/>
    <n v="23244.53"/>
    <n v="145.85687927107099"/>
    <n v="691.71666666666704"/>
    <n v="0.98843457099486798"/>
    <n v="8798.3831207289295"/>
    <n v="1.0365997638724911"/>
    <n v="2.847380410022779E-2"/>
    <n v="7.972665148063782E-3"/>
    <n v="0.97152619589977218"/>
    <n v="0.13333333333333333"/>
    <n v="683.71666666666704"/>
    <n v="1.2841576676498543"/>
    <n v="1.2244897959183674"/>
    <n v="1.0487287619140477"/>
    <n v="0.97152619589977218"/>
    <n v="1.0070838252656431"/>
    <n v="26.474407744874714"/>
    <n v="10.020937495135454"/>
    <s v="Low"/>
    <s v="Normal"/>
  </r>
  <r>
    <n v="934"/>
    <d v="2026-02-03T00:00:00"/>
    <x v="4"/>
    <s v="Plant A"/>
    <x v="0"/>
    <x v="1"/>
    <x v="0"/>
    <x v="2"/>
    <s v="B260203-0934"/>
    <s v="OP129"/>
    <n v="625"/>
    <n v="607"/>
    <n v="566"/>
    <n v="41"/>
    <n v="16"/>
    <n v="35"/>
    <s v="Preventive Maintenance"/>
    <n v="64"/>
    <n v="66"/>
    <n v="68.400000000000006"/>
    <n v="2.31"/>
    <n v="22.39"/>
    <n v="18076.7"/>
    <n v="8.5"/>
    <s v="Completed"/>
    <n v="5"/>
    <n v="28561.13"/>
    <n v="0.93245469522240498"/>
    <n v="22103.21"/>
    <n v="476.486326194399"/>
    <n v="666.66666666666697"/>
    <n v="0.94750000000000001"/>
    <n v="5981.4336738055999"/>
    <n v="0.97119999999999995"/>
    <n v="6.7545304777594725E-2"/>
    <n v="2.6359143327841845E-2"/>
    <n v="0.93245469522240532"/>
    <n v="0.58333333333333337"/>
    <n v="631.66666666666697"/>
    <n v="0.96094986807387817"/>
    <n v="0.9375"/>
    <n v="1.0250131926121366"/>
    <n v="0.93245469522240532"/>
    <n v="0.90559999999999963"/>
    <n v="36.413855024711694"/>
    <n v="9.8540917196138391"/>
    <s v="Low"/>
    <s v="Normal"/>
  </r>
  <r>
    <n v="935"/>
    <d v="2026-04-09T00:00:00"/>
    <x v="5"/>
    <s v="Plant B"/>
    <x v="4"/>
    <x v="12"/>
    <x v="2"/>
    <x v="3"/>
    <s v="B260409-0935"/>
    <s v="OP134"/>
    <n v="687"/>
    <n v="566"/>
    <n v="496"/>
    <n v="70"/>
    <n v="15"/>
    <n v="40"/>
    <s v="Material Shortage"/>
    <n v="49"/>
    <n v="52"/>
    <n v="71.7"/>
    <n v="3.06"/>
    <n v="23.81"/>
    <n v="12495.76"/>
    <n v="8.41"/>
    <s v="Overdue"/>
    <n v="45"/>
    <n v="18301.77"/>
    <n v="0.87632508833922296"/>
    <n v="16494.55"/>
    <n v="331.15971731448798"/>
    <n v="561.04999999999995"/>
    <n v="0.92870510649674698"/>
    <n v="1476.0602826855099"/>
    <n v="0.82387190684133915"/>
    <n v="0.12367491166077739"/>
    <n v="2.6501766784452298E-2"/>
    <n v="0.87632508833922262"/>
    <n v="0.66666666666666663"/>
    <n v="521.04999999999995"/>
    <n v="1.0862681124652145"/>
    <n v="1.2244897959183674"/>
    <n v="0.8871189585132585"/>
    <n v="0.87632508833922262"/>
    <n v="0.72197962154294026"/>
    <n v="29.142314487632508"/>
    <n v="2.6078803581016077"/>
    <s v="High"/>
    <s v="Critical"/>
  </r>
  <r>
    <n v="936"/>
    <d v="2026-03-01T00:00:00"/>
    <x v="1"/>
    <s v="Plant B"/>
    <x v="1"/>
    <x v="5"/>
    <x v="1"/>
    <x v="3"/>
    <s v="B260301-0936"/>
    <s v="OP116"/>
    <n v="829"/>
    <n v="742"/>
    <n v="723"/>
    <n v="19"/>
    <n v="4"/>
    <n v="39"/>
    <s v="Setup Time"/>
    <n v="49"/>
    <n v="48"/>
    <n v="73.7"/>
    <n v="2.66"/>
    <n v="29.97"/>
    <n v="16403.45"/>
    <n v="8.6199999999999992"/>
    <s v="Scheduled"/>
    <n v="44"/>
    <n v="28270.39"/>
    <n v="0.97439353099730497"/>
    <n v="20552.18"/>
    <n v="88.428301886792497"/>
    <n v="677.01666666666699"/>
    <n v="0.94239432805691603"/>
    <n v="7629.78169811321"/>
    <n v="0.89505428226779249"/>
    <n v="2.5606469002695417E-2"/>
    <n v="5.3908355795148251E-3"/>
    <n v="0.97439353099730464"/>
    <n v="0.65"/>
    <n v="638.01666666666699"/>
    <n v="1.1629790235364796"/>
    <n v="1.2244897959183674"/>
    <n v="0.94976620255479172"/>
    <n v="0.97439353099730464"/>
    <n v="0.87213510253317172"/>
    <n v="27.698355795148249"/>
    <n v="10.282724660529933"/>
    <s v="Medium"/>
    <s v="Normal"/>
  </r>
  <r>
    <n v="937"/>
    <d v="2026-03-13T00:00:00"/>
    <x v="1"/>
    <s v="Plant A"/>
    <x v="3"/>
    <x v="7"/>
    <x v="1"/>
    <x v="0"/>
    <s v="B260313-0937"/>
    <s v="OP128"/>
    <n v="753"/>
    <n v="703"/>
    <n v="676"/>
    <n v="27"/>
    <n v="7"/>
    <n v="23"/>
    <s v="Operator Issue"/>
    <n v="42"/>
    <n v="45"/>
    <n v="69.3"/>
    <n v="2.27"/>
    <n v="22.76"/>
    <n v="12647.02"/>
    <n v="6.76"/>
    <s v="Completed"/>
    <n v="10"/>
    <n v="21037.86"/>
    <n v="0.96159317211948803"/>
    <n v="15893.86"/>
    <n v="125.930497866287"/>
    <n v="527.1"/>
    <n v="0.95636501612597202"/>
    <n v="5018.0695021337096"/>
    <n v="0.93359893758300128"/>
    <n v="3.8406827880512091E-2"/>
    <n v="9.9573257467994308E-3"/>
    <n v="0.96159317211948792"/>
    <n v="0.38333333333333336"/>
    <n v="504.1"/>
    <n v="1.3945645705217218"/>
    <n v="1.4285714285714286"/>
    <n v="0.97619519936520527"/>
    <n v="0.96159317211948792"/>
    <n v="0.8977423638778218"/>
    <n v="22.608620199146515"/>
    <n v="7.1380789504035702"/>
    <s v="Low"/>
    <s v="Normal"/>
  </r>
  <r>
    <n v="938"/>
    <d v="2026-02-22T00:00:00"/>
    <x v="4"/>
    <s v="Plant B"/>
    <x v="1"/>
    <x v="6"/>
    <x v="1"/>
    <x v="2"/>
    <s v="B260222-0938"/>
    <s v="OP101"/>
    <n v="596"/>
    <n v="543"/>
    <n v="508"/>
    <n v="35"/>
    <n v="12"/>
    <n v="0"/>
    <s v="No Downtime"/>
    <n v="64"/>
    <n v="67"/>
    <n v="67.400000000000006"/>
    <n v="1.23"/>
    <n v="19.079999999999998"/>
    <n v="17807.810000000001"/>
    <n v="6.56"/>
    <s v="Scheduled"/>
    <n v="14"/>
    <n v="26021.3"/>
    <n v="0.93554327808471505"/>
    <n v="20931.53"/>
    <n v="393.54276243093898"/>
    <n v="635.73333333333301"/>
    <n v="1"/>
    <n v="4696.22723756906"/>
    <n v="0.91107382550335569"/>
    <n v="6.4456721915285453E-2"/>
    <n v="2.2099447513812154E-2"/>
    <n v="0.9355432780847146"/>
    <n v="0"/>
    <n v="635.73333333333301"/>
    <n v="0.85413171140939637"/>
    <n v="0.9375"/>
    <n v="0.91107382550335614"/>
    <n v="0.9355432780847146"/>
    <n v="0.85234899328859104"/>
    <n v="38.547937384898709"/>
    <n v="8.6486689457993737"/>
    <s v="Low"/>
    <s v="Normal"/>
  </r>
  <r>
    <n v="939"/>
    <d v="2026-02-07T00:00:00"/>
    <x v="4"/>
    <s v="Plant A"/>
    <x v="3"/>
    <x v="8"/>
    <x v="0"/>
    <x v="4"/>
    <s v="B260207-0939"/>
    <s v="OP109"/>
    <n v="605"/>
    <n v="615"/>
    <n v="576"/>
    <n v="39"/>
    <n v="11"/>
    <n v="0"/>
    <s v="No Downtime"/>
    <n v="57"/>
    <n v="58"/>
    <n v="69.599999999999994"/>
    <n v="2.17"/>
    <n v="19.5"/>
    <n v="16633.59"/>
    <n v="8.5399999999999991"/>
    <s v="Pending"/>
    <n v="5"/>
    <n v="26744.49"/>
    <n v="0.93658536585365904"/>
    <n v="20652.09"/>
    <n v="297.51136585365902"/>
    <n v="574.75"/>
    <n v="1"/>
    <n v="5794.8886341463403"/>
    <n v="1.0165289256198347"/>
    <n v="6.3414634146341464E-2"/>
    <n v="1.7886178861788619E-2"/>
    <n v="0.93658536585365859"/>
    <n v="0"/>
    <n v="574.75"/>
    <n v="1.0700304480208787"/>
    <n v="1.0526315789473684"/>
    <n v="1.0165289256198349"/>
    <n v="0.93658536585365859"/>
    <n v="0.95206611570247957"/>
    <n v="33.580634146341467"/>
    <n v="9.4225831449533981"/>
    <s v="Medium"/>
    <s v="Normal"/>
  </r>
  <r>
    <n v="940"/>
    <d v="2026-01-18T00:00:00"/>
    <x v="2"/>
    <s v="Plant B"/>
    <x v="4"/>
    <x v="12"/>
    <x v="1"/>
    <x v="0"/>
    <s v="B260118-0940"/>
    <s v="OP101"/>
    <n v="976"/>
    <n v="828"/>
    <n v="707"/>
    <n v="121"/>
    <n v="48"/>
    <n v="68"/>
    <s v="Tool Change"/>
    <n v="42"/>
    <n v="44"/>
    <n v="67"/>
    <n v="3.91"/>
    <n v="27.65"/>
    <n v="15727.12"/>
    <n v="7.16"/>
    <s v="Overdue"/>
    <n v="67"/>
    <n v="22325.3"/>
    <n v="0.85386473429951704"/>
    <n v="19197.97"/>
    <n v="911.71710144927499"/>
    <n v="683.2"/>
    <n v="0.90046838407494201"/>
    <n v="2215.6128985507198"/>
    <n v="0.84836065573770492"/>
    <n v="0.1461352657004831"/>
    <n v="5.7971014492753624E-2"/>
    <n v="0.85386473429951693"/>
    <n v="1.1333333333333333"/>
    <n v="615.20000000000005"/>
    <n v="1.3459037711313393"/>
    <n v="1.4285714285714286"/>
    <n v="0.94213263979193751"/>
    <n v="0.85386473429951693"/>
    <n v="0.72438524590163977"/>
    <n v="23.185954106280196"/>
    <n v="2.675860988587826"/>
    <s v="High"/>
    <s v="Critical"/>
  </r>
  <r>
    <n v="941"/>
    <d v="2026-04-28T00:00:00"/>
    <x v="5"/>
    <s v="Plant B"/>
    <x v="1"/>
    <x v="2"/>
    <x v="2"/>
    <x v="0"/>
    <s v="B260428-0941"/>
    <s v="OP129"/>
    <n v="818"/>
    <n v="737"/>
    <n v="698"/>
    <n v="39"/>
    <n v="15"/>
    <n v="27"/>
    <s v="Preventive Maintenance"/>
    <n v="42"/>
    <n v="45"/>
    <n v="66.099999999999994"/>
    <n v="1.17"/>
    <n v="29.41"/>
    <n v="13635.57"/>
    <n v="7.36"/>
    <s v="Completed"/>
    <n v="18"/>
    <n v="22177.17"/>
    <n v="0.94708276797829005"/>
    <n v="17212.259999999998"/>
    <n v="277.52177747625501"/>
    <n v="572.6"/>
    <n v="0.95284666433810705"/>
    <n v="4687.3882225237503"/>
    <n v="0.90097799511002441"/>
    <n v="5.2917232021709636E-2"/>
    <n v="2.0352781546811399E-2"/>
    <n v="0.94708276797829039"/>
    <n v="0.45"/>
    <n v="545.6"/>
    <n v="1.3508064516129032"/>
    <n v="1.4285714285714286"/>
    <n v="0.94556451612903225"/>
    <n v="0.94708276797829039"/>
    <n v="0.85330073349633273"/>
    <n v="23.354491180461327"/>
    <n v="6.3600925678748306"/>
    <s v="Low"/>
    <s v="Normal"/>
  </r>
  <r>
    <n v="942"/>
    <d v="2026-04-03T00:00:00"/>
    <x v="5"/>
    <s v="Plant B"/>
    <x v="2"/>
    <x v="10"/>
    <x v="0"/>
    <x v="4"/>
    <s v="B260403-0942"/>
    <s v="OP102"/>
    <n v="758"/>
    <n v="721"/>
    <n v="627"/>
    <n v="94"/>
    <n v="22"/>
    <n v="43"/>
    <s v="Machine Breakdown"/>
    <n v="57"/>
    <n v="61"/>
    <n v="71.3"/>
    <n v="3.39"/>
    <n v="29.05"/>
    <n v="18723.29"/>
    <n v="9.4"/>
    <s v="Overdue"/>
    <n v="48"/>
    <n v="28718.12"/>
    <n v="0.86962552011095695"/>
    <n v="23214.74"/>
    <n v="571.30704576976404"/>
    <n v="720.1"/>
    <n v="0.94028607137897502"/>
    <n v="4932.0729542302297"/>
    <n v="0.95118733509234832"/>
    <n v="0.13037447988904299"/>
    <n v="3.0513176144244106E-2"/>
    <n v="0.86962552011095695"/>
    <n v="0.71666666666666667"/>
    <n v="677.1"/>
    <n v="1.064835327130409"/>
    <n v="1.0526315789473684"/>
    <n v="1.0115935607738886"/>
    <n v="0.86962552011095695"/>
    <n v="0.82717678100263836"/>
    <n v="32.197975034674066"/>
    <n v="6.8406004913040634"/>
    <s v="High"/>
    <s v="Warning"/>
  </r>
  <r>
    <n v="943"/>
    <d v="2026-03-11T00:00:00"/>
    <x v="1"/>
    <s v="Plant B"/>
    <x v="0"/>
    <x v="0"/>
    <x v="2"/>
    <x v="3"/>
    <s v="B260311-0943"/>
    <s v="OP130"/>
    <n v="848"/>
    <n v="763"/>
    <n v="717"/>
    <n v="46"/>
    <n v="14"/>
    <n v="14"/>
    <s v="Operator Issue"/>
    <n v="49"/>
    <n v="51"/>
    <n v="75.099999999999994"/>
    <n v="0.72"/>
    <n v="28.07"/>
    <n v="16690.18"/>
    <n v="7.1"/>
    <s v="Scheduled"/>
    <n v="22"/>
    <n v="27005.27"/>
    <n v="0.93971166448230703"/>
    <n v="20137.810000000001"/>
    <n v="306.24183486238502"/>
    <n v="692.53333333333296"/>
    <n v="0.979784366576819"/>
    <n v="6561.2181651376104"/>
    <n v="0.89976415094339623"/>
    <n v="6.0288335517693317E-2"/>
    <n v="1.834862385321101E-2"/>
    <n v="0.9397116644823067"/>
    <n v="0.23333333333333334"/>
    <n v="678.53333333333296"/>
    <n v="1.1244841815680886"/>
    <n v="1.2244897959183674"/>
    <n v="0.91832874828060562"/>
    <n v="0.9397116644823067"/>
    <n v="0.84551886792452835"/>
    <n v="26.392935779816515"/>
    <n v="8.5992374379260941"/>
    <s v="Medium"/>
    <s v="Warning"/>
  </r>
  <r>
    <n v="944"/>
    <d v="2026-01-17T00:00:00"/>
    <x v="2"/>
    <s v="Plant B"/>
    <x v="1"/>
    <x v="6"/>
    <x v="0"/>
    <x v="4"/>
    <s v="B260117-0944"/>
    <s v="OP124"/>
    <n v="650"/>
    <n v="686"/>
    <n v="648"/>
    <n v="38"/>
    <n v="11"/>
    <n v="23"/>
    <s v="Machine Breakdown"/>
    <n v="57"/>
    <n v="61"/>
    <n v="73"/>
    <n v="2.41"/>
    <n v="25.49"/>
    <n v="19905.18"/>
    <n v="9.99"/>
    <s v="Completed"/>
    <n v="18"/>
    <n v="29183.71"/>
    <n v="0.944606413994169"/>
    <n v="24630.09"/>
    <n v="319.17927113702598"/>
    <n v="617.5"/>
    <n v="0.96275303643724697"/>
    <n v="4234.44072886297"/>
    <n v="1.0553846153846154"/>
    <n v="5.5393586005830907E-2"/>
    <n v="1.6034985422740525E-2"/>
    <n v="0.94460641399416911"/>
    <n v="0.38333333333333336"/>
    <n v="594.5"/>
    <n v="1.1539108494533221"/>
    <n v="1.0526315789473684"/>
    <n v="1.0962153069806562"/>
    <n v="0.94460641399416911"/>
    <n v="0.99692307692307713"/>
    <n v="35.903921282798834"/>
    <n v="6.1726541237069537"/>
    <s v="Low"/>
    <s v="Normal"/>
  </r>
  <r>
    <n v="945"/>
    <d v="2026-06-01T00:00:00"/>
    <x v="0"/>
    <s v="Plant B"/>
    <x v="0"/>
    <x v="3"/>
    <x v="0"/>
    <x v="4"/>
    <s v="B260601-0945"/>
    <s v="OP102"/>
    <n v="681"/>
    <n v="800"/>
    <n v="770"/>
    <n v="30"/>
    <n v="12"/>
    <n v="0"/>
    <s v="No Downtime"/>
    <n v="57"/>
    <n v="61"/>
    <n v="78.7"/>
    <n v="1.7"/>
    <n v="30.56"/>
    <n v="22704.92"/>
    <n v="11.62"/>
    <s v="Completed"/>
    <n v="22"/>
    <n v="36116.050000000003"/>
    <n v="0.96250000000000002"/>
    <n v="28208.959999999999"/>
    <n v="340.57380000000001"/>
    <n v="646.95000000000005"/>
    <n v="1"/>
    <n v="7566.5162"/>
    <n v="1.1747430249632893"/>
    <n v="3.7499999999999999E-2"/>
    <n v="1.4999999999999999E-2"/>
    <n v="0.96250000000000002"/>
    <n v="0"/>
    <n v="646.95000000000005"/>
    <n v="1.236571605224515"/>
    <n v="1.0526315789473684"/>
    <n v="1.1747430249632893"/>
    <n v="0.96250000000000002"/>
    <n v="1.1306901615271661"/>
    <n v="35.261200000000002"/>
    <n v="9.4581452499999994"/>
    <s v="Low"/>
    <s v="Normal"/>
  </r>
  <r>
    <n v="946"/>
    <d v="2026-01-02T00:00:00"/>
    <x v="2"/>
    <s v="Plant B"/>
    <x v="1"/>
    <x v="6"/>
    <x v="1"/>
    <x v="2"/>
    <s v="B260102-0946"/>
    <s v="OP103"/>
    <n v="673"/>
    <n v="640"/>
    <n v="599"/>
    <n v="41"/>
    <n v="10"/>
    <n v="13"/>
    <s v="Tool Change"/>
    <n v="64"/>
    <n v="63"/>
    <n v="67.3"/>
    <n v="1.92"/>
    <n v="21.03"/>
    <n v="20227.48"/>
    <n v="9.51"/>
    <s v="Scheduled"/>
    <n v="12"/>
    <n v="31348.85"/>
    <n v="0.93593749999999998"/>
    <n v="24696.25"/>
    <n v="316.05437499999999"/>
    <n v="717.86666666666702"/>
    <n v="0.98189078751857395"/>
    <n v="6336.5456249999997"/>
    <n v="0.95096582466567603"/>
    <n v="6.4062499999999994E-2"/>
    <n v="1.5625E-2"/>
    <n v="0.93593749999999998"/>
    <n v="0.21666666666666667"/>
    <n v="704.86666666666702"/>
    <n v="0.90797313912796707"/>
    <n v="0.9375"/>
    <n v="0.96850468173649817"/>
    <n v="0.93593749999999998"/>
    <n v="0.89004457652303115"/>
    <n v="38.587890625"/>
    <n v="9.9008525390625"/>
    <s v="Low"/>
    <s v="Normal"/>
  </r>
  <r>
    <n v="947"/>
    <d v="2026-04-27T00:00:00"/>
    <x v="5"/>
    <s v="Plant A"/>
    <x v="3"/>
    <x v="11"/>
    <x v="0"/>
    <x v="3"/>
    <s v="B260427-0947"/>
    <s v="OP121"/>
    <n v="855"/>
    <n v="786"/>
    <n v="731"/>
    <n v="55"/>
    <n v="11"/>
    <n v="33"/>
    <s v="Machine Breakdown"/>
    <n v="49"/>
    <n v="54"/>
    <n v="78.5"/>
    <n v="2.63"/>
    <n v="25.97"/>
    <n v="18119.52"/>
    <n v="7.28"/>
    <s v="Completed"/>
    <n v="11"/>
    <n v="27511.77"/>
    <n v="0.93002544529262099"/>
    <n v="21629.25"/>
    <n v="253.58106870229"/>
    <n v="698.25"/>
    <n v="0.95273899033297504"/>
    <n v="5628.93893129771"/>
    <n v="0.91929824561403506"/>
    <n v="6.9974554707379136E-2"/>
    <n v="1.3994910941475827E-2"/>
    <n v="0.93002544529262088"/>
    <n v="0.55000000000000004"/>
    <n v="665.25"/>
    <n v="1.181510710259301"/>
    <n v="1.2244897959183674"/>
    <n v="0.96490041337842913"/>
    <n v="0.93002544529262088"/>
    <n v="0.85497076023391794"/>
    <n v="27.518129770992367"/>
    <n v="7.1614999125925065"/>
    <s v="Low"/>
    <s v="Normal"/>
  </r>
  <r>
    <n v="948"/>
    <d v="2026-01-11T00:00:00"/>
    <x v="2"/>
    <s v="Plant B"/>
    <x v="1"/>
    <x v="6"/>
    <x v="2"/>
    <x v="3"/>
    <s v="B260111-0948"/>
    <s v="OP106"/>
    <n v="888"/>
    <n v="804"/>
    <n v="756"/>
    <n v="48"/>
    <n v="12"/>
    <n v="0"/>
    <s v="No Downtime"/>
    <n v="49"/>
    <n v="50"/>
    <n v="70.599999999999994"/>
    <n v="2.9"/>
    <n v="32.770000000000003"/>
    <n v="16848.89"/>
    <n v="6.75"/>
    <s v="Completed"/>
    <n v="25"/>
    <n v="29396.38"/>
    <n v="0.94029850746268695"/>
    <n v="20181.32"/>
    <n v="251.47597014925401"/>
    <n v="725.2"/>
    <n v="1"/>
    <n v="8963.5840298507501"/>
    <n v="0.90540540540540537"/>
    <n v="5.9701492537313432E-2"/>
    <n v="1.4925373134328358E-2"/>
    <n v="0.94029850746268662"/>
    <n v="0"/>
    <n v="725.2"/>
    <n v="1.1086596800882516"/>
    <n v="1.2244897959183674"/>
    <n v="0.90540540540540537"/>
    <n v="0.94029850746268662"/>
    <n v="0.85135135135135132"/>
    <n v="25.101144278606967"/>
    <n v="11.148736355535759"/>
    <s v="Low"/>
    <s v="Normal"/>
  </r>
  <r>
    <n v="949"/>
    <d v="2026-01-14T00:00:00"/>
    <x v="2"/>
    <s v="Plant A"/>
    <x v="3"/>
    <x v="8"/>
    <x v="2"/>
    <x v="1"/>
    <s v="B260114-0949"/>
    <s v="OP104"/>
    <n v="781"/>
    <n v="682"/>
    <n v="631"/>
    <n v="51"/>
    <n v="20"/>
    <n v="22"/>
    <s v="Preventive Maintenance"/>
    <n v="45"/>
    <n v="47"/>
    <n v="69.5"/>
    <n v="2.2000000000000002"/>
    <n v="24.25"/>
    <n v="13231.79"/>
    <n v="8.83"/>
    <s v="Completed"/>
    <n v="29"/>
    <n v="22712.46"/>
    <n v="0.92521994134897401"/>
    <n v="17423.54"/>
    <n v="388.029032258065"/>
    <n v="585.75"/>
    <n v="0.96244131455399096"/>
    <n v="4900.8909677419297"/>
    <n v="0.87323943661971826"/>
    <n v="7.4780058651026396E-2"/>
    <n v="2.932551319648094E-2"/>
    <n v="0.92521994134897356"/>
    <n v="0.36666666666666664"/>
    <n v="563.75"/>
    <n v="1.2097560975609756"/>
    <n v="1.3333333333333333"/>
    <n v="0.90731707317073174"/>
    <n v="0.92521994134897356"/>
    <n v="0.80793854033290691"/>
    <n v="25.547712609970677"/>
    <n v="7.1860571374515096"/>
    <s v="Medium"/>
    <s v="Warning"/>
  </r>
  <r>
    <n v="950"/>
    <d v="2026-06-10T00:00:00"/>
    <x v="0"/>
    <s v="Plant B"/>
    <x v="4"/>
    <x v="13"/>
    <x v="1"/>
    <x v="3"/>
    <s v="B260610-0950"/>
    <s v="OP131"/>
    <n v="770"/>
    <n v="613"/>
    <n v="585"/>
    <n v="28"/>
    <n v="8"/>
    <n v="22"/>
    <s v="Operator Issue"/>
    <n v="49"/>
    <n v="52"/>
    <n v="68.2"/>
    <n v="2.2400000000000002"/>
    <n v="25.95"/>
    <n v="13453.25"/>
    <n v="7.72"/>
    <s v="Scheduled"/>
    <n v="25"/>
    <n v="21840.95"/>
    <n v="0.954323001631321"/>
    <n v="17160.8"/>
    <n v="175.57259380097901"/>
    <n v="628.83333333333303"/>
    <n v="0.96501457725947504"/>
    <n v="4504.5774061990196"/>
    <n v="0.79610389610389609"/>
    <n v="4.5676998368678633E-2"/>
    <n v="1.3050570962479609E-2"/>
    <n v="0.95432300163132133"/>
    <n v="0.36666666666666664"/>
    <n v="606.83333333333303"/>
    <n v="1.0101620433946723"/>
    <n v="1.2244897959183674"/>
    <n v="0.8249656687723157"/>
    <n v="0.95432300163132133"/>
    <n v="0.75974025974025994"/>
    <n v="27.994779771615008"/>
    <n v="7.3484133869478301"/>
    <s v="High"/>
    <s v="Warning"/>
  </r>
  <r>
    <n v="951"/>
    <d v="2026-01-31T00:00:00"/>
    <x v="2"/>
    <s v="Plant B"/>
    <x v="2"/>
    <x v="10"/>
    <x v="0"/>
    <x v="1"/>
    <s v="B260131-0951"/>
    <s v="OP111"/>
    <n v="755"/>
    <n v="769"/>
    <n v="690"/>
    <n v="79"/>
    <n v="27"/>
    <n v="44"/>
    <s v="Operator Issue"/>
    <n v="45"/>
    <n v="46"/>
    <n v="73.5"/>
    <n v="2.63"/>
    <n v="31.25"/>
    <n v="15247.62"/>
    <n v="7.92"/>
    <s v="Completed"/>
    <n v="25"/>
    <n v="24663.72"/>
    <n v="0.89726918075422601"/>
    <n v="19092.87"/>
    <n v="535.35206762028599"/>
    <n v="566.25"/>
    <n v="0.92229580573951397"/>
    <n v="5035.4979323797097"/>
    <n v="1.0185430463576159"/>
    <n v="0.10273081924577374"/>
    <n v="3.5110533159947985E-2"/>
    <n v="0.89726918075422624"/>
    <n v="0.73333333333333328"/>
    <n v="522.25"/>
    <n v="1.472474868358066"/>
    <n v="1.3333333333333333"/>
    <n v="1.1043561512685496"/>
    <n v="0.89726918075422624"/>
    <n v="0.91390728476821148"/>
    <n v="24.82817945383615"/>
    <n v="6.5481117456173079"/>
    <s v="Medium"/>
    <s v="Warning"/>
  </r>
  <r>
    <n v="952"/>
    <d v="2026-04-06T00:00:00"/>
    <x v="5"/>
    <s v="Plant A"/>
    <x v="2"/>
    <x v="10"/>
    <x v="1"/>
    <x v="3"/>
    <s v="B260406-0952"/>
    <s v="OP116"/>
    <n v="841"/>
    <n v="806"/>
    <n v="735"/>
    <n v="71"/>
    <n v="15"/>
    <n v="44"/>
    <s v="Material Shortage"/>
    <n v="49"/>
    <n v="52"/>
    <n v="68.2"/>
    <n v="2.21"/>
    <n v="32.9"/>
    <n v="17827.259999999998"/>
    <n v="8.9600000000000009"/>
    <s v="Overdue"/>
    <n v="32"/>
    <n v="27908.31"/>
    <n v="0.91191066997518599"/>
    <n v="22155.360000000001"/>
    <n v="331.77282878411899"/>
    <n v="686.81666666666695"/>
    <n v="0.93593632458928899"/>
    <n v="5421.1771712158898"/>
    <n v="0.95838287752675388"/>
    <n v="8.8089330024813894E-2"/>
    <n v="1.8610421836228287E-2"/>
    <n v="0.91191066997518611"/>
    <n v="0.73333333333333328"/>
    <n v="642.81666666666695"/>
    <n v="1.2538567243122709"/>
    <n v="1.2244897959183674"/>
    <n v="1.0239829915216878"/>
    <n v="0.91191066997518611"/>
    <n v="0.87395957193816853"/>
    <n v="27.488039702233252"/>
    <n v="6.7260262670172333"/>
    <s v="High"/>
    <s v="Warning"/>
  </r>
  <r>
    <n v="953"/>
    <d v="2026-06-06T00:00:00"/>
    <x v="0"/>
    <s v="Plant A"/>
    <x v="1"/>
    <x v="5"/>
    <x v="1"/>
    <x v="3"/>
    <s v="B260606-0953"/>
    <s v="OP111"/>
    <n v="704"/>
    <n v="725"/>
    <n v="703"/>
    <n v="22"/>
    <n v="5"/>
    <n v="5"/>
    <s v="Tool Change"/>
    <n v="49"/>
    <n v="51"/>
    <n v="68.3"/>
    <n v="2.68"/>
    <n v="25.13"/>
    <n v="15105.11"/>
    <n v="9.42"/>
    <s v="Scheduled"/>
    <n v="17"/>
    <n v="26238.59"/>
    <n v="0.96965517241379295"/>
    <n v="19570.28"/>
    <n v="104.173172413793"/>
    <n v="574.93333333333305"/>
    <n v="0.99130333951762495"/>
    <n v="6564.1368275862096"/>
    <n v="1.0298295454545454"/>
    <n v="3.0344827586206897E-2"/>
    <n v="6.8965517241379309E-3"/>
    <n v="0.96965517241379307"/>
    <n v="8.3333333333333329E-2"/>
    <n v="569.93333333333305"/>
    <n v="1.2720786056848761"/>
    <n v="1.2244897959183674"/>
    <n v="1.0388641946426487"/>
    <n v="0.96965517241379307"/>
    <n v="0.99857954545454564"/>
    <n v="26.993489655172411"/>
    <n v="9.0539818311533917"/>
    <s v="Low"/>
    <s v="Normal"/>
  </r>
  <r>
    <n v="954"/>
    <d v="2026-05-05T00:00:00"/>
    <x v="3"/>
    <s v="Plant B"/>
    <x v="4"/>
    <x v="14"/>
    <x v="1"/>
    <x v="0"/>
    <s v="B260505-0954"/>
    <s v="OP109"/>
    <n v="927"/>
    <n v="785"/>
    <n v="713"/>
    <n v="72"/>
    <n v="19"/>
    <n v="21"/>
    <s v="Machine Breakdown"/>
    <n v="42"/>
    <n v="46"/>
    <n v="74"/>
    <n v="1.69"/>
    <n v="32.26"/>
    <n v="14916.37"/>
    <n v="7.73"/>
    <s v="Pending"/>
    <n v="36"/>
    <n v="22387.74"/>
    <n v="0.90828025477706997"/>
    <n v="18685.21"/>
    <n v="361.03315923566902"/>
    <n v="648.9"/>
    <n v="0.96763754045307504"/>
    <n v="3341.49684076433"/>
    <n v="0.84681769147788566"/>
    <n v="9.171974522292993E-2"/>
    <n v="2.4203821656050957E-2"/>
    <n v="0.90828025477707008"/>
    <n v="0.35"/>
    <n v="627.9"/>
    <n v="1.2501990762860329"/>
    <n v="1.4285714285714286"/>
    <n v="0.87513935340022297"/>
    <n v="0.90828025477707008"/>
    <n v="0.76914778856526478"/>
    <n v="23.802815286624202"/>
    <n v="4.2566838735851338"/>
    <s v="High"/>
    <s v="Warning"/>
  </r>
  <r>
    <n v="955"/>
    <d v="2026-05-23T00:00:00"/>
    <x v="3"/>
    <s v="Plant A"/>
    <x v="1"/>
    <x v="2"/>
    <x v="1"/>
    <x v="0"/>
    <s v="B260523-0955"/>
    <s v="OP125"/>
    <n v="932"/>
    <n v="935"/>
    <n v="900"/>
    <n v="35"/>
    <n v="13"/>
    <n v="20"/>
    <s v="Setup Time"/>
    <n v="42"/>
    <n v="45"/>
    <n v="70"/>
    <n v="2.44"/>
    <n v="28.98"/>
    <n v="18291.45"/>
    <n v="8.11"/>
    <s v="Scheduled"/>
    <n v="24"/>
    <n v="28004.46"/>
    <n v="0.96256684491978595"/>
    <n v="22201.77"/>
    <n v="254.31962566844899"/>
    <n v="652.4"/>
    <n v="0.96934396076026996"/>
    <n v="5548.37037433155"/>
    <n v="1.0032188841201717"/>
    <n v="3.7433155080213901E-2"/>
    <n v="1.3903743315508022E-2"/>
    <n v="0.96256684491978606"/>
    <n v="0.33333333333333331"/>
    <n v="632.4"/>
    <n v="1.478494623655914"/>
    <n v="1.4285714285714286"/>
    <n v="1.0349462365591398"/>
    <n v="0.96256684491978606"/>
    <n v="0.96566523605150234"/>
    <n v="23.745208556149734"/>
    <n v="5.9340859618519248"/>
    <s v="Low"/>
    <s v="Normal"/>
  </r>
  <r>
    <n v="956"/>
    <d v="2026-02-23T00:00:00"/>
    <x v="4"/>
    <s v="Plant B"/>
    <x v="1"/>
    <x v="6"/>
    <x v="0"/>
    <x v="3"/>
    <s v="B260223-0956"/>
    <s v="OP123"/>
    <n v="628"/>
    <n v="562"/>
    <n v="534"/>
    <n v="28"/>
    <n v="5"/>
    <n v="36"/>
    <s v="Material Shortage"/>
    <n v="49"/>
    <n v="51"/>
    <n v="71.2"/>
    <n v="2.52"/>
    <n v="18.55"/>
    <n v="12895.67"/>
    <n v="6.63"/>
    <s v="Completed"/>
    <n v="1"/>
    <n v="20164.71"/>
    <n v="0.95017793594306099"/>
    <n v="16046.12"/>
    <n v="114.73016014234901"/>
    <n v="512.86666666666702"/>
    <n v="0.92980631743143105"/>
    <n v="4003.8598398576501"/>
    <n v="0.89490445859872614"/>
    <n v="4.9822064056939501E-2"/>
    <n v="8.8967971530249119E-3"/>
    <n v="0.95017793594306055"/>
    <n v="0.6"/>
    <n v="476.86666666666702"/>
    <n v="1.1785264923808183"/>
    <n v="1.2244897959183674"/>
    <n v="0.96246330211100162"/>
    <n v="0.95017793594306055"/>
    <n v="0.85031847133757887"/>
    <n v="28.551814946619217"/>
    <n v="7.1243057648712638"/>
    <s v="Low"/>
    <s v="Normal"/>
  </r>
  <r>
    <n v="957"/>
    <d v="2026-04-03T00:00:00"/>
    <x v="5"/>
    <s v="Plant B"/>
    <x v="4"/>
    <x v="14"/>
    <x v="2"/>
    <x v="3"/>
    <s v="B260403-0957"/>
    <s v="OP104"/>
    <n v="676"/>
    <n v="485"/>
    <n v="437"/>
    <n v="48"/>
    <n v="16"/>
    <n v="51"/>
    <s v="Material Shortage"/>
    <n v="49"/>
    <n v="49"/>
    <n v="67.8"/>
    <n v="2.0699999999999998"/>
    <n v="19.16"/>
    <n v="10848.43"/>
    <n v="6.32"/>
    <s v="Scheduled"/>
    <n v="24"/>
    <n v="16955.53"/>
    <n v="0.90103092783505201"/>
    <n v="13864.87"/>
    <n v="357.88635051546402"/>
    <n v="552.06666666666695"/>
    <n v="0.90761985267479806"/>
    <n v="2732.7736494845299"/>
    <n v="0.71745562130177509"/>
    <n v="9.8969072164948449E-2"/>
    <n v="3.2989690721649485E-2"/>
    <n v="0.90103092783505156"/>
    <n v="0.85"/>
    <n v="501.06666666666695"/>
    <n v="0.96793507184672645"/>
    <n v="1.2244897959183674"/>
    <n v="0.79048030867482655"/>
    <n v="0.90103092783505156"/>
    <n v="0.64644970414201175"/>
    <n v="28.587360824742269"/>
    <n v="5.6345848442979998"/>
    <s v="High"/>
    <s v="Critical"/>
  </r>
  <r>
    <n v="958"/>
    <d v="2026-03-09T00:00:00"/>
    <x v="1"/>
    <s v="Plant A"/>
    <x v="4"/>
    <x v="12"/>
    <x v="0"/>
    <x v="0"/>
    <s v="B260309-0958"/>
    <s v="OP121"/>
    <n v="721"/>
    <n v="685"/>
    <n v="600"/>
    <n v="85"/>
    <n v="23"/>
    <n v="34"/>
    <s v="Setup Time"/>
    <n v="42"/>
    <n v="47"/>
    <n v="77.2"/>
    <n v="2.94"/>
    <n v="22.35"/>
    <n v="12727.16"/>
    <n v="8.64"/>
    <s v="Completed"/>
    <n v="34"/>
    <n v="19493.79"/>
    <n v="0.87591240875912402"/>
    <n v="16816.310000000001"/>
    <n v="427.33529927007299"/>
    <n v="504.7"/>
    <n v="0.93263324747374698"/>
    <n v="2250.1447007299298"/>
    <n v="0.95006934812760058"/>
    <n v="0.12408759124087591"/>
    <n v="3.3576642335766425E-2"/>
    <n v="0.87591240875912413"/>
    <n v="0.56666666666666665"/>
    <n v="470.7"/>
    <n v="1.4552793711493521"/>
    <n v="1.4285714285714286"/>
    <n v="1.0186955598045464"/>
    <n v="0.87591240875912413"/>
    <n v="0.83217753120665772"/>
    <n v="24.549357664233579"/>
    <n v="3.2848827747882186"/>
    <s v="High"/>
    <s v="Warning"/>
  </r>
  <r>
    <n v="959"/>
    <d v="2026-03-01T00:00:00"/>
    <x v="1"/>
    <s v="Plant A"/>
    <x v="4"/>
    <x v="13"/>
    <x v="0"/>
    <x v="1"/>
    <s v="B260301-0959"/>
    <s v="OP106"/>
    <n v="871"/>
    <n v="792"/>
    <n v="747"/>
    <n v="45"/>
    <n v="12"/>
    <n v="50"/>
    <s v="Machine Breakdown"/>
    <n v="45"/>
    <n v="44"/>
    <n v="80.7"/>
    <n v="1.55"/>
    <n v="26.33"/>
    <n v="15277.58"/>
    <n v="6.59"/>
    <s v="Completed"/>
    <n v="18"/>
    <n v="25743.19"/>
    <n v="0.94318181818181801"/>
    <n v="18480.05"/>
    <n v="231.47848484848501"/>
    <n v="653.25"/>
    <n v="0.92345962495216205"/>
    <n v="7031.6615151515098"/>
    <n v="0.90929965556831227"/>
    <n v="5.6818181818181816E-2"/>
    <n v="1.5151515151515152E-2"/>
    <n v="0.94318181818181823"/>
    <n v="0.83333333333333337"/>
    <n v="603.25"/>
    <n v="1.3128885205138832"/>
    <n v="1.3333333333333333"/>
    <n v="0.98466639038541237"/>
    <n v="0.94318181818181823"/>
    <n v="0.85763490241102158"/>
    <n v="23.333396464646462"/>
    <n v="8.8783604989286733"/>
    <s v="Medium"/>
    <s v="Warning"/>
  </r>
  <r>
    <n v="960"/>
    <d v="2026-05-07T00:00:00"/>
    <x v="3"/>
    <s v="Plant B"/>
    <x v="1"/>
    <x v="5"/>
    <x v="1"/>
    <x v="0"/>
    <s v="B260507-0960"/>
    <s v="OP134"/>
    <n v="911"/>
    <n v="890"/>
    <n v="866"/>
    <n v="24"/>
    <n v="5"/>
    <n v="43"/>
    <s v="Tool Change"/>
    <n v="42"/>
    <n v="46"/>
    <n v="74.900000000000006"/>
    <n v="2.19"/>
    <n v="27.57"/>
    <n v="16428.21"/>
    <n v="8.36"/>
    <s v="Pending"/>
    <n v="27"/>
    <n v="28452.39"/>
    <n v="0.97303370786516896"/>
    <n v="20438.34"/>
    <n v="92.293314606741603"/>
    <n v="637.70000000000005"/>
    <n v="0.93257017406303899"/>
    <n v="7921.7566853932603"/>
    <n v="0.97694840834248076"/>
    <n v="2.6966292134831461E-2"/>
    <n v="5.6179775280898875E-3"/>
    <n v="0.97303370786516852"/>
    <n v="0.71666666666666667"/>
    <n v="594.70000000000005"/>
    <n v="1.4965528838069613"/>
    <n v="1.4285714285714286"/>
    <n v="1.0475870186648728"/>
    <n v="0.97303370786516852"/>
    <n v="0.95060373216245853"/>
    <n v="22.964426966292134"/>
    <n v="8.900850208307034"/>
    <s v="Medium"/>
    <s v="Normal"/>
  </r>
  <r>
    <n v="961"/>
    <d v="2026-01-04T00:00:00"/>
    <x v="2"/>
    <s v="Plant B"/>
    <x v="2"/>
    <x v="4"/>
    <x v="1"/>
    <x v="0"/>
    <s v="B260104-0961"/>
    <s v="OP126"/>
    <n v="883"/>
    <n v="735"/>
    <n v="687"/>
    <n v="48"/>
    <n v="11"/>
    <n v="47"/>
    <s v="Operator Issue"/>
    <n v="42"/>
    <n v="43"/>
    <n v="69.2"/>
    <n v="2.39"/>
    <n v="32.409999999999997"/>
    <n v="13389.11"/>
    <n v="6.72"/>
    <s v="Pending"/>
    <n v="38"/>
    <n v="21583.24"/>
    <n v="0.93469387755101996"/>
    <n v="16704.8"/>
    <n v="200.38123809523799"/>
    <n v="618.1"/>
    <n v="0.92396052418702501"/>
    <n v="4678.0587619047701"/>
    <n v="0.83238958097395244"/>
    <n v="6.5306122448979598E-2"/>
    <n v="1.4965986394557823E-2"/>
    <n v="0.9346938775510204"/>
    <n v="0.78333333333333333"/>
    <n v="571.1"/>
    <n v="1.286990019261075"/>
    <n v="1.4285714285714286"/>
    <n v="0.90089301348275252"/>
    <n v="0.9346938775510204"/>
    <n v="0.77802944507361294"/>
    <n v="22.727619047619047"/>
    <n v="6.3647057985098909"/>
    <s v="High"/>
    <s v="Warning"/>
  </r>
  <r>
    <n v="962"/>
    <d v="2026-04-14T00:00:00"/>
    <x v="5"/>
    <s v="Plant A"/>
    <x v="0"/>
    <x v="3"/>
    <x v="0"/>
    <x v="0"/>
    <s v="B260414-0962"/>
    <s v="OP133"/>
    <n v="941"/>
    <n v="959"/>
    <n v="933"/>
    <n v="26"/>
    <n v="6"/>
    <n v="46"/>
    <s v="Material Shortage"/>
    <n v="42"/>
    <n v="44"/>
    <n v="67"/>
    <n v="1.1399999999999999"/>
    <n v="30.19"/>
    <n v="17003.599999999999"/>
    <n v="8.6999999999999993"/>
    <s v="Scheduled"/>
    <n v="33"/>
    <n v="29145"/>
    <n v="0.97288842544317"/>
    <n v="21190.31"/>
    <n v="106.383315954119"/>
    <n v="658.7"/>
    <n v="0.93016547745559397"/>
    <n v="7848.3066840458796"/>
    <n v="1.0191285866099893"/>
    <n v="2.7111574556830033E-2"/>
    <n v="6.2565172054223151E-3"/>
    <n v="0.97288842544317"/>
    <n v="0.76666666666666672"/>
    <n v="612.70000000000005"/>
    <n v="1.5652031989554429"/>
    <n v="1.4285714285714286"/>
    <n v="1.0956422392688101"/>
    <n v="0.97288842544317"/>
    <n v="0.99149840595111538"/>
    <n v="22.096256517205422"/>
    <n v="8.1838443003606667"/>
    <s v="Medium"/>
    <s v="Normal"/>
  </r>
  <r>
    <n v="963"/>
    <d v="2026-01-20T00:00:00"/>
    <x v="2"/>
    <s v="Plant B"/>
    <x v="4"/>
    <x v="12"/>
    <x v="1"/>
    <x v="0"/>
    <s v="B260120-0963"/>
    <s v="OP107"/>
    <n v="925"/>
    <n v="827"/>
    <n v="730"/>
    <n v="97"/>
    <n v="26"/>
    <n v="69"/>
    <s v="Machine Breakdown"/>
    <n v="42"/>
    <n v="43"/>
    <n v="79.2"/>
    <n v="3.42"/>
    <n v="32.880000000000003"/>
    <n v="15599.23"/>
    <n v="8.25"/>
    <s v="Completed"/>
    <n v="45"/>
    <n v="22765.06"/>
    <n v="0.88270858524788398"/>
    <n v="19607.650000000001"/>
    <n v="490.42319226118502"/>
    <n v="647.5"/>
    <n v="0.89343629343629305"/>
    <n v="2666.9868077388201"/>
    <n v="0.89405405405405403"/>
    <n v="0.11729141475211609"/>
    <n v="3.143893591293833E-2"/>
    <n v="0.88270858524788387"/>
    <n v="1.1499999999999999"/>
    <n v="578.5"/>
    <n v="1.4295592048401038"/>
    <n v="1.4285714285714286"/>
    <n v="1.0006914433880727"/>
    <n v="0.88270858524788387"/>
    <n v="0.7891891891891889"/>
    <n v="23.709371221281742"/>
    <n v="3.2248933588135671"/>
    <s v="High"/>
    <s v="Warning"/>
  </r>
  <r>
    <n v="964"/>
    <d v="2026-02-23T00:00:00"/>
    <x v="4"/>
    <s v="Plant B"/>
    <x v="2"/>
    <x v="10"/>
    <x v="0"/>
    <x v="4"/>
    <s v="B260223-0964"/>
    <s v="OP113"/>
    <n v="578"/>
    <n v="598"/>
    <n v="519"/>
    <n v="79"/>
    <n v="21"/>
    <n v="31"/>
    <s v="Machine Breakdown"/>
    <n v="57"/>
    <n v="59"/>
    <n v="76"/>
    <n v="3.74"/>
    <n v="19.739999999999998"/>
    <n v="16247.12"/>
    <n v="10.09"/>
    <s v="Scheduled"/>
    <n v="56"/>
    <n v="23791.95"/>
    <n v="0.86789297658862896"/>
    <n v="20965.28"/>
    <n v="570.551036789298"/>
    <n v="549.1"/>
    <n v="0.94354398105991599"/>
    <n v="2256.1189632106998"/>
    <n v="1.0346020761245676"/>
    <n v="0.13210702341137123"/>
    <n v="3.5117056856187288E-2"/>
    <n v="0.86789297658862874"/>
    <n v="0.51666666666666672"/>
    <n v="518.1"/>
    <n v="1.1542173325612815"/>
    <n v="1.0526315789473684"/>
    <n v="1.0965064659332175"/>
    <n v="0.86789297658862874"/>
    <n v="0.89792387543252583"/>
    <n v="35.058996655518392"/>
    <n v="3.7727741859710697"/>
    <s v="High"/>
    <s v="Warning"/>
  </r>
  <r>
    <n v="965"/>
    <d v="2026-01-02T00:00:00"/>
    <x v="2"/>
    <s v="Plant A"/>
    <x v="4"/>
    <x v="12"/>
    <x v="1"/>
    <x v="3"/>
    <s v="B260102-0965"/>
    <s v="OP118"/>
    <n v="709"/>
    <n v="612"/>
    <n v="537"/>
    <n v="75"/>
    <n v="25"/>
    <n v="11"/>
    <s v="Quality Inspection"/>
    <n v="49"/>
    <n v="53"/>
    <n v="79.7"/>
    <n v="3.41"/>
    <n v="24.28"/>
    <n v="14004.99"/>
    <n v="6.48"/>
    <s v="Pending"/>
    <n v="37"/>
    <n v="21014.85"/>
    <n v="0.87745098039215697"/>
    <n v="17139.509999999998"/>
    <n v="572.09926470588198"/>
    <n v="579.01666666666699"/>
    <n v="0.98100227397023698"/>
    <n v="3303.24073529412"/>
    <n v="0.86318758815232721"/>
    <n v="0.12254901960784313"/>
    <n v="4.084967320261438E-2"/>
    <n v="0.87745098039215685"/>
    <n v="0.18333333333333332"/>
    <n v="568.01666666666699"/>
    <n v="1.0774331739092156"/>
    <n v="1.2244897959183674"/>
    <n v="0.87990375869252602"/>
    <n v="0.87745098039215685"/>
    <n v="0.75740479548660034"/>
    <n v="28.005735294117645"/>
    <n v="5.3974521818531374"/>
    <s v="High"/>
    <s v="Warning"/>
  </r>
  <r>
    <n v="966"/>
    <d v="2026-04-14T00:00:00"/>
    <x v="5"/>
    <s v="Plant B"/>
    <x v="4"/>
    <x v="12"/>
    <x v="2"/>
    <x v="3"/>
    <s v="B260414-0966"/>
    <s v="OP125"/>
    <n v="700"/>
    <n v="516"/>
    <n v="441"/>
    <n v="75"/>
    <n v="26"/>
    <n v="40"/>
    <s v="Power Failure"/>
    <n v="49"/>
    <n v="53"/>
    <n v="75.900000000000006"/>
    <n v="3.69"/>
    <n v="18.32"/>
    <n v="11729.96"/>
    <n v="7.62"/>
    <s v="Overdue"/>
    <n v="27"/>
    <n v="16651.22"/>
    <n v="0.85465116279069797"/>
    <n v="15323.84"/>
    <n v="591.04449612403096"/>
    <n v="571.66666666666697"/>
    <n v="0.93002915451894996"/>
    <n v="736.33550387597199"/>
    <n v="0.7371428571428571"/>
    <n v="0.14534883720930233"/>
    <n v="5.0387596899224806E-2"/>
    <n v="0.85465116279069764"/>
    <n v="0.66666666666666663"/>
    <n v="531.66666666666697"/>
    <n v="0.97053291536050101"/>
    <n v="1.2244897959183674"/>
    <n v="0.79260188087774253"/>
    <n v="0.85465116279069764"/>
    <n v="0.62999999999999923"/>
    <n v="29.697364341085272"/>
    <n v="1.42700679045731"/>
    <s v="High"/>
    <s v="Critical"/>
  </r>
  <r>
    <n v="967"/>
    <d v="2026-03-23T00:00:00"/>
    <x v="1"/>
    <s v="Plant A"/>
    <x v="4"/>
    <x v="14"/>
    <x v="1"/>
    <x v="1"/>
    <s v="B260323-0967"/>
    <s v="OP127"/>
    <n v="745"/>
    <n v="716"/>
    <n v="657"/>
    <n v="59"/>
    <n v="24"/>
    <n v="13"/>
    <s v="Setup Time"/>
    <n v="45"/>
    <n v="48"/>
    <n v="74.8"/>
    <n v="2.77"/>
    <n v="21.96"/>
    <n v="14633.65"/>
    <n v="7.42"/>
    <s v="Scheduled"/>
    <n v="35"/>
    <n v="23194.87"/>
    <n v="0.91759776536312898"/>
    <n v="18170.29"/>
    <n v="490.51340782122901"/>
    <n v="558.75"/>
    <n v="0.976733780760626"/>
    <n v="4534.0665921787704"/>
    <n v="0.96107382550335574"/>
    <n v="8.2402234636871505E-2"/>
    <n v="3.3519553072625698E-2"/>
    <n v="0.91759776536312854"/>
    <n v="0.21666666666666667"/>
    <n v="545.75"/>
    <n v="1.3119560238204306"/>
    <n v="1.3333333333333333"/>
    <n v="0.98396701786532303"/>
    <n v="0.91759776536312854"/>
    <n v="0.88187919463087228"/>
    <n v="25.377500000000001"/>
    <n v="6.3324952404731434"/>
    <s v="Medium"/>
    <s v="Warning"/>
  </r>
  <r>
    <n v="968"/>
    <d v="2026-04-18T00:00:00"/>
    <x v="5"/>
    <s v="Plant A"/>
    <x v="2"/>
    <x v="4"/>
    <x v="0"/>
    <x v="0"/>
    <s v="B260418-0968"/>
    <s v="OP119"/>
    <n v="930"/>
    <n v="947"/>
    <n v="885"/>
    <n v="62"/>
    <n v="16"/>
    <n v="5"/>
    <s v="Preventive Maintenance"/>
    <n v="42"/>
    <n v="40"/>
    <n v="73.099999999999994"/>
    <n v="1.65"/>
    <n v="32.61"/>
    <n v="17763.18"/>
    <n v="9.86"/>
    <s v="Scheduled"/>
    <n v="13"/>
    <n v="28808.23"/>
    <n v="0.93453009503695905"/>
    <n v="22493.67"/>
    <n v="300.11708553326298"/>
    <n v="651"/>
    <n v="0.992319508448541"/>
    <n v="6014.4429144667401"/>
    <n v="1.0182795698924731"/>
    <n v="6.5469904963041184E-2"/>
    <n v="1.6895459345300949E-2"/>
    <n v="0.93453009503695883"/>
    <n v="8.3333333333333329E-2"/>
    <n v="646"/>
    <n v="1.4659442724458205"/>
    <n v="1.4285714285714286"/>
    <n v="1.0261609907120743"/>
    <n v="0.93453009503695883"/>
    <n v="0.95161290322580672"/>
    <n v="23.752555438225976"/>
    <n v="6.3510484841253856"/>
    <s v="Low"/>
    <s v="Normal"/>
  </r>
  <r>
    <n v="969"/>
    <d v="2026-01-20T00:00:00"/>
    <x v="2"/>
    <s v="Plant B"/>
    <x v="0"/>
    <x v="1"/>
    <x v="2"/>
    <x v="1"/>
    <s v="B260120-0969"/>
    <s v="OP133"/>
    <n v="722"/>
    <n v="612"/>
    <n v="575"/>
    <n v="37"/>
    <n v="11"/>
    <n v="13"/>
    <s v="Machine Breakdown"/>
    <n v="45"/>
    <n v="47"/>
    <n v="72.2"/>
    <n v="2.25"/>
    <n v="19.34"/>
    <n v="11799.36"/>
    <n v="6.37"/>
    <s v="Scheduled"/>
    <n v="35"/>
    <n v="20032.759999999998"/>
    <n v="0.93954248366013104"/>
    <n v="14839.92"/>
    <n v="212.08"/>
    <n v="541.5"/>
    <n v="0.97599261311172703"/>
    <n v="4980.76"/>
    <n v="0.8476454293628809"/>
    <n v="6.0457516339869281E-2"/>
    <n v="1.7973856209150325E-2"/>
    <n v="0.93954248366013071"/>
    <n v="0.21666666666666667"/>
    <n v="528.5"/>
    <n v="1.1579943235572374"/>
    <n v="1.3333333333333333"/>
    <n v="0.86849574266792806"/>
    <n v="0.93954248366013071"/>
    <n v="0.79639889196675917"/>
    <n v="24.248235294117649"/>
    <n v="8.1384967320261445"/>
    <s v="High"/>
    <s v="Warning"/>
  </r>
  <r>
    <n v="970"/>
    <d v="2026-05-04T00:00:00"/>
    <x v="3"/>
    <s v="Plant A"/>
    <x v="2"/>
    <x v="4"/>
    <x v="0"/>
    <x v="3"/>
    <s v="B260504-0970"/>
    <s v="OP114"/>
    <n v="680"/>
    <n v="632"/>
    <n v="592"/>
    <n v="40"/>
    <n v="10"/>
    <n v="32"/>
    <s v="Operator Issue"/>
    <n v="49"/>
    <n v="51"/>
    <n v="69.400000000000006"/>
    <n v="2.83"/>
    <n v="21.28"/>
    <n v="14034.4"/>
    <n v="9.24"/>
    <s v="Completed"/>
    <n v="11"/>
    <n v="22958.22"/>
    <n v="0.936708860759494"/>
    <n v="18383.919999999998"/>
    <n v="222.06329113924099"/>
    <n v="555.33333333333303"/>
    <n v="0.94237695078031203"/>
    <n v="4352.2367088607598"/>
    <n v="0.92941176470588238"/>
    <n v="6.3291139240506333E-2"/>
    <n v="1.5822784810126583E-2"/>
    <n v="0.93670886075949367"/>
    <n v="0.53333333333333333"/>
    <n v="523.33333333333303"/>
    <n v="1.2076433121019114"/>
    <n v="1.2244897959183674"/>
    <n v="0.98624203821656098"/>
    <n v="0.93670886075949367"/>
    <n v="0.870588235294118"/>
    <n v="29.088481012658225"/>
    <n v="6.8864504887037334"/>
    <s v="Low"/>
    <s v="Normal"/>
  </r>
  <r>
    <n v="971"/>
    <d v="2026-03-17T00:00:00"/>
    <x v="1"/>
    <s v="Plant B"/>
    <x v="1"/>
    <x v="5"/>
    <x v="2"/>
    <x v="0"/>
    <s v="B260317-0971"/>
    <s v="OP107"/>
    <n v="955"/>
    <n v="854"/>
    <n v="815"/>
    <n v="39"/>
    <n v="16"/>
    <n v="17"/>
    <s v="Tool Change"/>
    <n v="42"/>
    <n v="47"/>
    <n v="72.400000000000006"/>
    <n v="1.56"/>
    <n v="26.16"/>
    <n v="16182.95"/>
    <n v="7.57"/>
    <s v="Scheduled"/>
    <n v="45"/>
    <n v="26017.67"/>
    <n v="0.95433255269320805"/>
    <n v="19824.89"/>
    <n v="303.19344262295101"/>
    <n v="668.5"/>
    <n v="0.97456993268511605"/>
    <n v="5889.5865573770498"/>
    <n v="0.89424083769633511"/>
    <n v="4.5667447306791571E-2"/>
    <n v="1.873536299765808E-2"/>
    <n v="0.95433255269320838"/>
    <n v="0.28333333333333333"/>
    <n v="651.5"/>
    <n v="1.3108211818879509"/>
    <n v="1.4285714285714286"/>
    <n v="0.91757482732156559"/>
    <n v="0.95433255269320838"/>
    <n v="0.8534031413612565"/>
    <n v="23.214156908665103"/>
    <n v="6.8964713786616505"/>
    <s v="Medium"/>
    <s v="Normal"/>
  </r>
  <r>
    <n v="972"/>
    <d v="2026-06-08T00:00:00"/>
    <x v="0"/>
    <s v="Plant B"/>
    <x v="1"/>
    <x v="6"/>
    <x v="0"/>
    <x v="1"/>
    <s v="B260608-0972"/>
    <s v="OP115"/>
    <n v="791"/>
    <n v="796"/>
    <n v="760"/>
    <n v="36"/>
    <n v="10"/>
    <n v="18"/>
    <s v="Setup Time"/>
    <n v="45"/>
    <n v="44"/>
    <n v="66.900000000000006"/>
    <n v="2.7"/>
    <n v="30.76"/>
    <n v="15871.75"/>
    <n v="9.19"/>
    <s v="Scheduled"/>
    <n v="17"/>
    <n v="25931.759999999998"/>
    <n v="0.95477386934673403"/>
    <n v="20284.09"/>
    <n v="199.39384422110601"/>
    <n v="593.25"/>
    <n v="0.96965865992414702"/>
    <n v="5448.2761557788899"/>
    <n v="1.0063211125158027"/>
    <n v="4.5226130653266333E-2"/>
    <n v="1.2562814070351759E-2"/>
    <n v="0.95477386934673369"/>
    <n v="0.3"/>
    <n v="575.25"/>
    <n v="1.3837461973055194"/>
    <n v="1.3333333333333333"/>
    <n v="1.0378096479791397"/>
    <n v="0.95477386934673369"/>
    <n v="0.96080910240202333"/>
    <n v="25.48252512562814"/>
    <n v="6.8445680348981028"/>
    <s v="Low"/>
    <s v="Normal"/>
  </r>
  <r>
    <n v="973"/>
    <d v="2026-02-27T00:00:00"/>
    <x v="4"/>
    <s v="Plant A"/>
    <x v="4"/>
    <x v="13"/>
    <x v="0"/>
    <x v="2"/>
    <s v="B260227-0973"/>
    <s v="OP127"/>
    <n v="663"/>
    <n v="646"/>
    <n v="603"/>
    <n v="43"/>
    <n v="9"/>
    <n v="0"/>
    <s v="No Downtime"/>
    <n v="64"/>
    <n v="64"/>
    <n v="68.099999999999994"/>
    <n v="2.33"/>
    <n v="18.61"/>
    <n v="19867.78"/>
    <n v="8.9499999999999993"/>
    <s v="Completed"/>
    <n v="33"/>
    <n v="32285.35"/>
    <n v="0.93343653250773995"/>
    <n v="24062.77"/>
    <n v="276.795696594427"/>
    <n v="707.2"/>
    <n v="1"/>
    <n v="7945.7843034055704"/>
    <n v="0.97435897435897434"/>
    <n v="6.6563467492260067E-2"/>
    <n v="1.393188854489164E-2"/>
    <n v="0.93343653250773995"/>
    <n v="0"/>
    <n v="707.2"/>
    <n v="0.91346153846153844"/>
    <n v="0.9375"/>
    <n v="0.97435897435897434"/>
    <n v="0.93343653250773995"/>
    <n v="0.9095022624434389"/>
    <n v="37.24886996904025"/>
    <n v="12.299975701866208"/>
    <s v="Medium"/>
    <s v="Normal"/>
  </r>
  <r>
    <n v="974"/>
    <d v="2026-05-20T00:00:00"/>
    <x v="3"/>
    <s v="Plant A"/>
    <x v="0"/>
    <x v="1"/>
    <x v="0"/>
    <x v="3"/>
    <s v="B260520-0974"/>
    <s v="OP106"/>
    <n v="632"/>
    <n v="657"/>
    <n v="616"/>
    <n v="41"/>
    <n v="16"/>
    <n v="8"/>
    <s v="Machine Breakdown"/>
    <n v="49"/>
    <n v="53"/>
    <n v="75.8"/>
    <n v="2.54"/>
    <n v="26.71"/>
    <n v="14530.82"/>
    <n v="7.6"/>
    <s v="Overdue"/>
    <n v="10"/>
    <n v="23936.32"/>
    <n v="0.93759512937595102"/>
    <n v="18191.21"/>
    <n v="353.87080669710798"/>
    <n v="516.13333333333298"/>
    <n v="0.98450012916559004"/>
    <n v="5391.2391933028903"/>
    <n v="1.0395569620253164"/>
    <n v="6.2404870624048703E-2"/>
    <n v="2.4353120243531201E-2"/>
    <n v="0.93759512937595124"/>
    <n v="0.13333333333333333"/>
    <n v="508.13333333333298"/>
    <n v="1.2929677250065608"/>
    <n v="1.2244897959183674"/>
    <n v="1.0559236420886913"/>
    <n v="0.93759512937595124"/>
    <n v="0.97468354430379778"/>
    <n v="27.688295281582953"/>
    <n v="8.2058435210089655"/>
    <s v="High"/>
    <s v="Normal"/>
  </r>
  <r>
    <n v="975"/>
    <d v="2026-06-04T00:00:00"/>
    <x v="0"/>
    <s v="Plant A"/>
    <x v="3"/>
    <x v="7"/>
    <x v="0"/>
    <x v="2"/>
    <s v="B260604-0975"/>
    <s v="OP113"/>
    <n v="516"/>
    <n v="529"/>
    <n v="499"/>
    <n v="30"/>
    <n v="9"/>
    <n v="6"/>
    <s v="Tool Change"/>
    <n v="64"/>
    <n v="69"/>
    <n v="71.900000000000006"/>
    <n v="2.21"/>
    <n v="19.760000000000002"/>
    <n v="17263.32"/>
    <n v="9.3800000000000008"/>
    <s v="Completed"/>
    <n v="23"/>
    <n v="26015.79"/>
    <n v="0.94328922495274103"/>
    <n v="21662.16"/>
    <n v="293.70487712665403"/>
    <n v="550.4"/>
    <n v="0.98909883720930203"/>
    <n v="4059.9251228733501"/>
    <n v="1.0251937984496124"/>
    <n v="5.6710775047258979E-2"/>
    <n v="1.7013232514177693E-2"/>
    <n v="0.94328922495274103"/>
    <n v="0.1"/>
    <n v="544.4"/>
    <n v="0.97171197648787655"/>
    <n v="0.9375"/>
    <n v="1.0364927749204016"/>
    <n v="0.94328922495274103"/>
    <n v="0.96705426356589108"/>
    <n v="40.949262759924387"/>
    <n v="7.6747166783995278"/>
    <s v="Low"/>
    <s v="Normal"/>
  </r>
  <r>
    <n v="976"/>
    <d v="2026-01-16T00:00:00"/>
    <x v="2"/>
    <s v="Plant A"/>
    <x v="4"/>
    <x v="13"/>
    <x v="0"/>
    <x v="1"/>
    <s v="B260116-0976"/>
    <s v="OP106"/>
    <n v="933"/>
    <n v="743"/>
    <n v="695"/>
    <n v="48"/>
    <n v="12"/>
    <n v="45"/>
    <s v="Machine Breakdown"/>
    <n v="45"/>
    <n v="47"/>
    <n v="80.2"/>
    <n v="1.7"/>
    <n v="28.42"/>
    <n v="14612.93"/>
    <n v="8.19"/>
    <s v="Scheduled"/>
    <n v="35"/>
    <n v="24551.52"/>
    <n v="0.93539703903095595"/>
    <n v="18554.21"/>
    <n v="236.00963660834501"/>
    <n v="699.75"/>
    <n v="0.93569131832797403"/>
    <n v="5761.3003633916596"/>
    <n v="0.7963558413719185"/>
    <n v="6.4602960969044415E-2"/>
    <n v="1.6150740242261104E-2"/>
    <n v="0.93539703903095561"/>
    <n v="0.75"/>
    <n v="654.75"/>
    <n v="1.1347842688048873"/>
    <n v="1.3333333333333333"/>
    <n v="0.8510882016036655"/>
    <n v="0.93539703903095561"/>
    <n v="0.74490889603429777"/>
    <n v="24.972018842530282"/>
    <n v="7.7541054688986"/>
    <s v="High"/>
    <s v="Critical"/>
  </r>
  <r>
    <n v="977"/>
    <d v="2026-03-16T00:00:00"/>
    <x v="1"/>
    <s v="Plant A"/>
    <x v="0"/>
    <x v="3"/>
    <x v="2"/>
    <x v="3"/>
    <s v="B260316-0977"/>
    <s v="OP120"/>
    <n v="782"/>
    <n v="680"/>
    <n v="654"/>
    <n v="26"/>
    <n v="7"/>
    <n v="22"/>
    <s v="Operator Issue"/>
    <n v="49"/>
    <n v="53"/>
    <n v="70.900000000000006"/>
    <n v="1.51"/>
    <n v="25.37"/>
    <n v="15478.13"/>
    <n v="6.49"/>
    <s v="Pending"/>
    <n v="5"/>
    <n v="24850.98"/>
    <n v="0.96176470588235297"/>
    <n v="18626.96"/>
    <n v="159.33369117647101"/>
    <n v="638.63333333333298"/>
    <n v="0.96555143796649101"/>
    <n v="6064.6863088235305"/>
    <n v="0.86956521739130432"/>
    <n v="3.8235294117647062E-2"/>
    <n v="1.0294117647058823E-2"/>
    <n v="0.96176470588235297"/>
    <n v="0.36666666666666664"/>
    <n v="616.63333333333298"/>
    <n v="1.1027623114762966"/>
    <n v="1.2244897959183674"/>
    <n v="0.90058922103897554"/>
    <n v="0.96176470588235297"/>
    <n v="0.83631713554987264"/>
    <n v="27.392588235294117"/>
    <n v="8.9186563365051921"/>
    <s v="Medium"/>
    <s v="Warning"/>
  </r>
  <r>
    <n v="978"/>
    <d v="2026-06-07T00:00:00"/>
    <x v="0"/>
    <s v="Plant A"/>
    <x v="1"/>
    <x v="5"/>
    <x v="2"/>
    <x v="2"/>
    <s v="B260607-0978"/>
    <s v="OP111"/>
    <n v="513"/>
    <n v="488"/>
    <n v="465"/>
    <n v="23"/>
    <n v="6"/>
    <n v="29"/>
    <s v="Machine Breakdown"/>
    <n v="64"/>
    <n v="70"/>
    <n v="75.900000000000006"/>
    <n v="2.2400000000000002"/>
    <n v="20.010000000000002"/>
    <n v="14557.15"/>
    <n v="7.06"/>
    <s v="Scheduled"/>
    <n v="23"/>
    <n v="24635.77"/>
    <n v="0.95286885245901598"/>
    <n v="17914.240000000002"/>
    <n v="178.98135245901599"/>
    <n v="547.20000000000005"/>
    <n v="0.94700292397660801"/>
    <n v="6542.5486475409798"/>
    <n v="0.95126705653021437"/>
    <n v="4.7131147540983603E-2"/>
    <n v="1.2295081967213115E-2"/>
    <n v="0.95286885245901642"/>
    <n v="0.48333333333333334"/>
    <n v="518.20000000000005"/>
    <n v="0.94172134311076794"/>
    <n v="0.9375"/>
    <n v="1.0045027659848191"/>
    <n v="0.95286885245901642"/>
    <n v="0.90643274853801148"/>
    <n v="36.709508196721316"/>
    <n v="13.406861982665943"/>
    <s v="Low"/>
    <s v="Normal"/>
  </r>
  <r>
    <n v="979"/>
    <d v="2026-03-28T00:00:00"/>
    <x v="1"/>
    <s v="Plant A"/>
    <x v="4"/>
    <x v="14"/>
    <x v="1"/>
    <x v="4"/>
    <s v="B260328-0979"/>
    <s v="OP120"/>
    <n v="748"/>
    <n v="632"/>
    <n v="581"/>
    <n v="51"/>
    <n v="16"/>
    <n v="36"/>
    <s v="Tool Change"/>
    <n v="57"/>
    <n v="61"/>
    <n v="69.7"/>
    <n v="1.45"/>
    <n v="27.04"/>
    <n v="17597.96"/>
    <n v="7.5"/>
    <s v="Overdue"/>
    <n v="31"/>
    <n v="26882.959999999999"/>
    <n v="0.919303797468354"/>
    <n v="21216.32"/>
    <n v="445.51797468354403"/>
    <n v="710.6"/>
    <n v="0.94933858710948504"/>
    <n v="5221.1220253164602"/>
    <n v="0.84491978609625673"/>
    <n v="8.0696202531645569E-2"/>
    <n v="2.5316455696202531E-2"/>
    <n v="0.91930379746835444"/>
    <n v="0.6"/>
    <n v="674.6"/>
    <n v="0.93685146753631776"/>
    <n v="1.0526315789473684"/>
    <n v="0.89000889415950191"/>
    <n v="0.91930379746835444"/>
    <n v="0.77673796791443861"/>
    <n v="33.570126582278483"/>
    <n v="8.2612690273994627"/>
    <s v="High"/>
    <s v="Warning"/>
  </r>
  <r>
    <n v="980"/>
    <d v="2026-01-15T00:00:00"/>
    <x v="2"/>
    <s v="Plant A"/>
    <x v="4"/>
    <x v="14"/>
    <x v="1"/>
    <x v="4"/>
    <s v="B260115-0980"/>
    <s v="OP122"/>
    <n v="630"/>
    <n v="498"/>
    <n v="453"/>
    <n v="45"/>
    <n v="10"/>
    <n v="57"/>
    <s v="Machine Breakdown"/>
    <n v="57"/>
    <n v="58"/>
    <n v="61.6"/>
    <n v="2.1"/>
    <n v="20.27"/>
    <n v="13129.77"/>
    <n v="6.75"/>
    <s v="Scheduled"/>
    <n v="19"/>
    <n v="20664.990000000002"/>
    <n v="0.90963855421686801"/>
    <n v="16349.7"/>
    <n v="263.64999999999998"/>
    <n v="598.5"/>
    <n v="0.90476190476190499"/>
    <n v="4051.64"/>
    <n v="0.79047619047619044"/>
    <n v="9.036144578313253E-2"/>
    <n v="2.0080321285140562E-2"/>
    <n v="0.90963855421686746"/>
    <n v="0.95"/>
    <n v="541.5"/>
    <n v="0.91966759002770082"/>
    <n v="1.0526315789473684"/>
    <n v="0.87368421052631584"/>
    <n v="0.90963855421686746"/>
    <n v="0.71904761904761927"/>
    <n v="32.830722891566268"/>
    <n v="8.1358232931726899"/>
    <s v="High"/>
    <s v="Critical"/>
  </r>
  <r>
    <n v="981"/>
    <d v="2026-04-04T00:00:00"/>
    <x v="5"/>
    <s v="Plant A"/>
    <x v="4"/>
    <x v="13"/>
    <x v="2"/>
    <x v="4"/>
    <s v="B260404-0981"/>
    <s v="OP103"/>
    <n v="541"/>
    <n v="442"/>
    <n v="404"/>
    <n v="38"/>
    <n v="12"/>
    <n v="36"/>
    <s v="Machine Breakdown"/>
    <n v="57"/>
    <n v="58"/>
    <n v="77.900000000000006"/>
    <n v="1.9"/>
    <n v="18.25"/>
    <n v="11433.21"/>
    <n v="8.49"/>
    <s v="Overdue"/>
    <n v="51"/>
    <n v="18485.71"/>
    <n v="0.91402714932126705"/>
    <n v="15417.96"/>
    <n v="310.40389140271498"/>
    <n v="513.95000000000005"/>
    <n v="0.92995427570775402"/>
    <n v="2757.3461085972899"/>
    <n v="0.81700554528650648"/>
    <n v="8.5972850678733032E-2"/>
    <n v="2.7149321266968326E-2"/>
    <n v="0.91402714932126694"/>
    <n v="0.6"/>
    <n v="477.95000000000005"/>
    <n v="0.924782927084423"/>
    <n v="1.0526315789473684"/>
    <n v="0.8785437807302019"/>
    <n v="0.91402714932126694"/>
    <n v="0.74676524953789314"/>
    <n v="34.882262443438911"/>
    <n v="6.238339612211063"/>
    <s v="High"/>
    <s v="Critical"/>
  </r>
  <r>
    <n v="982"/>
    <d v="2026-05-19T00:00:00"/>
    <x v="3"/>
    <s v="Plant A"/>
    <x v="4"/>
    <x v="14"/>
    <x v="1"/>
    <x v="4"/>
    <s v="B260519-0982"/>
    <s v="OP101"/>
    <n v="640"/>
    <n v="593"/>
    <n v="547"/>
    <n v="46"/>
    <n v="10"/>
    <n v="33"/>
    <s v="Machine Breakdown"/>
    <n v="57"/>
    <n v="62"/>
    <n v="70.5"/>
    <n v="1.92"/>
    <n v="19.309999999999999"/>
    <n v="15354.82"/>
    <n v="7.52"/>
    <s v="Completed"/>
    <n v="1"/>
    <n v="24641.97"/>
    <n v="0.92242833052276596"/>
    <n v="18912.61"/>
    <n v="258.93456998313701"/>
    <n v="608"/>
    <n v="0.94572368421052599"/>
    <n v="5470.4254300168604"/>
    <n v="0.92656249999999996"/>
    <n v="7.7571669477234401E-2"/>
    <n v="1.6863406408094434E-2"/>
    <n v="0.92242833052276563"/>
    <n v="0.55000000000000004"/>
    <n v="575"/>
    <n v="1.031304347826087"/>
    <n v="1.0526315789473684"/>
    <n v="0.97973913043478278"/>
    <n v="0.92242833052276563"/>
    <n v="0.85468749999999993"/>
    <n v="31.893102866779092"/>
    <n v="9.2250007251549082"/>
    <s v="Low"/>
    <s v="Normal"/>
  </r>
  <r>
    <n v="983"/>
    <d v="2026-02-19T00:00:00"/>
    <x v="4"/>
    <s v="Plant B"/>
    <x v="2"/>
    <x v="9"/>
    <x v="1"/>
    <x v="0"/>
    <s v="B260219-0983"/>
    <s v="OP118"/>
    <n v="767"/>
    <n v="652"/>
    <n v="625"/>
    <n v="27"/>
    <n v="5"/>
    <n v="8"/>
    <s v="Preventive Maintenance"/>
    <n v="42"/>
    <n v="41"/>
    <n v="78.2"/>
    <n v="1.76"/>
    <n v="26.01"/>
    <n v="11619.43"/>
    <n v="8.83"/>
    <s v="Overdue"/>
    <n v="24"/>
    <n v="20513.169999999998"/>
    <n v="0.95858895705521496"/>
    <n v="15827.02"/>
    <n v="89.106058282208593"/>
    <n v="536.9"/>
    <n v="0.98509964611659495"/>
    <n v="4597.0439417177904"/>
    <n v="0.85006518904823991"/>
    <n v="4.1411042944785273E-2"/>
    <n v="7.6687116564417178E-3"/>
    <n v="0.95858895705521474"/>
    <n v="0.13333333333333333"/>
    <n v="528.9"/>
    <n v="1.2327472111930422"/>
    <n v="1.4285714285714286"/>
    <n v="0.86292304783512952"/>
    <n v="0.95858895705521474"/>
    <n v="0.81486310299869591"/>
    <n v="24.274570552147239"/>
    <n v="7.0506808922052002"/>
    <s v="High"/>
    <s v="Warning"/>
  </r>
  <r>
    <n v="984"/>
    <d v="2026-02-12T00:00:00"/>
    <x v="4"/>
    <s v="Plant A"/>
    <x v="0"/>
    <x v="1"/>
    <x v="0"/>
    <x v="4"/>
    <s v="B260212-0984"/>
    <s v="OP124"/>
    <n v="645"/>
    <n v="638"/>
    <n v="608"/>
    <n v="30"/>
    <n v="12"/>
    <n v="47"/>
    <s v="Tool Change"/>
    <n v="57"/>
    <n v="55"/>
    <n v="72.8"/>
    <n v="2.0299999999999998"/>
    <n v="20.9"/>
    <n v="18317.099999999999"/>
    <n v="10.199999999999999"/>
    <s v="Completed"/>
    <n v="1"/>
    <n v="27258.51"/>
    <n v="0.95297805642633204"/>
    <n v="23095.200000000001"/>
    <n v="344.52225705329101"/>
    <n v="612.75"/>
    <n v="0.92329661362709103"/>
    <n v="3818.7877429467098"/>
    <n v="0.98914728682170538"/>
    <n v="4.7021943573667714E-2"/>
    <n v="1.8808777429467086E-2"/>
    <n v="0.95297805642633227"/>
    <n v="0.78333333333333333"/>
    <n v="565.75"/>
    <n v="1.1277065841802916"/>
    <n v="1.0526315789473684"/>
    <n v="1.0713212549712769"/>
    <n v="0.95297805642633227"/>
    <n v="0.94263565891472867"/>
    <n v="36.199373040752356"/>
    <n v="5.9855607256218022"/>
    <s v="Low"/>
    <s v="Normal"/>
  </r>
  <r>
    <n v="985"/>
    <d v="2026-03-27T00:00:00"/>
    <x v="1"/>
    <s v="Plant A"/>
    <x v="2"/>
    <x v="4"/>
    <x v="2"/>
    <x v="3"/>
    <s v="B260327-0985"/>
    <s v="OP131"/>
    <n v="829"/>
    <n v="736"/>
    <n v="689"/>
    <n v="47"/>
    <n v="11"/>
    <n v="55"/>
    <s v="Machine Breakdown"/>
    <n v="49"/>
    <n v="49"/>
    <n v="75"/>
    <n v="1.51"/>
    <n v="27.99"/>
    <n v="16307.12"/>
    <n v="8.4700000000000006"/>
    <s v="Completed"/>
    <n v="18"/>
    <n v="26960.21"/>
    <n v="0.93614130434782605"/>
    <n v="20370.53"/>
    <n v="243.72054347826099"/>
    <n v="677.01666666666699"/>
    <n v="0.91876123187513903"/>
    <n v="6345.9594565217403"/>
    <n v="0.887816646562123"/>
    <n v="6.3858695652173919E-2"/>
    <n v="1.4945652173913044E-2"/>
    <n v="0.93614130434782605"/>
    <n v="0.91666666666666663"/>
    <n v="622.01666666666699"/>
    <n v="1.1832480372980354"/>
    <n v="1.2244897959183674"/>
    <n v="0.96631923046006218"/>
    <n v="0.93614130434782605"/>
    <n v="0.83112183353437885"/>
    <n v="27.677350543478259"/>
    <n v="8.622227522448016"/>
    <s v="Medium"/>
    <s v="Warning"/>
  </r>
  <r>
    <n v="986"/>
    <d v="2026-04-29T00:00:00"/>
    <x v="5"/>
    <s v="Plant A"/>
    <x v="3"/>
    <x v="8"/>
    <x v="0"/>
    <x v="1"/>
    <s v="B260429-0986"/>
    <s v="OP129"/>
    <n v="808"/>
    <n v="770"/>
    <n v="723"/>
    <n v="47"/>
    <n v="12"/>
    <n v="47"/>
    <s v="Power Failure"/>
    <n v="45"/>
    <n v="47"/>
    <n v="70.099999999999994"/>
    <n v="2.46"/>
    <n v="28.84"/>
    <n v="15921.7"/>
    <n v="9.06"/>
    <s v="Completed"/>
    <n v="18"/>
    <n v="25699.09"/>
    <n v="0.938961038961039"/>
    <n v="20258.259999999998"/>
    <n v="248.13038961039001"/>
    <n v="606"/>
    <n v="0.922442244224422"/>
    <n v="5192.6996103896099"/>
    <n v="0.95297029702970293"/>
    <n v="6.1038961038961038E-2"/>
    <n v="1.5584415584415584E-2"/>
    <n v="0.938961038961039"/>
    <n v="0.78333333333333333"/>
    <n v="559"/>
    <n v="1.3774597495527727"/>
    <n v="1.3333333333333333"/>
    <n v="1.0330948121645795"/>
    <n v="0.938961038961039"/>
    <n v="0.89480198019801938"/>
    <n v="26.309428571428569"/>
    <n v="6.7437657277787144"/>
    <s v="Low"/>
    <s v="Normal"/>
  </r>
  <r>
    <n v="987"/>
    <d v="2026-02-17T00:00:00"/>
    <x v="4"/>
    <s v="Plant A"/>
    <x v="1"/>
    <x v="6"/>
    <x v="2"/>
    <x v="4"/>
    <s v="B260217-0987"/>
    <s v="OP104"/>
    <n v="696"/>
    <n v="591"/>
    <n v="557"/>
    <n v="34"/>
    <n v="10"/>
    <n v="13"/>
    <s v="Operator Issue"/>
    <n v="57"/>
    <n v="60"/>
    <n v="77.599999999999994"/>
    <n v="1.71"/>
    <n v="19.329999999999998"/>
    <n v="15361.66"/>
    <n v="7.23"/>
    <s v="Completed"/>
    <n v="35"/>
    <n v="25490.37"/>
    <n v="0.94247038917089698"/>
    <n v="18789.13"/>
    <n v="259.92656514382401"/>
    <n v="661.2"/>
    <n v="0.98033877797943103"/>
    <n v="6441.3134348561698"/>
    <n v="0.84913793103448276"/>
    <n v="5.7529610829103212E-2"/>
    <n v="1.6920473773265651E-2"/>
    <n v="0.94247038917089676"/>
    <n v="0.21666666666666667"/>
    <n v="648.20000000000005"/>
    <n v="0.91175563097809309"/>
    <n v="1.0526315789473684"/>
    <n v="0.86616784942918845"/>
    <n v="0.94247038917089676"/>
    <n v="0.80028735632183878"/>
    <n v="31.792098138747885"/>
    <n v="10.89900750398675"/>
    <s v="Medium"/>
    <s v="Warning"/>
  </r>
  <r>
    <n v="988"/>
    <d v="2026-02-27T00:00:00"/>
    <x v="4"/>
    <s v="Plant B"/>
    <x v="2"/>
    <x v="4"/>
    <x v="0"/>
    <x v="2"/>
    <s v="B260227-0988"/>
    <s v="OP104"/>
    <n v="485"/>
    <n v="449"/>
    <n v="415"/>
    <n v="34"/>
    <n v="9"/>
    <n v="11"/>
    <s v="Machine Breakdown"/>
    <n v="64"/>
    <n v="68"/>
    <n v="69.8"/>
    <n v="1.91"/>
    <n v="15"/>
    <n v="14482.49"/>
    <n v="9.2899999999999991"/>
    <s v="Completed"/>
    <n v="32"/>
    <n v="21971.95"/>
    <n v="0.92427616926503298"/>
    <n v="18797.990000000002"/>
    <n v="290.29489977728298"/>
    <n v="517.33333333333303"/>
    <n v="0.97873711340206204"/>
    <n v="2883.66510022272"/>
    <n v="0.9257731958762887"/>
    <n v="7.5723830734966593E-2"/>
    <n v="2.0044543429844099E-2"/>
    <n v="0.92427616926503342"/>
    <n v="0.18333333333333332"/>
    <n v="506.33333333333303"/>
    <n v="0.88676761026991491"/>
    <n v="0.9375"/>
    <n v="0.94588545095457588"/>
    <n v="0.92427616926503342"/>
    <n v="0.85567010309278413"/>
    <n v="41.86634743875279"/>
    <n v="6.4224167042822273"/>
    <s v="Medium"/>
    <s v="Normal"/>
  </r>
  <r>
    <n v="989"/>
    <d v="2026-01-03T00:00:00"/>
    <x v="2"/>
    <s v="Plant B"/>
    <x v="3"/>
    <x v="8"/>
    <x v="1"/>
    <x v="2"/>
    <s v="B260103-0989"/>
    <s v="OP112"/>
    <n v="504"/>
    <n v="434"/>
    <n v="403"/>
    <n v="31"/>
    <n v="6"/>
    <n v="22"/>
    <s v="Machine Breakdown"/>
    <n v="64"/>
    <n v="68"/>
    <n v="79.5"/>
    <n v="1.5"/>
    <n v="16.22"/>
    <n v="13101.7"/>
    <n v="8.92"/>
    <s v="Overdue"/>
    <n v="27"/>
    <n v="20810.36"/>
    <n v="0.92857142857142905"/>
    <n v="17261.68"/>
    <n v="181.12949308755799"/>
    <n v="537.6"/>
    <n v="0.95907738095238104"/>
    <n v="3367.5505069124401"/>
    <n v="0.86111111111111116"/>
    <n v="7.1428571428571425E-2"/>
    <n v="1.3824884792626729E-2"/>
    <n v="0.9285714285714286"/>
    <n v="0.36666666666666664"/>
    <n v="515.6"/>
    <n v="0.84173778122575638"/>
    <n v="0.9375"/>
    <n v="0.89785363330747348"/>
    <n v="0.9285714285714286"/>
    <n v="0.79960317460317465"/>
    <n v="39.77345622119816"/>
    <n v="7.7593329652360374"/>
    <s v="High"/>
    <s v="Warning"/>
  </r>
  <r>
    <n v="990"/>
    <d v="2026-05-08T00:00:00"/>
    <x v="3"/>
    <s v="Plant B"/>
    <x v="0"/>
    <x v="3"/>
    <x v="0"/>
    <x v="3"/>
    <s v="B260508-0990"/>
    <s v="OP104"/>
    <n v="742"/>
    <n v="827"/>
    <n v="786"/>
    <n v="41"/>
    <n v="13"/>
    <n v="37"/>
    <s v="Preventive Maintenance"/>
    <n v="49"/>
    <n v="49"/>
    <n v="74.8"/>
    <n v="2.77"/>
    <n v="33.94"/>
    <n v="17596.57"/>
    <n v="9.0500000000000007"/>
    <s v="Overdue"/>
    <n v="48"/>
    <n v="29222.53"/>
    <n v="0.95042321644498196"/>
    <n v="21974.53"/>
    <n v="276.608718258767"/>
    <n v="605.96666666666704"/>
    <n v="0.93894053578304604"/>
    <n v="6971.3912817412302"/>
    <n v="1.1145552560646901"/>
    <n v="4.9576783555018135E-2"/>
    <n v="1.5719467956469165E-2"/>
    <n v="0.95042321644498184"/>
    <n v="0.6166666666666667"/>
    <n v="568.96666666666704"/>
    <n v="1.4535122151268371"/>
    <n v="1.2244897959183674"/>
    <n v="1.187034975686917"/>
    <n v="0.95042321644498184"/>
    <n v="1.0592991913746619"/>
    <n v="26.571378476420797"/>
    <n v="8.429735528103059"/>
    <s v="High"/>
    <s v="Normal"/>
  </r>
  <r>
    <n v="991"/>
    <d v="2026-04-22T00:00:00"/>
    <x v="5"/>
    <s v="Plant B"/>
    <x v="3"/>
    <x v="11"/>
    <x v="1"/>
    <x v="0"/>
    <s v="B260422-0991"/>
    <s v="OP111"/>
    <n v="770"/>
    <n v="645"/>
    <n v="595"/>
    <n v="50"/>
    <n v="16"/>
    <n v="23"/>
    <s v="Machine Breakdown"/>
    <n v="42"/>
    <n v="41"/>
    <n v="74.599999999999994"/>
    <n v="2.21"/>
    <n v="26.76"/>
    <n v="11517.13"/>
    <n v="8.4"/>
    <s v="Pending"/>
    <n v="39"/>
    <n v="18921.439999999999"/>
    <n v="0.92248062015503896"/>
    <n v="15537.97"/>
    <n v="285.696248062015"/>
    <n v="539"/>
    <n v="0.95732838589981495"/>
    <n v="3097.7737519379798"/>
    <n v="0.83766233766233766"/>
    <n v="7.7519379844961239E-2"/>
    <n v="2.4806201550387597E-2"/>
    <n v="0.92248062015503873"/>
    <n v="0.38333333333333336"/>
    <n v="516"/>
    <n v="1.25"/>
    <n v="1.4285714285714286"/>
    <n v="0.875"/>
    <n v="0.92248062015503873"/>
    <n v="0.77272727272727315"/>
    <n v="24.089875968992246"/>
    <n v="4.8027500030046202"/>
    <s v="High"/>
    <s v="Warning"/>
  </r>
  <r>
    <n v="992"/>
    <d v="2026-02-02T00:00:00"/>
    <x v="4"/>
    <s v="Plant B"/>
    <x v="0"/>
    <x v="3"/>
    <x v="0"/>
    <x v="0"/>
    <s v="B260202-0992"/>
    <s v="OP111"/>
    <n v="976"/>
    <n v="928"/>
    <n v="903"/>
    <n v="25"/>
    <n v="8"/>
    <n v="0"/>
    <s v="No Downtime"/>
    <n v="42"/>
    <n v="42"/>
    <n v="72.599999999999994"/>
    <n v="2.16"/>
    <n v="27.27"/>
    <n v="16639.61"/>
    <n v="8.02"/>
    <s v="Completed"/>
    <n v="29"/>
    <n v="29076.65"/>
    <n v="0.97306034482758597"/>
    <n v="20494.04"/>
    <n v="143.44491379310301"/>
    <n v="683.2"/>
    <n v="1"/>
    <n v="8439.1650862069"/>
    <n v="0.95081967213114749"/>
    <n v="2.6939655172413791E-2"/>
    <n v="8.6206896551724137E-3"/>
    <n v="0.97306034482758619"/>
    <n v="0"/>
    <n v="683.2"/>
    <n v="1.3583138173302107"/>
    <n v="1.4285714285714286"/>
    <n v="0.95081967213114749"/>
    <n v="0.97306034482758619"/>
    <n v="0.92520491803278682"/>
    <n v="22.084094827586206"/>
    <n v="9.0939278946195046"/>
    <s v="Low"/>
    <s v="Normal"/>
  </r>
  <r>
    <n v="993"/>
    <d v="2026-01-22T00:00:00"/>
    <x v="2"/>
    <s v="Plant A"/>
    <x v="0"/>
    <x v="3"/>
    <x v="1"/>
    <x v="0"/>
    <s v="B260122-0993"/>
    <s v="OP122"/>
    <n v="940"/>
    <n v="797"/>
    <n v="762"/>
    <n v="35"/>
    <n v="9"/>
    <n v="49"/>
    <s v="Material Shortage"/>
    <n v="42"/>
    <n v="45"/>
    <n v="77.7"/>
    <n v="1.61"/>
    <n v="32.700000000000003"/>
    <n v="14959.74"/>
    <n v="8.6199999999999992"/>
    <s v="Completed"/>
    <n v="37"/>
    <n v="24070.400000000001"/>
    <n v="0.95608531994981205"/>
    <n v="19133.04"/>
    <n v="168.93056461731501"/>
    <n v="658"/>
    <n v="0.92553191489361697"/>
    <n v="4768.4294353826899"/>
    <n v="0.84787234042553195"/>
    <n v="4.3914680050188205E-2"/>
    <n v="1.1292346298619825E-2"/>
    <n v="0.95608531994981183"/>
    <n v="0.81666666666666665"/>
    <n v="609"/>
    <n v="1.3087027914614122"/>
    <n v="1.4285714285714286"/>
    <n v="0.91609195402298849"/>
    <n v="0.95608531994981183"/>
    <n v="0.81063829787234043"/>
    <n v="24.006323713927227"/>
    <n v="5.9829729427637259"/>
    <s v="Medium"/>
    <s v="Warning"/>
  </r>
  <r>
    <n v="994"/>
    <d v="2026-03-30T00:00:00"/>
    <x v="1"/>
    <s v="Plant A"/>
    <x v="3"/>
    <x v="11"/>
    <x v="0"/>
    <x v="2"/>
    <s v="B260330-0994"/>
    <s v="OP130"/>
    <n v="569"/>
    <n v="587"/>
    <n v="535"/>
    <n v="52"/>
    <n v="11"/>
    <n v="17"/>
    <s v="Material Shortage"/>
    <n v="64"/>
    <n v="68"/>
    <n v="74.8"/>
    <n v="1.69"/>
    <n v="19.8"/>
    <n v="17532.759999999998"/>
    <n v="9.52"/>
    <s v="Overdue"/>
    <n v="22"/>
    <n v="28521.06"/>
    <n v="0.91141396933560503"/>
    <n v="21994.959999999999"/>
    <n v="328.55257240204401"/>
    <n v="606.93333333333305"/>
    <n v="0.97199033391915701"/>
    <n v="6197.5474275979604"/>
    <n v="1.031634446397188"/>
    <n v="8.8586030664395229E-2"/>
    <n v="1.8739352640545145E-2"/>
    <n v="0.91141396933560481"/>
    <n v="0.28333333333333333"/>
    <n v="589.93333333333305"/>
    <n v="0.99502768674426534"/>
    <n v="0.9375"/>
    <n v="1.0613628658605496"/>
    <n v="0.91141396933560481"/>
    <n v="0.94024604569420145"/>
    <n v="37.470119250425896"/>
    <n v="10.558002432023782"/>
    <s v="High"/>
    <s v="Warning"/>
  </r>
  <r>
    <n v="995"/>
    <d v="2026-06-21T00:00:00"/>
    <x v="0"/>
    <s v="Plant B"/>
    <x v="1"/>
    <x v="2"/>
    <x v="2"/>
    <x v="1"/>
    <s v="B260621-0995"/>
    <s v="OP122"/>
    <n v="709"/>
    <n v="661"/>
    <n v="622"/>
    <n v="39"/>
    <n v="13"/>
    <n v="0"/>
    <s v="No Downtime"/>
    <n v="45"/>
    <n v="49"/>
    <n v="72.5"/>
    <n v="1.55"/>
    <n v="22.61"/>
    <n v="13814.22"/>
    <n v="9.17"/>
    <s v="Scheduled"/>
    <n v="14"/>
    <n v="21320.51"/>
    <n v="0.940998487140696"/>
    <n v="18144.21"/>
    <n v="271.68662632375202"/>
    <n v="531.75"/>
    <n v="1"/>
    <n v="2904.6133736762399"/>
    <n v="0.93229901269393511"/>
    <n v="5.9001512859304085E-2"/>
    <n v="1.9667170953101363E-2"/>
    <n v="0.94099848714069589"/>
    <n v="0"/>
    <n v="531.75"/>
    <n v="1.2430653502585802"/>
    <n v="1.3333333333333333"/>
    <n v="0.93229901269393523"/>
    <n v="0.94099848714069589"/>
    <n v="0.87729196050775748"/>
    <n v="27.449636913767019"/>
    <n v="4.3942713671350075"/>
    <s v="Low"/>
    <s v="Normal"/>
  </r>
  <r>
    <n v="996"/>
    <d v="2026-03-04T00:00:00"/>
    <x v="1"/>
    <s v="Plant A"/>
    <x v="0"/>
    <x v="1"/>
    <x v="1"/>
    <x v="4"/>
    <s v="B260304-0996"/>
    <s v="OP129"/>
    <n v="526"/>
    <n v="453"/>
    <n v="432"/>
    <n v="21"/>
    <n v="6"/>
    <n v="32"/>
    <s v="Machine Breakdown"/>
    <n v="57"/>
    <n v="57"/>
    <n v="76.400000000000006"/>
    <n v="2.63"/>
    <n v="15.83"/>
    <n v="12275.95"/>
    <n v="8.01"/>
    <s v="Scheduled"/>
    <n v="17"/>
    <n v="20047.419999999998"/>
    <n v="0.95364238410596003"/>
    <n v="16022.92"/>
    <n v="162.59536423841101"/>
    <n v="499.7"/>
    <n v="0.93596157694616799"/>
    <n v="3861.9046357615898"/>
    <n v="0.86121673003802279"/>
    <n v="4.6357615894039736E-2"/>
    <n v="1.3245033112582781E-2"/>
    <n v="0.95364238410596025"/>
    <n v="0.53333333333333333"/>
    <n v="467.7"/>
    <n v="0.9685695958948044"/>
    <n v="1.0526315789473684"/>
    <n v="0.92014111610006422"/>
    <n v="0.95364238410596025"/>
    <n v="0.82129277566539949"/>
    <n v="35.370684326710816"/>
    <n v="8.5251757963832002"/>
    <s v="Medium"/>
    <s v="Warning"/>
  </r>
  <r>
    <n v="997"/>
    <d v="2026-04-05T00:00:00"/>
    <x v="5"/>
    <s v="Plant B"/>
    <x v="3"/>
    <x v="7"/>
    <x v="0"/>
    <x v="3"/>
    <s v="B260405-0997"/>
    <s v="OP110"/>
    <n v="779"/>
    <n v="685"/>
    <n v="636"/>
    <n v="49"/>
    <n v="10"/>
    <n v="44"/>
    <s v="Material Shortage"/>
    <n v="49"/>
    <n v="53"/>
    <n v="73.8"/>
    <n v="3.06"/>
    <n v="22.76"/>
    <n v="15249.82"/>
    <n v="8.15"/>
    <s v="Overdue"/>
    <n v="51"/>
    <n v="23993.98"/>
    <n v="0.928467153284672"/>
    <n v="19122.16"/>
    <n v="222.625109489051"/>
    <n v="636.18333333333305"/>
    <n v="0.93083754682874398"/>
    <n v="4649.1948905109502"/>
    <n v="0.87933247753530164"/>
    <n v="7.153284671532846E-2"/>
    <n v="1.4598540145985401E-2"/>
    <n v="0.92846715328467155"/>
    <n v="0.73333333333333328"/>
    <n v="592.18333333333305"/>
    <n v="1.1567363710562613"/>
    <n v="1.2244897959183674"/>
    <n v="0.94466803636261332"/>
    <n v="0.92846715328467155"/>
    <n v="0.81643132220795889"/>
    <n v="27.915562043795621"/>
    <n v="6.7871458255634307"/>
    <s v="High"/>
    <s v="Warning"/>
  </r>
  <r>
    <n v="998"/>
    <d v="2026-02-23T00:00:00"/>
    <x v="4"/>
    <s v="Plant A"/>
    <x v="1"/>
    <x v="6"/>
    <x v="1"/>
    <x v="0"/>
    <s v="B260223-0998"/>
    <s v="OP113"/>
    <n v="974"/>
    <n v="965"/>
    <n v="921"/>
    <n v="44"/>
    <n v="9"/>
    <n v="0"/>
    <s v="No Downtime"/>
    <n v="42"/>
    <n v="42"/>
    <n v="73.5"/>
    <n v="2.6"/>
    <n v="30.47"/>
    <n v="18526.310000000001"/>
    <n v="9.76"/>
    <s v="Completed"/>
    <n v="8"/>
    <n v="29344.63"/>
    <n v="0.95440414507771998"/>
    <n v="23192.54"/>
    <n v="172.784238341969"/>
    <n v="681.8"/>
    <n v="1"/>
    <n v="5979.30576165803"/>
    <n v="0.99075975359342916"/>
    <n v="4.5595854922279792E-2"/>
    <n v="9.3264248704663204E-3"/>
    <n v="0.9544041450777202"/>
    <n v="0"/>
    <n v="681.8"/>
    <n v="1.4153710765620418"/>
    <n v="1.4285714285714286"/>
    <n v="0.99075975359342916"/>
    <n v="0.9544041450777202"/>
    <n v="0.94558521560574949"/>
    <n v="24.033720207253886"/>
    <n v="6.1961717737388913"/>
    <s v="Low"/>
    <s v="Normal"/>
  </r>
  <r>
    <n v="999"/>
    <d v="2026-03-16T00:00:00"/>
    <x v="1"/>
    <s v="Plant A"/>
    <x v="1"/>
    <x v="2"/>
    <x v="2"/>
    <x v="2"/>
    <s v="B260316-0999"/>
    <s v="OP124"/>
    <n v="466"/>
    <n v="504"/>
    <n v="472"/>
    <n v="32"/>
    <n v="8"/>
    <n v="24"/>
    <s v="Material Shortage"/>
    <n v="64"/>
    <n v="66"/>
    <n v="69.400000000000006"/>
    <n v="1.2"/>
    <n v="20.46"/>
    <n v="16519.12"/>
    <n v="8.7200000000000006"/>
    <s v="Completed"/>
    <n v="1"/>
    <n v="24239.91"/>
    <n v="0.93650793650793696"/>
    <n v="20627.259999999998"/>
    <n v="262.20825396825398"/>
    <n v="497.066666666667"/>
    <n v="0.95171673819742497"/>
    <n v="3350.44174603175"/>
    <n v="1.0815450643776825"/>
    <n v="6.3492063492063489E-2"/>
    <n v="1.5873015873015872E-2"/>
    <n v="0.93650793650793651"/>
    <n v="0.4"/>
    <n v="473.066666666667"/>
    <n v="1.0653889515219834"/>
    <n v="0.9375"/>
    <n v="1.1364148816234489"/>
    <n v="0.93650793650793651"/>
    <n v="1.0128755364806858"/>
    <n v="40.927103174603168"/>
    <n v="6.6477018770471226"/>
    <s v="Low"/>
    <s v="Normal"/>
  </r>
  <r>
    <n v="1000"/>
    <d v="2026-04-20T00:00:00"/>
    <x v="5"/>
    <s v="Plant A"/>
    <x v="3"/>
    <x v="7"/>
    <x v="2"/>
    <x v="4"/>
    <s v="B260420-1000"/>
    <s v="OP124"/>
    <n v="732"/>
    <n v="628"/>
    <n v="596"/>
    <n v="32"/>
    <n v="9"/>
    <n v="13"/>
    <s v="Material Shortage"/>
    <n v="57"/>
    <n v="64"/>
    <n v="60.3"/>
    <n v="1.49"/>
    <n v="26.07"/>
    <n v="16530.14"/>
    <n v="8.08"/>
    <s v="Overdue"/>
    <n v="25"/>
    <n v="27853.42"/>
    <n v="0.94904458598726105"/>
    <n v="20400.77"/>
    <n v="236.896910828025"/>
    <n v="695.4"/>
    <n v="0.981305723324705"/>
    <n v="7215.7530891719698"/>
    <n v="0.85792349726775952"/>
    <n v="5.0955414012738856E-2"/>
    <n v="1.4331210191082803E-2"/>
    <n v="0.94904458598726116"/>
    <n v="0.21666666666666667"/>
    <n v="682.4"/>
    <n v="0.9202813599062134"/>
    <n v="1.0526315789473684"/>
    <n v="0.8742672919109028"/>
    <n v="0.94904458598726116"/>
    <n v="0.81420765027322406"/>
    <n v="32.485302547770701"/>
    <n v="11.490052689764283"/>
    <s v="High"/>
    <s v="Warning"/>
  </r>
  <r>
    <m/>
    <m/>
    <x v="6"/>
    <m/>
    <x v="5"/>
    <x v="15"/>
    <x v="3"/>
    <x v="5"/>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609864-FC37-4ECF-AB0A-AF8FA8088C1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8">
    <pivotField showAll="0"/>
    <pivotField showAll="0"/>
    <pivotField showAll="0"/>
    <pivotField showAll="0"/>
    <pivotField axis="axisRow" showAll="0">
      <items count="7">
        <item x="0"/>
        <item x="3"/>
        <item x="4"/>
        <item x="1"/>
        <item x="2"/>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Scrap_Cost" fld="2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D8EEFB0-114E-4760-84D3-BC5289ECC64A}" sourceName="Month">
  <data>
    <tabular pivotCacheId="1218386811">
      <items count="7">
        <i x="2" s="1"/>
        <i x="4" s="1"/>
        <i x="1" s="1"/>
        <i x="5" s="1"/>
        <i x="3"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_Line" xr10:uid="{DBE2FBC8-E52F-4A90-AF35-0A7E8DD2707A}" sourceName="Production_Line">
  <data>
    <tabular pivotCacheId="1218386811">
      <items count="6">
        <i x="0" s="1"/>
        <i x="3" s="1"/>
        <i x="4" s="1"/>
        <i x="1"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EBBBEC04-C791-43A2-AAAE-91D4BDD42750}" sourceName="Machine_ID">
  <data>
    <tabular pivotCacheId="1218386811">
      <items count="16">
        <i x="3" s="1"/>
        <i x="1" s="1"/>
        <i x="0" s="1"/>
        <i x="8" s="1"/>
        <i x="7" s="1"/>
        <i x="11" s="1"/>
        <i x="14" s="1"/>
        <i x="13" s="1"/>
        <i x="12" s="1"/>
        <i x="5" s="1"/>
        <i x="2" s="1"/>
        <i x="6" s="1"/>
        <i x="4" s="1"/>
        <i x="10" s="1"/>
        <i x="9"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5ABABCD3-5CDC-4A3C-BA9B-CA5782DA8F2A}" sourceName="Shift">
  <data>
    <tabular pivotCacheId="1218386811">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4890003D-8522-4746-9799-A2A15BC72339}" sourceName="Product_Type">
  <data>
    <tabular pivotCacheId="1218386811">
      <items count="6">
        <i x="0" s="1"/>
        <i x="3" s="1"/>
        <i x="4" s="1"/>
        <i x="1"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FEB4E579-23AF-4A14-8A43-65AA9DA03776}" cache="Slicer_Month" caption="Month" rowHeight="241300"/>
  <slicer name="Production_Line 1" xr10:uid="{090951B8-1818-4E90-8EA3-338A7C8C33F0}" cache="Slicer_Production_Line" caption="Production_Line" rowHeight="241300"/>
  <slicer name="Machine_ID 1" xr10:uid="{6DC7BFB6-7C79-4953-8766-7B4271C1975E}" cache="Slicer_Machine_ID" caption="Machine_ID" rowHeight="241300"/>
  <slicer name="Shift 1" xr10:uid="{C8A84272-ABD8-4091-8E80-20CB3BDC45F6}" cache="Slicer_Shift" caption="Shift" rowHeight="241300"/>
  <slicer name="Product_Type 1" xr10:uid="{7918F1B9-E95D-456F-B239-273FB82772AF}" cache="Slicer_Product_Type" caption="Product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8131AF-FDE7-4A10-8C0C-547B39922651}" name="Table2" displayName="Table2" ref="A1:AV1001" totalsRowShown="0" headerRowDxfId="199" dataDxfId="197" headerRowBorderDxfId="198">
  <autoFilter ref="A1:AV1001" xr:uid="{00000000-0009-0000-0000-000000000000}"/>
  <tableColumns count="48">
    <tableColumn id="1" xr3:uid="{1636783E-5FF3-455B-8F9B-5E1033022403}" name="Record_ID" dataDxfId="196"/>
    <tableColumn id="2" xr3:uid="{F3546D5A-FC3C-4C6C-B8FE-3A908F813223}" name="Production_Date" dataDxfId="195"/>
    <tableColumn id="49" xr3:uid="{3AD89508-AD59-4A04-909E-7B0127799966}" name="Month" dataDxfId="194">
      <calculatedColumnFormula>TEXT(B2,"mmmm")</calculatedColumnFormula>
    </tableColumn>
    <tableColumn id="3" xr3:uid="{A6EDE3BD-C253-41E9-A9CC-F257407B06AA}" name="Plant" dataDxfId="193"/>
    <tableColumn id="4" xr3:uid="{5CC54E8D-C3FF-4914-9C87-D9D4E4617C99}" name="Production_Line" dataDxfId="192"/>
    <tableColumn id="5" xr3:uid="{E85C7954-6099-49DA-8D97-6206B184B4D5}" name="Machine_ID" dataDxfId="191"/>
    <tableColumn id="6" xr3:uid="{FED91C2F-6A22-4332-9D70-D77BFF899F21}" name="Shift" dataDxfId="190"/>
    <tableColumn id="7" xr3:uid="{40A17B45-EB57-4B8A-B482-56173DE8B892}" name="Product_Type" dataDxfId="189"/>
    <tableColumn id="8" xr3:uid="{F9EF43CD-5608-40B3-9BC3-C290753BA69C}" name="Batch_ID" dataDxfId="188"/>
    <tableColumn id="9" xr3:uid="{4B85BFDA-B583-4E03-A742-90128ED86E35}" name="Operator_ID" dataDxfId="187"/>
    <tableColumn id="10" xr3:uid="{8A5FF9AA-9F99-4467-871D-194DF7AE242E}" name="Planned_Quantity" dataDxfId="186"/>
    <tableColumn id="11" xr3:uid="{C29F81B0-366B-4CCD-BADA-DAE4B369D139}" name="Produced_Quantity" dataDxfId="185"/>
    <tableColumn id="12" xr3:uid="{C342A649-9FC1-4687-89AB-39D33A716298}" name="Good_Quantity" dataDxfId="184"/>
    <tableColumn id="13" xr3:uid="{C27E71F3-EA3A-489B-AED0-AB4671E3C937}" name="Defect_Quantity" dataDxfId="183"/>
    <tableColumn id="14" xr3:uid="{EB3C4B12-3208-4DB4-9291-DFE712D1E03E}" name="Scrap_Quantity" dataDxfId="182"/>
    <tableColumn id="15" xr3:uid="{B790DACE-0AAD-4B19-BF56-6F606E0C39D0}" name="Downtime_Minutes" dataDxfId="181"/>
    <tableColumn id="16" xr3:uid="{33F06CF5-1E01-431D-8852-F39EA4C17447}" name="Downtime_Reason" dataDxfId="180"/>
    <tableColumn id="17" xr3:uid="{5822AEBA-9BBE-4D10-8E7A-540CAF8032E1}" name="Ideal_Cycle_Time_Sec" dataDxfId="179"/>
    <tableColumn id="18" xr3:uid="{944D0653-5DA9-4B74-8F5A-72FA620B4657}" name="Actual_Cycle_Time_Sec" dataDxfId="178"/>
    <tableColumn id="19" xr3:uid="{AD255160-7FBC-4AE1-885A-62290E64A250}" name="Machine_Temperature_C" dataDxfId="177"/>
    <tableColumn id="20" xr3:uid="{33260AF5-F571-413E-B7E4-D434CC15E98E}" name="Machine_Vibration_mm_s" dataDxfId="176"/>
    <tableColumn id="21" xr3:uid="{AE95D567-F024-4516-BB2C-13AAB2A51DF1}" name="Energy_Consumption_kWh" dataDxfId="175"/>
    <tableColumn id="22" xr3:uid="{A0CB5595-4F75-4069-B9C1-D29FFF698EF8}" name="Raw_Material_Cost" dataDxfId="174"/>
    <tableColumn id="23" xr3:uid="{A1E9E858-0BA9-4C9F-8809-C1EB44693EC8}" name="Labour_Hours" dataDxfId="173"/>
    <tableColumn id="24" xr3:uid="{EFD23264-F83B-4A3F-A720-1D3F1BD1BE63}" name="Maintenance_Status" dataDxfId="172"/>
    <tableColumn id="25" xr3:uid="{6F9608CC-9654-4CAF-8039-9CB92184FB7C}" name="Maintenance_Days_Ago" dataDxfId="171"/>
    <tableColumn id="26" xr3:uid="{0B956D43-F8CC-440B-810F-F534514A0768}" name="Revenue" dataDxfId="170"/>
    <tableColumn id="27" xr3:uid="{EF08ADE0-A84F-4A3E-B98F-4B4E8C113BCD}" name="Quality_Score" dataDxfId="169"/>
    <tableColumn id="28" xr3:uid="{44A210F9-327F-4429-9128-E4BE05192285}" name="Production_Cost" dataDxfId="168"/>
    <tableColumn id="29" xr3:uid="{75B8C312-D0F6-4049-82B7-BEEDE6C680EF}" name="Scrap_Cost" dataDxfId="167"/>
    <tableColumn id="30" xr3:uid="{5C6D8B75-D4EA-4417-B6E5-9429F7A06AB4}" name="Planned_Production_Time_Min" dataDxfId="166"/>
    <tableColumn id="31" xr3:uid="{D90F791C-3B04-4C77-9795-4C36F1E51BAB}" name="Availability" dataDxfId="165"/>
    <tableColumn id="32" xr3:uid="{6CC429B5-0C08-4434-98E8-A5F6AE317D2E}" name="Profit" dataDxfId="164"/>
    <tableColumn id="33" xr3:uid="{85A5E67C-C5CB-479A-9225-4E87AB450A9B}" name="Production_Achievement_%" dataDxfId="163">
      <calculatedColumnFormula>IFERROR(L2/K2,0)</calculatedColumnFormula>
    </tableColumn>
    <tableColumn id="34" xr3:uid="{45B254EE-7706-4161-B2D0-DAE29EF9873E}" name="Defect_Rate_%" dataDxfId="162">
      <calculatedColumnFormula>IFERROR(N2/L2,0)</calculatedColumnFormula>
    </tableColumn>
    <tableColumn id="35" xr3:uid="{42261E89-4EEC-47E0-B9D5-0E32B2E9C506}" name="Scrap_Rate_%" dataDxfId="161">
      <calculatedColumnFormula>IFERROR(O2/L2,0)</calculatedColumnFormula>
    </tableColumn>
    <tableColumn id="36" xr3:uid="{93590BA6-72E3-406E-BB59-458055D3A97B}" name="Good_Rate_%" dataDxfId="160">
      <calculatedColumnFormula>IFERROR(M2/L2,0)</calculatedColumnFormula>
    </tableColumn>
    <tableColumn id="37" xr3:uid="{B4B27747-F84D-4E6D-AC12-74B6331E424B}" name="Downtime_Hours" dataDxfId="159">
      <calculatedColumnFormula>P2/60</calculatedColumnFormula>
    </tableColumn>
    <tableColumn id="38" xr3:uid="{C74866BF-B6DC-4E2E-99C6-9E64064321BD}" name="Operating_Time_Min" dataDxfId="158">
      <calculatedColumnFormula>MAX(0,AE2-P2)</calculatedColumnFormula>
    </tableColumn>
    <tableColumn id="39" xr3:uid="{24346D3D-1CB3-49E0-9FDC-622FD5D999BF}" name="Actual_Production_Rate" dataDxfId="157">
      <calculatedColumnFormula>IFERROR(L2/AM2,0)</calculatedColumnFormula>
    </tableColumn>
    <tableColumn id="40" xr3:uid="{68891F3E-2D37-4C0F-A8EB-3739DFE69D8B}" name="Ideal_Production_Rate" dataDxfId="156">
      <calculatedColumnFormula>IFERROR(60/R2,0)</calculatedColumnFormula>
    </tableColumn>
    <tableColumn id="41" xr3:uid="{BA5A60E7-A8A5-4026-8181-DC10A6103A20}" name="Performance_%" dataDxfId="155">
      <calculatedColumnFormula>IFERROR(AN2/AO2,0)</calculatedColumnFormula>
    </tableColumn>
    <tableColumn id="42" xr3:uid="{E2F55C57-7797-4AED-89E3-5F765443A3B5}" name="Quality_%" dataDxfId="154">
      <calculatedColumnFormula>IFERROR(M2/L2,0)</calculatedColumnFormula>
    </tableColumn>
    <tableColumn id="43" xr3:uid="{4D6B8420-9085-488A-A833-0AC861DCBC47}" name="OEE_%" dataDxfId="153">
      <calculatedColumnFormula>AF2*AP2*AQ2</calculatedColumnFormula>
    </tableColumn>
    <tableColumn id="44" xr3:uid="{6E033912-661E-4C33-A7A0-3827FC280720}" name="Cost_Per_Unit" dataDxfId="152">
      <calculatedColumnFormula>IFERROR(AC2/L2,0)</calculatedColumnFormula>
    </tableColumn>
    <tableColumn id="45" xr3:uid="{AF45604F-855B-4AC8-98DC-2379DA309F28}" name="Profit_Per_Unit" dataDxfId="151">
      <calculatedColumnFormula>IFERROR(AG2/L2,0)</calculatedColumnFormula>
    </tableColumn>
    <tableColumn id="46" xr3:uid="{BF048C50-B464-419F-950F-F03B8AAB4A7C}" name="Maintenance_Risk" dataDxfId="150">
      <calculatedColumnFormula>IF(OR(Y2="Overdue",P2&gt;=120,T2&gt;=85,U2&gt;=4,AI2&gt;=0.12,AR2&lt;0.8),"High",IF(OR(Y2="Pending",Z2&gt;=30,P2&gt;=60,T2&gt;=80,U2&gt;=3,AI2&gt;=0.08,AR2&lt;0.85),"Medium","Low"))</calculatedColumnFormula>
    </tableColumn>
    <tableColumn id="47" xr3:uid="{A42F2F3C-8F10-4115-9E86-09F0F8E007AA}" name="Anomaly_Flag" dataDxfId="149">
      <calculatedColumnFormula>IF(OR(P2&gt;=120,T2&gt;=90,U2&gt;=4.5,AI2&gt;=0.15,AR2&lt;0.75),"Critical",IF(OR(P2&gt;=60,T2&gt;=80,U2&gt;=3,AI2&gt;=0.08,AR2&lt;0.85),"Warning","Normal"))</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1540F8-C1FA-433D-9D3D-62CB5B8954B1}" name="Table4" displayName="Table4" ref="A2:D50" totalsRowShown="0" headerRowDxfId="148" dataDxfId="146" headerRowBorderDxfId="147" tableBorderDxfId="145" totalsRowBorderDxfId="144">
  <autoFilter ref="A2:D50" xr:uid="{961540F8-C1FA-433D-9D3D-62CB5B8954B1}"/>
  <tableColumns count="4">
    <tableColumn id="1" xr3:uid="{450E3F22-17A9-486B-97A7-89EA41897B0A}" name="Column" dataDxfId="143"/>
    <tableColumn id="2" xr3:uid="{22F5DD35-0835-4AB1-9D2C-9ADDBBF33094}" name="Meaning" dataDxfId="142"/>
    <tableColumn id="3" xr3:uid="{B6A1DB46-D973-482E-BEF7-B60E7F6FA192}" name="Data Type" dataDxfId="141"/>
    <tableColumn id="4" xr3:uid="{9BFD01C4-61C3-41C8-8442-706A7FB3439E}" name="Student Use" dataDxfId="140"/>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76B79F-A259-4434-A9E0-3F6B5F3B0753}" name="Table6" displayName="Table6" ref="A3:H11" headerRowCount="0" totalsRowShown="0" headerRowDxfId="139" dataDxfId="137" headerRowBorderDxfId="138" tableBorderDxfId="136" totalsRowBorderDxfId="135">
  <tableColumns count="8">
    <tableColumn id="1" xr3:uid="{6FA5139D-FB95-49B2-B073-B6AA8B4E9F78}" name="Column1" headerRowDxfId="134" dataDxfId="133"/>
    <tableColumn id="2" xr3:uid="{6CA41A4E-3536-4B9F-8528-0AE303CE32A1}" name="Column2" headerRowDxfId="132" dataDxfId="131"/>
    <tableColumn id="3" xr3:uid="{18FF7C83-E2EC-4A57-8CA6-1A3AB222ACB1}" name="Column3" headerRowDxfId="130" dataDxfId="129"/>
    <tableColumn id="4" xr3:uid="{688CBF27-1A1C-4E76-BFD6-3E65F73078E8}" name="Column4" headerRowDxfId="128" dataDxfId="127"/>
    <tableColumn id="5" xr3:uid="{286EBF3E-8456-402C-BE4B-FA249A61FE11}" name="Column5" headerRowDxfId="126" dataDxfId="125"/>
    <tableColumn id="6" xr3:uid="{C6ED35EC-62F0-4A76-BE1F-D85C66F2E030}" name="Column6" headerRowDxfId="124" dataDxfId="123"/>
    <tableColumn id="7" xr3:uid="{D0A5BAEB-CF1F-4823-89AE-FADB0FFFE52A}" name="Column7" headerRowDxfId="122" dataDxfId="121"/>
    <tableColumn id="8" xr3:uid="{91B47B12-94A2-4446-B394-BEDCB7EE4525}" name="Column8" headerRowDxfId="120" dataDxfId="119"/>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FC64D2B-47DC-4E12-A979-42F68C7AFF86}" name="Table9" displayName="Table9" ref="A14:B26" totalsRowShown="0" headerRowDxfId="118" dataDxfId="116" headerRowBorderDxfId="117" tableBorderDxfId="115" totalsRowBorderDxfId="114">
  <autoFilter ref="A14:B26" xr:uid="{6FC64D2B-47DC-4E12-A979-42F68C7AFF86}"/>
  <tableColumns count="2">
    <tableColumn id="1" xr3:uid="{987CD2C0-50DB-4E46-9653-8792F0E7F0DB}" name="Threshold" dataDxfId="113"/>
    <tableColumn id="2" xr3:uid="{8DA4F992-A8FA-4555-A6D0-7151290CE61D}" name="Value" dataDxfId="112"/>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224637-D13C-48CD-9B69-415AEBBDFA9A}" name="Table10" displayName="Table10" ref="A14:H19" totalsRowShown="0" headerRowDxfId="111" dataDxfId="109" headerRowBorderDxfId="110" tableBorderDxfId="108">
  <autoFilter ref="A14:H19" xr:uid="{2B224637-D13C-48CD-9B69-415AEBBDFA9A}"/>
  <tableColumns count="8">
    <tableColumn id="1" xr3:uid="{956B7D34-5090-4C75-B953-533A3341BE2A}" name="Group" dataDxfId="107"/>
    <tableColumn id="2" xr3:uid="{D7FB4960-DA91-43EC-821D-F86BD2FADDEF}" name="Production" dataDxfId="106">
      <calculatedColumnFormula>SUMIF('01_Manufacturing_Data'!$E$2:$E$1001,$A15,'01_Manufacturing_Data'!$L$2:$L$1001)</calculatedColumnFormula>
    </tableColumn>
    <tableColumn id="3" xr3:uid="{6EB42928-36E4-4D52-9FE6-C40B1B65A4D3}" name="Achievement %" dataDxfId="105">
      <calculatedColumnFormula>AVERAGEIF('01_Manufacturing_Data'!$E$2:$E$1001,$A15,'01_Manufacturing_Data'!$AH$2:$AH$1001)</calculatedColumnFormula>
    </tableColumn>
    <tableColumn id="4" xr3:uid="{71E6BF92-09BB-451D-8B0B-610D2463B65B}" name="Downtime Hrs" dataDxfId="104">
      <calculatedColumnFormula>SUMIF('01_Manufacturing_Data'!$E$2:$E$1001,$A15,'01_Manufacturing_Data'!$AL$2:$AL$1001)</calculatedColumnFormula>
    </tableColumn>
    <tableColumn id="5" xr3:uid="{9C989F6B-D61A-4583-99D7-482C0D29E083}" name="OEE %" dataDxfId="103">
      <calculatedColumnFormula>AVERAGEIF('01_Manufacturing_Data'!$E$2:$E$1001,$A15,'01_Manufacturing_Data'!$AR$2:$AR$1001)</calculatedColumnFormula>
    </tableColumn>
    <tableColumn id="6" xr3:uid="{F3B45AA5-7B82-4800-B9A1-6B81B8917799}" name="Defect Rate %" dataDxfId="102">
      <calculatedColumnFormula>AVERAGEIF('01_Manufacturing_Data'!$E$2:$E$1001,$A15,'01_Manufacturing_Data'!$AI$2:$AI$1001)</calculatedColumnFormula>
    </tableColumn>
    <tableColumn id="7" xr3:uid="{66E121D1-C8EA-47C7-91D7-269A2CF04B74}" name="Scrap Cost" dataDxfId="101">
      <calculatedColumnFormula>SUMIF('01_Manufacturing_Data'!$E$2:$E$1001,$A15,'01_Manufacturing_Data'!$AD$2:$AD$1001)</calculatedColumnFormula>
    </tableColumn>
    <tableColumn id="8" xr3:uid="{B34BEC53-21E8-4C93-9A27-49FB70063430}" name="Profit" dataDxfId="100">
      <calculatedColumnFormula>SUMIF('01_Manufacturing_Data'!$E$2:$E$1001,$A15,'01_Manufacturing_Data'!$AG$2:$AG$1001)</calculatedColumnFormula>
    </tableColumn>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1ACAB4E-8047-4A2E-9B3D-B05151DB5239}" name="Table11" displayName="Table11" ref="A2:B10" totalsRowShown="0" headerRowDxfId="99" dataDxfId="97" headerRowBorderDxfId="98" tableBorderDxfId="96">
  <autoFilter ref="A2:B10" xr:uid="{11ACAB4E-8047-4A2E-9B3D-B05151DB5239}"/>
  <tableColumns count="2">
    <tableColumn id="1" xr3:uid="{97DC8838-7EF2-4917-BB81-339A82A3F30A}" name="KPI" dataDxfId="95"/>
    <tableColumn id="2" xr3:uid="{833DCA35-999F-46A3-9D8D-F7DE4F2D87B1}" name="Value" dataDxfId="94"/>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451AD20-5566-484F-A3A4-55E4B29A74AE}" name="Table12" displayName="Table12" ref="A24:J39" totalsRowShown="0" headerRowDxfId="93" dataDxfId="91" headerRowBorderDxfId="92">
  <autoFilter ref="A24:J39" xr:uid="{B451AD20-5566-484F-A3A4-55E4B29A74AE}"/>
  <tableColumns count="10">
    <tableColumn id="1" xr3:uid="{48302B1A-F20F-4DCF-BA11-A245220122DA}" name="Group" dataDxfId="90"/>
    <tableColumn id="2" xr3:uid="{D276211C-8F9D-4E3C-919A-AC5456893124}" name="Production" dataDxfId="89">
      <calculatedColumnFormula>SUMIF('01_Manufacturing_Data'!$F$2:$F$1001,$A25,'01_Manufacturing_Data'!$L$2:$L$1001)</calculatedColumnFormula>
    </tableColumn>
    <tableColumn id="3" xr3:uid="{D28695DD-691D-4B28-A67E-D17E540BE782}" name="Downtime Hrs" dataDxfId="88">
      <calculatedColumnFormula>SUMIF('01_Manufacturing_Data'!$F$2:$F$1001,$A25,'01_Manufacturing_Data'!$AL$2:$AL$1001)</calculatedColumnFormula>
    </tableColumn>
    <tableColumn id="4" xr3:uid="{06435B09-9D44-4772-B467-8D0333C6CB45}" name="OEE %" dataDxfId="87">
      <calculatedColumnFormula>AVERAGEIF('01_Manufacturing_Data'!$F$2:$F$1001,$A25,'01_Manufacturing_Data'!$AR$2:$AR$1001)</calculatedColumnFormula>
    </tableColumn>
    <tableColumn id="5" xr3:uid="{9FE5D273-B237-4E08-BF27-7420637DADF1}" name="Defect Rate %" dataDxfId="86">
      <calculatedColumnFormula>AVERAGEIF('01_Manufacturing_Data'!$F$2:$F$1001,$A25,'01_Manufacturing_Data'!$AI$2:$AI$1001)</calculatedColumnFormula>
    </tableColumn>
    <tableColumn id="6" xr3:uid="{CE9A4F81-F5A4-491F-A9C8-7DFFF6679603}" name="Actual Cycle Sec" dataDxfId="85">
      <calculatedColumnFormula>AVERAGEIF('01_Manufacturing_Data'!$F$2:$F$1001,$A25,'01_Manufacturing_Data'!$S$2:$S$1001)</calculatedColumnFormula>
    </tableColumn>
    <tableColumn id="7" xr3:uid="{15E49122-F093-4531-BE6E-ADB63A8A16FC}" name="Scrap" dataDxfId="84">
      <calculatedColumnFormula>SUMIF('01_Manufacturing_Data'!$F$2:$F$1001,$A25,'01_Manufacturing_Data'!$O$2:$O$1001)</calculatedColumnFormula>
    </tableColumn>
    <tableColumn id="8" xr3:uid="{47FB708D-C280-41C0-BD18-B9EF204E8BE3}" name="Scrap Cost" dataDxfId="83">
      <calculatedColumnFormula>SUMIF('01_Manufacturing_Data'!$F$2:$F$1001,$A25,'01_Manufacturing_Data'!$AD$2:$AD$1001)</calculatedColumnFormula>
    </tableColumn>
    <tableColumn id="9" xr3:uid="{375F0E69-4E60-4657-A86C-AEB3DE92BB6A}" name="Maintenance Days" dataDxfId="82">
      <calculatedColumnFormula>AVERAGEIF('01_Manufacturing_Data'!$F$2:$F$1001,$A25,'01_Manufacturing_Data'!$Z$2:$Z$1001)</calculatedColumnFormula>
    </tableColumn>
    <tableColumn id="10" xr3:uid="{0DD82C97-77EB-40E1-A86F-E3E99C3FAFAB}" name="Maintenance Risk High" dataDxfId="81">
      <calculatedColumnFormula>COUNTIFS('01_Manufacturing_Data'!$F$2:$F$1001,$A25,'01_Manufacturing_Data'!$AU$2:$AU$1001,"High")</calculatedColumnFormula>
    </tableColumn>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6154BE5-DA95-4E6D-87BE-53242B5BB71E}" name="Table13" displayName="Table13" ref="A42:H45" totalsRowShown="0" headerRowDxfId="80" dataDxfId="78" headerRowBorderDxfId="79" tableBorderDxfId="77">
  <autoFilter ref="A42:H45" xr:uid="{76154BE5-DA95-4E6D-87BE-53242B5BB71E}"/>
  <tableColumns count="8">
    <tableColumn id="1" xr3:uid="{F0CD54EF-E308-4509-B1A1-2B8DCBCD1BB8}" name="Group" dataDxfId="76"/>
    <tableColumn id="2" xr3:uid="{B88C8288-744D-4820-8E67-50C66F27B6E3}" name="Production" dataDxfId="75">
      <calculatedColumnFormula>SUMIF('01_Manufacturing_Data'!$G$2:$G$1001,$A43,'01_Manufacturing_Data'!$L$2:$L$1001)</calculatedColumnFormula>
    </tableColumn>
    <tableColumn id="3" xr3:uid="{6EDF8B66-FE7D-4955-9247-66D806E22FFE}" name="Achievement %" dataDxfId="74">
      <calculatedColumnFormula>AVERAGEIF('01_Manufacturing_Data'!$G$2:$G$1001,$A43,'01_Manufacturing_Data'!$AH$2:$AH$1001)</calculatedColumnFormula>
    </tableColumn>
    <tableColumn id="4" xr3:uid="{FB9A9B49-957B-4622-A427-039C2A55CD5E}" name="Downtime Hrs" dataDxfId="73">
      <calculatedColumnFormula>SUMIF('01_Manufacturing_Data'!$G$2:$G$1001,$A43,'01_Manufacturing_Data'!$AL$2:$AL$1001)</calculatedColumnFormula>
    </tableColumn>
    <tableColumn id="5" xr3:uid="{C0D94A74-3C49-46F5-9C5F-3AE5CD69CB24}" name="OEE %" dataDxfId="72">
      <calculatedColumnFormula>AVERAGEIF('01_Manufacturing_Data'!$G$2:$G$1001,$A43,'01_Manufacturing_Data'!$AR$2:$AR$1001)</calculatedColumnFormula>
    </tableColumn>
    <tableColumn id="6" xr3:uid="{40016A2F-8BC9-489F-A662-6B6FEB74DE8E}" name="Defect Rate %" dataDxfId="71">
      <calculatedColumnFormula>AVERAGEIF('01_Manufacturing_Data'!$G$2:$G$1001,$A43,'01_Manufacturing_Data'!$AI$2:$AI$1001)</calculatedColumnFormula>
    </tableColumn>
    <tableColumn id="7" xr3:uid="{E4008B76-8DA4-47AD-BEF0-97E131950C4E}" name="Scrap Cost" dataDxfId="70">
      <calculatedColumnFormula>SUMIF('01_Manufacturing_Data'!$G$2:$G$1001,$A43,'01_Manufacturing_Data'!$AD$2:$AD$1001)</calculatedColumnFormula>
    </tableColumn>
    <tableColumn id="8" xr3:uid="{8CE7F204-11D1-4512-830E-54FB86991665}" name="Profit" dataDxfId="69">
      <calculatedColumnFormula>SUMIF('01_Manufacturing_Data'!$G$2:$G$1001,$A43,'01_Manufacturing_Data'!$AG$2:$AG$1001)</calculatedColumnFormula>
    </tableColumn>
  </tableColumns>
  <tableStyleInfo name="TableStyleMedium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CEB1B16-0FF6-4E77-BC0C-8DBCF9913043}" name="Table14" displayName="Table14" ref="A49:H54" totalsRowShown="0" headerRowDxfId="68" dataDxfId="66" headerRowBorderDxfId="67" tableBorderDxfId="65">
  <autoFilter ref="A49:H54" xr:uid="{0CEB1B16-0FF6-4E77-BC0C-8DBCF9913043}"/>
  <tableColumns count="8">
    <tableColumn id="1" xr3:uid="{810150BE-BB63-4B5B-8565-8B5C58CB3743}" name="Group" dataDxfId="64"/>
    <tableColumn id="2" xr3:uid="{256D06A8-D01A-4C85-8F32-2E8B3B5251ED}" name="Production" dataDxfId="63">
      <calculatedColumnFormula>SUMIF('01_Manufacturing_Data'!$H$2:$H$1001,$A50,'01_Manufacturing_Data'!$L$2:$L$1001)</calculatedColumnFormula>
    </tableColumn>
    <tableColumn id="3" xr3:uid="{20589471-3079-4923-8829-505F4E9AE1CD}" name="Defect Rate %" dataDxfId="62">
      <calculatedColumnFormula>AVERAGEIF('01_Manufacturing_Data'!$H$2:$H$1001,$A50,'01_Manufacturing_Data'!$AI$2:$AI$1001)</calculatedColumnFormula>
    </tableColumn>
    <tableColumn id="4" xr3:uid="{138338E8-86BB-4AF5-BEAB-AED5688B7003}" name="Scrap Rate %" dataDxfId="61">
      <calculatedColumnFormula>AVERAGEIF('01_Manufacturing_Data'!$H$2:$H$1001,$A50,'01_Manufacturing_Data'!$AJ$2:$AJ$1001)</calculatedColumnFormula>
    </tableColumn>
    <tableColumn id="5" xr3:uid="{0AF0E538-3804-4E0D-B095-A99A49D05FE9}" name="Scrap" dataDxfId="60">
      <calculatedColumnFormula>SUMIF('01_Manufacturing_Data'!$H$2:$H$1001,$A50,'01_Manufacturing_Data'!$O$2:$O$1001)</calculatedColumnFormula>
    </tableColumn>
    <tableColumn id="6" xr3:uid="{21767D1A-FB9B-4459-AE4E-F265ECF63543}" name="Scrap Cost" dataDxfId="59">
      <calculatedColumnFormula>SUMIF('01_Manufacturing_Data'!$H$2:$H$1001,$A50,'01_Manufacturing_Data'!$AD$2:$AD$1001)</calculatedColumnFormula>
    </tableColumn>
    <tableColumn id="7" xr3:uid="{81577664-5E18-4701-9C9E-C0578B4E802D}" name="Revenue" dataDxfId="58">
      <calculatedColumnFormula>SUMIF('01_Manufacturing_Data'!$H$2:$H$1001,$A50,'01_Manufacturing_Data'!$AA$2:$AA$1001)</calculatedColumnFormula>
    </tableColumn>
    <tableColumn id="8" xr3:uid="{C7ECC54C-7097-41AA-A768-503267A1BD1D}" name="Profit" dataDxfId="57">
      <calculatedColumnFormula>SUMIF('01_Manufacturing_Data'!$H$2:$H$1001,$A50,'01_Manufacturing_Data'!$AG$2:$AG$1001)</calculatedColumnFormula>
    </tableColumn>
  </tableColumns>
  <tableStyleInfo name="TableStyleMedium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5D12AD-35E3-4382-B72C-D2EDBFAF9E69}" name="Table15" displayName="Table15" ref="A57:B66" totalsRowShown="0" headerRowDxfId="56" headerRowBorderDxfId="55" tableBorderDxfId="54">
  <autoFilter ref="A57:B66" xr:uid="{CD5D12AD-35E3-4382-B72C-D2EDBFAF9E69}"/>
  <tableColumns count="2">
    <tableColumn id="1" xr3:uid="{6B1A19EA-1268-4EB2-B338-9230C1912CC4}" name="Group" dataDxfId="53"/>
    <tableColumn id="2" xr3:uid="{6D1C7170-2C44-419C-909F-B4D7E8E38561}" name="Downtime Hrs" dataDxfId="52">
      <calculatedColumnFormula>SUMIF('01_Manufacturing_Data'!$Q$2:$Q$1001,$A58,'01_Manufacturing_Data'!$AL$2:$AL$1001)</calculatedColumnFormula>
    </tableColumn>
  </tableColumns>
  <tableStyleInfo name="TableStyleMedium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39EF5C2-6C13-4F95-BF6D-138E13316DF1}" name="Table16" displayName="Table16" ref="A70:G76" totalsRowShown="0" headerRowDxfId="51" headerRowBorderDxfId="50" tableBorderDxfId="49">
  <autoFilter ref="A70:G76" xr:uid="{639EF5C2-6C13-4F95-BF6D-138E13316DF1}"/>
  <tableColumns count="7">
    <tableColumn id="1" xr3:uid="{8156CB09-4918-4769-95C0-B0820475F2BC}" name="Month" dataDxfId="48"/>
    <tableColumn id="2" xr3:uid="{922A3D36-EA76-473D-9381-098771DEABF2}" name="Production" dataDxfId="47">
      <calculatedColumnFormula>SUMPRODUCT((TEXT('01_Manufacturing_Data'!$B$2:$B$1001,"yyyy-mm")=$A71)*('01_Manufacturing_Data'!$L$2:$L$1001))</calculatedColumnFormula>
    </tableColumn>
    <tableColumn id="3" xr3:uid="{AA5BADA7-6A3C-4B30-B34D-73055BAD0A84}" name="Downtime Hrs" dataDxfId="46">
      <calculatedColumnFormula>SUMPRODUCT((TEXT('01_Manufacturing_Data'!$B$2:$B$1001,"yyyy-mm")=$A71)*('01_Manufacturing_Data'!$AL$2:$AL$1001))</calculatedColumnFormula>
    </tableColumn>
    <tableColumn id="4" xr3:uid="{384C9782-E55A-4FCA-A311-A23AE52C96A1}" name="OEE %" dataDxfId="45">
      <calculatedColumnFormula>AVERAGEIF('01_Manufacturing_Data'!$B$2:$B$1001,"&gt;="&amp;DATEVALUE($A71&amp;"-01"),'01_Manufacturing_Data'!$AT$2:$AT$1001)</calculatedColumnFormula>
    </tableColumn>
    <tableColumn id="5" xr3:uid="{E9C66F23-E873-4E33-9903-B7FAD83FA9DD}" name="Defect Rate %" dataDxfId="44">
      <calculatedColumnFormula>AVERAGEIF('01_Manufacturing_Data'!$B$2:$B$1001,"&gt;="&amp;DATEVALUE($A71&amp;"-01"),'01_Manufacturing_Data'!$AI$2:$AI$1001)</calculatedColumnFormula>
    </tableColumn>
    <tableColumn id="6" xr3:uid="{479CAD30-8B37-4B11-944F-B87E89B84DE0}" name="Revenue" dataDxfId="43">
      <calculatedColumnFormula>SUMPRODUCT((TEXT('01_Manufacturing_Data'!$B$2:$B$1001,"yyyy-mm")=$A71)*('01_Manufacturing_Data'!$AA$2:$AA$1001))</calculatedColumnFormula>
    </tableColumn>
    <tableColumn id="7" xr3:uid="{99E50860-E711-482E-87D2-F6EE9AD87506}" name="Profit" dataDxfId="42">
      <calculatedColumnFormula>SUMPRODUCT((TEXT('01_Manufacturing_Data'!$B$2:$B$1001,"yyyy-mm")=$A71)*('01_Manufacturing_Data'!$AG$2:$AG$1001))</calculatedColumnFormula>
    </tableColumn>
  </tableColumns>
  <tableStyleInfo name="TableStyleMedium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891441-ECD2-40DE-AA91-08C1293C4597}" name="Table3" displayName="Table3" ref="A81:B94" totalsRowShown="0" tableBorderDxfId="41">
  <autoFilter ref="A81:B94" xr:uid="{9F891441-ECD2-40DE-AA91-08C1293C4597}"/>
  <tableColumns count="2">
    <tableColumn id="1" xr3:uid="{F8243E45-90AE-4EA6-B80F-BA49D12FA489}" name="Column1" dataDxfId="40"/>
    <tableColumn id="2" xr3:uid="{AB1F418C-99C6-436D-A85F-9146D4F2552C}" name="Column2"/>
  </tableColumns>
  <tableStyleInfo name="TableStyleMedium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D206C09-1ACD-40DF-ADFC-28793603E39F}" name="Table20" displayName="Table20" ref="D2:G6" totalsRowShown="0" headerRowDxfId="39" headerRowBorderDxfId="38" tableBorderDxfId="37" totalsRowBorderDxfId="36">
  <autoFilter ref="D2:G6" xr:uid="{FD206C09-1ACD-40DF-ADFC-28793603E39F}"/>
  <tableColumns count="4">
    <tableColumn id="1" xr3:uid="{F30D1AAD-415F-407E-A304-C5B046918647}" name="Purpose" dataDxfId="35"/>
    <tableColumn id="2" xr3:uid="{907C9BFC-3F56-4E65-8CF1-2E5D8C8560B4}" name="AI Output Summary" dataDxfId="34"/>
    <tableColumn id="3" xr3:uid="{0E465CD2-7C38-4B5A-9A96-63CB9F1B06D2}" name="Excel Validation" dataDxfId="33"/>
    <tableColumn id="4" xr3:uid="{09CF1CF7-815C-4CCB-9D4C-6A9FCC1A1785}" name="Final Decision" dataDxfId="32"/>
  </tableColumns>
  <tableStyleInfo name="TableStyleMedium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5AFA56-0F98-4808-BE77-81DB7D15CFBF}" name="Table21" displayName="Table21" ref="A2:C6" totalsRowShown="0" headerRowDxfId="31" headerRowBorderDxfId="30" tableBorderDxfId="29" totalsRowBorderDxfId="28">
  <autoFilter ref="A2:C6" xr:uid="{325AFA56-0F98-4808-BE77-81DB7D15CFBF}"/>
  <tableColumns count="3">
    <tableColumn id="1" xr3:uid="{377C682D-3236-472D-A43F-EDDDD94B7D91}" name="Date" dataDxfId="0"/>
    <tableColumn id="2" xr3:uid="{68CDFBFB-8CE6-4DA8-B415-8CBD6FC73A85}" name="AI Tool" dataDxfId="27"/>
    <tableColumn id="3" xr3:uid="{DB9174FC-1DD8-4194-AB2B-5F0BC6336698}" name="Prompt" dataDxfId="26"/>
  </tableColumns>
  <tableStyleInfo name="TableStyleMedium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EF653A7-9A24-4260-A514-F48EEC7E5344}" name="Table7" displayName="Table7" ref="A13:B18" totalsRowShown="0" headerRowDxfId="25" headerRowBorderDxfId="24" tableBorderDxfId="23" totalsRowBorderDxfId="22">
  <autoFilter ref="A13:B18" xr:uid="{1EF653A7-9A24-4260-A514-F48EEC7E5344}"/>
  <tableColumns count="2">
    <tableColumn id="1" xr3:uid="{B068B2DD-097C-420C-A76A-E9128FC694C6}" name="                Line" dataDxfId="21">
      <calculatedColumnFormula>'04_Calculations'!A15</calculatedColumnFormula>
    </tableColumn>
    <tableColumn id="2" xr3:uid="{D594A440-4E26-442A-B9CC-57D86BDF86C2}" name="      OEE %" dataDxfId="20">
      <calculatedColumnFormula>'04_Calculations'!E15</calculatedColumnFormula>
    </tableColumn>
  </tableColumns>
  <tableStyleInfo name="TableStyleMedium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2152DD2-DB0B-44E3-94FE-91365199E711}" name="Table8" displayName="Table8" ref="D13:E28" totalsRowShown="0" headerRowDxfId="19" headerRowBorderDxfId="18" tableBorderDxfId="17" totalsRowBorderDxfId="16">
  <autoFilter ref="D13:E28" xr:uid="{82152DD2-DB0B-44E3-94FE-91365199E711}"/>
  <tableColumns count="2">
    <tableColumn id="1" xr3:uid="{DC1ED0B2-B61A-46F4-931F-3388E59698DE}" name="               Machine" dataDxfId="15">
      <calculatedColumnFormula>'04_Calculations'!A25</calculatedColumnFormula>
    </tableColumn>
    <tableColumn id="2" xr3:uid="{371D199B-28AA-4B41-8A8D-56898EA89EEC}" name="Downtime Hrs" dataDxfId="14">
      <calculatedColumnFormula>'04_Calculations'!C25</calculatedColumnFormula>
    </tableColumn>
  </tableColumns>
  <tableStyleInfo name="TableStyleMedium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EDFC3CD-4851-4CAE-ACD2-543EB0C8BE03}" name="Table17" displayName="Table17" ref="G13:H18" totalsRowShown="0" headerRowDxfId="13" headerRowBorderDxfId="12" tableBorderDxfId="11" totalsRowBorderDxfId="10">
  <autoFilter ref="G13:H18" xr:uid="{DEDFC3CD-4851-4CAE-ACD2-543EB0C8BE03}"/>
  <tableColumns count="2">
    <tableColumn id="1" xr3:uid="{40DB6E9F-972A-4CAA-8E01-0FAF61D1FA36}" name="    Product" dataDxfId="9">
      <calculatedColumnFormula>'04_Calculations'!A50</calculatedColumnFormula>
    </tableColumn>
    <tableColumn id="2" xr3:uid="{EAAFEC25-C833-4EC1-825A-8609820FE5AE}" name="Defect Rate %" dataDxfId="8">
      <calculatedColumnFormula>'04_Calculations'!C50</calculatedColumnFormula>
    </tableColumn>
  </tableColumns>
  <tableStyleInfo name="TableStyleMedium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B9D813E-C34D-470D-94CC-A8F9F7B396A1}" name="Table18" displayName="Table18" ref="J13:K19" totalsRowShown="0" headerRowDxfId="7" headerRowBorderDxfId="6" tableBorderDxfId="5" totalsRowBorderDxfId="4">
  <autoFilter ref="J13:K19" xr:uid="{AB9D813E-C34D-470D-94CC-A8F9F7B396A1}"/>
  <tableColumns count="2">
    <tableColumn id="1" xr3:uid="{A6E2551F-BB0E-4780-8AC3-0B88F7D2D7EC}" name="Month" dataDxfId="3">
      <calculatedColumnFormula>'04_Calculations'!A71</calculatedColumnFormula>
    </tableColumn>
    <tableColumn id="2" xr3:uid="{9DD866E9-0429-4125-98C9-32917129385B}" name="Production" dataDxfId="2">
      <calculatedColumnFormula>'04_Calculations'!B71</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printerSettings" Target="../printerSettings/printerSettings2.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5.xml"/><Relationship Id="rId7"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8504F-1293-4BF9-8527-27660182ED0C}">
  <dimension ref="A3:B9"/>
  <sheetViews>
    <sheetView workbookViewId="0">
      <selection activeCell="H3" sqref="H3"/>
    </sheetView>
  </sheetViews>
  <sheetFormatPr defaultRowHeight="15" x14ac:dyDescent="0.25"/>
  <cols>
    <col min="1" max="1" width="13.140625" bestFit="1" customWidth="1"/>
    <col min="2" max="2" width="17.42578125" bestFit="1" customWidth="1"/>
  </cols>
  <sheetData>
    <row r="3" spans="1:2" x14ac:dyDescent="0.25">
      <c r="A3" s="23" t="s">
        <v>1358</v>
      </c>
      <c r="B3" t="s">
        <v>1360</v>
      </c>
    </row>
    <row r="4" spans="1:2" x14ac:dyDescent="0.25">
      <c r="A4" s="24" t="s">
        <v>48</v>
      </c>
      <c r="B4">
        <v>50339.315323478564</v>
      </c>
    </row>
    <row r="5" spans="1:2" x14ac:dyDescent="0.25">
      <c r="A5" s="24" t="s">
        <v>98</v>
      </c>
      <c r="B5">
        <v>62030.728681044588</v>
      </c>
    </row>
    <row r="6" spans="1:2" x14ac:dyDescent="0.25">
      <c r="A6" s="24" t="s">
        <v>129</v>
      </c>
      <c r="B6">
        <v>78358.047997539703</v>
      </c>
    </row>
    <row r="7" spans="1:2" x14ac:dyDescent="0.25">
      <c r="A7" s="24" t="s">
        <v>61</v>
      </c>
      <c r="B7">
        <v>47228.222922771638</v>
      </c>
    </row>
    <row r="8" spans="1:2" x14ac:dyDescent="0.25">
      <c r="A8" s="24" t="s">
        <v>76</v>
      </c>
      <c r="B8">
        <v>63087.380261361526</v>
      </c>
    </row>
    <row r="9" spans="1:2" x14ac:dyDescent="0.25">
      <c r="A9" s="24" t="s">
        <v>1359</v>
      </c>
      <c r="B9">
        <v>301043.69518619601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002"/>
  <sheetViews>
    <sheetView topLeftCell="Q1" zoomScale="142" zoomScaleNormal="100" workbookViewId="0">
      <pane ySplit="1" topLeftCell="A2" activePane="bottomLeft" state="frozen"/>
      <selection pane="bottomLeft" activeCell="AV2" sqref="AV2"/>
    </sheetView>
  </sheetViews>
  <sheetFormatPr defaultColWidth="8.7109375" defaultRowHeight="15" customHeight="1" x14ac:dyDescent="0.25"/>
  <cols>
    <col min="1" max="1" width="13.42578125" customWidth="1"/>
    <col min="2" max="2" width="21" style="10" customWidth="1"/>
    <col min="3" max="3" width="13.140625" style="10" customWidth="1"/>
    <col min="4" max="4" width="11" customWidth="1"/>
    <col min="5" max="5" width="19.42578125" customWidth="1"/>
    <col min="6" max="6" width="14.7109375" customWidth="1"/>
    <col min="7" max="7" width="11" customWidth="1"/>
    <col min="8" max="8" width="16.85546875" customWidth="1"/>
    <col min="9" max="9" width="14" customWidth="1"/>
    <col min="10" max="10" width="15.28515625" customWidth="1"/>
    <col min="11" max="11" width="20.5703125" customWidth="1"/>
    <col min="12" max="12" width="22" customWidth="1"/>
    <col min="13" max="13" width="17.7109375" customWidth="1"/>
    <col min="14" max="14" width="18.7109375" customWidth="1"/>
    <col min="15" max="15" width="18" customWidth="1"/>
    <col min="16" max="16" width="22.28515625" customWidth="1"/>
    <col min="17" max="17" width="24" customWidth="1"/>
    <col min="18" max="18" width="24.42578125" customWidth="1"/>
    <col min="19" max="19" width="25.7109375" customWidth="1"/>
    <col min="20" max="20" width="27.7109375" customWidth="1"/>
    <col min="21" max="21" width="28.42578125" customWidth="1"/>
    <col min="22" max="22" width="29.7109375" customWidth="1"/>
    <col min="23" max="23" width="21.85546875" customWidth="1"/>
    <col min="24" max="24" width="17.28515625" customWidth="1"/>
    <col min="25" max="25" width="22.7109375" customWidth="1"/>
    <col min="26" max="26" width="28.140625" customWidth="1"/>
    <col min="27" max="27" width="11.7109375" customWidth="1"/>
    <col min="28" max="28" width="19" customWidth="1"/>
    <col min="29" max="29" width="19.42578125" customWidth="1"/>
    <col min="30" max="30" width="18" customWidth="1"/>
    <col min="31" max="31" width="34" customWidth="1"/>
    <col min="32" max="32" width="19" customWidth="1"/>
    <col min="33" max="33" width="18" customWidth="1"/>
    <col min="34" max="34" width="31" customWidth="1"/>
    <col min="35" max="37" width="21" customWidth="1"/>
    <col min="38" max="38" width="20.42578125" customWidth="1"/>
    <col min="39" max="39" width="23.7109375" customWidth="1"/>
    <col min="40" max="40" width="26.7109375" customWidth="1"/>
    <col min="41" max="41" width="25.42578125" customWidth="1"/>
    <col min="42" max="42" width="23" customWidth="1"/>
    <col min="43" max="43" width="21" customWidth="1"/>
    <col min="44" max="44" width="17" customWidth="1"/>
    <col min="45" max="46" width="22" customWidth="1"/>
    <col min="47" max="48" width="24" customWidth="1"/>
  </cols>
  <sheetData>
    <row r="1" spans="1:49" s="12" customFormat="1" x14ac:dyDescent="0.25">
      <c r="A1" s="21" t="s">
        <v>0</v>
      </c>
      <c r="B1" s="25" t="s">
        <v>1</v>
      </c>
      <c r="C1" s="25" t="s">
        <v>1265</v>
      </c>
      <c r="D1" s="21" t="s">
        <v>2</v>
      </c>
      <c r="E1" s="21" t="s">
        <v>3</v>
      </c>
      <c r="F1" s="21" t="s">
        <v>4</v>
      </c>
      <c r="G1" s="21" t="s">
        <v>5</v>
      </c>
      <c r="H1" s="21" t="s">
        <v>6</v>
      </c>
      <c r="I1" s="21" t="s">
        <v>7</v>
      </c>
      <c r="J1" s="21" t="s">
        <v>8</v>
      </c>
      <c r="K1" s="21" t="s">
        <v>9</v>
      </c>
      <c r="L1" s="21" t="s">
        <v>10</v>
      </c>
      <c r="M1" s="21" t="s">
        <v>11</v>
      </c>
      <c r="N1" s="21" t="s">
        <v>12</v>
      </c>
      <c r="O1" s="21" t="s">
        <v>13</v>
      </c>
      <c r="P1" s="21" t="s">
        <v>14</v>
      </c>
      <c r="Q1" s="21" t="s">
        <v>15</v>
      </c>
      <c r="R1" s="21" t="s">
        <v>16</v>
      </c>
      <c r="S1" s="21" t="s">
        <v>17</v>
      </c>
      <c r="T1" s="21" t="s">
        <v>18</v>
      </c>
      <c r="U1" s="21" t="s">
        <v>19</v>
      </c>
      <c r="V1" s="21" t="s">
        <v>20</v>
      </c>
      <c r="W1" s="21" t="s">
        <v>21</v>
      </c>
      <c r="X1" s="21" t="s">
        <v>22</v>
      </c>
      <c r="Y1" s="21" t="s">
        <v>23</v>
      </c>
      <c r="Z1" s="21" t="s">
        <v>24</v>
      </c>
      <c r="AA1" s="21" t="s">
        <v>25</v>
      </c>
      <c r="AB1" s="21" t="s">
        <v>26</v>
      </c>
      <c r="AC1" s="21" t="s">
        <v>27</v>
      </c>
      <c r="AD1" s="21" t="s">
        <v>28</v>
      </c>
      <c r="AE1" s="21" t="s">
        <v>29</v>
      </c>
      <c r="AF1" s="21" t="s">
        <v>30</v>
      </c>
      <c r="AG1" s="21" t="s">
        <v>31</v>
      </c>
      <c r="AH1" s="21" t="s">
        <v>32</v>
      </c>
      <c r="AI1" s="21" t="s">
        <v>33</v>
      </c>
      <c r="AJ1" s="21" t="s">
        <v>34</v>
      </c>
      <c r="AK1" s="21" t="s">
        <v>35</v>
      </c>
      <c r="AL1" s="21" t="s">
        <v>36</v>
      </c>
      <c r="AM1" s="21" t="s">
        <v>37</v>
      </c>
      <c r="AN1" s="21" t="s">
        <v>38</v>
      </c>
      <c r="AO1" s="21" t="s">
        <v>39</v>
      </c>
      <c r="AP1" s="21" t="s">
        <v>40</v>
      </c>
      <c r="AQ1" s="21" t="s">
        <v>41</v>
      </c>
      <c r="AR1" s="21" t="s">
        <v>42</v>
      </c>
      <c r="AS1" s="21" t="s">
        <v>43</v>
      </c>
      <c r="AT1" s="21" t="s">
        <v>44</v>
      </c>
      <c r="AU1" s="21" t="s">
        <v>45</v>
      </c>
      <c r="AV1" s="21" t="s">
        <v>46</v>
      </c>
      <c r="AW1" s="26"/>
    </row>
    <row r="2" spans="1:49" x14ac:dyDescent="0.25">
      <c r="A2" s="27">
        <v>1</v>
      </c>
      <c r="B2" s="28">
        <v>46186</v>
      </c>
      <c r="C2" s="28" t="str">
        <f t="shared" ref="C2:C65" si="0">TEXT(B2,"mmmm")</f>
        <v>June</v>
      </c>
      <c r="D2" s="27" t="s">
        <v>47</v>
      </c>
      <c r="E2" s="27" t="s">
        <v>48</v>
      </c>
      <c r="F2" s="27" t="s">
        <v>49</v>
      </c>
      <c r="G2" s="27" t="s">
        <v>50</v>
      </c>
      <c r="H2" s="27" t="s">
        <v>51</v>
      </c>
      <c r="I2" s="27" t="s">
        <v>52</v>
      </c>
      <c r="J2" s="27" t="s">
        <v>53</v>
      </c>
      <c r="K2" s="27">
        <v>764</v>
      </c>
      <c r="L2" s="27">
        <v>737</v>
      </c>
      <c r="M2" s="27">
        <v>705</v>
      </c>
      <c r="N2" s="27">
        <v>32</v>
      </c>
      <c r="O2" s="27">
        <v>8</v>
      </c>
      <c r="P2" s="27">
        <v>22</v>
      </c>
      <c r="Q2" s="27" t="s">
        <v>54</v>
      </c>
      <c r="R2" s="27">
        <v>42</v>
      </c>
      <c r="S2" s="27">
        <v>44</v>
      </c>
      <c r="T2" s="29">
        <v>69</v>
      </c>
      <c r="U2" s="29">
        <v>1.91</v>
      </c>
      <c r="V2" s="29">
        <v>30.4</v>
      </c>
      <c r="W2" s="30">
        <v>13077.65</v>
      </c>
      <c r="X2" s="27">
        <v>8.2899999999999991</v>
      </c>
      <c r="Y2" s="27" t="s">
        <v>55</v>
      </c>
      <c r="Z2" s="29">
        <v>29</v>
      </c>
      <c r="AA2" s="30">
        <v>22174.65</v>
      </c>
      <c r="AB2" s="29">
        <v>0.95658073270013599</v>
      </c>
      <c r="AC2" s="30">
        <v>17081.75</v>
      </c>
      <c r="AD2" s="30">
        <v>141.95549525101799</v>
      </c>
      <c r="AE2" s="27">
        <v>534.79999999999995</v>
      </c>
      <c r="AF2" s="29">
        <v>0.95886312640239402</v>
      </c>
      <c r="AG2" s="30">
        <v>4950.9445047489899</v>
      </c>
      <c r="AH2" s="31">
        <f t="shared" ref="AH2:AH65" si="1">IFERROR(L2/K2,0)</f>
        <v>0.96465968586387429</v>
      </c>
      <c r="AI2" s="31">
        <f t="shared" ref="AI2:AI65" si="2">IFERROR(N2/L2,0)</f>
        <v>4.3419267299864311E-2</v>
      </c>
      <c r="AJ2" s="31">
        <f t="shared" ref="AJ2:AJ65" si="3">IFERROR(O2/L2,0)</f>
        <v>1.0854816824966078E-2</v>
      </c>
      <c r="AK2" s="31">
        <f t="shared" ref="AK2:AK65" si="4">IFERROR(M2/L2,0)</f>
        <v>0.95658073270013566</v>
      </c>
      <c r="AL2" s="29">
        <f t="shared" ref="AL2:AL65" si="5">P2/60</f>
        <v>0.36666666666666664</v>
      </c>
      <c r="AM2" s="29">
        <f t="shared" ref="AM2:AM65" si="6">MAX(0,AE2-P2)</f>
        <v>512.79999999999995</v>
      </c>
      <c r="AN2" s="29">
        <f t="shared" ref="AN2:AN65" si="7">IFERROR(L2/AM2,0)</f>
        <v>1.437207488299532</v>
      </c>
      <c r="AO2" s="29">
        <f t="shared" ref="AO2:AO65" si="8">IFERROR(60/R2,0)</f>
        <v>1.4285714285714286</v>
      </c>
      <c r="AP2" s="31">
        <f t="shared" ref="AP2:AP65" si="9">IFERROR(AN2/AO2,0)</f>
        <v>1.0060452418096724</v>
      </c>
      <c r="AQ2" s="31">
        <f t="shared" ref="AQ2:AQ65" si="10">IFERROR(M2/L2,0)</f>
        <v>0.95658073270013566</v>
      </c>
      <c r="AR2" s="31">
        <f t="shared" ref="AR2:AR65" si="11">AF2*AP2*AQ2</f>
        <v>0.92277486910994821</v>
      </c>
      <c r="AS2" s="29">
        <f t="shared" ref="AS2:AS65" si="12">IFERROR(AC2/L2,0)</f>
        <v>23.17740841248304</v>
      </c>
      <c r="AT2" s="29">
        <f t="shared" ref="AT2:AT65" si="13">IFERROR(AG2/L2,0)</f>
        <v>6.7176994637028358</v>
      </c>
      <c r="AU2" s="27" t="str">
        <f t="shared" ref="AU2:AU65" si="14">IF(OR(Y2="Overdue",P2&gt;=120,T2&gt;=85,U2&gt;=4,AI2&gt;=0.12,AR2&lt;0.8),"High",IF(OR(Y2="Pending",Z2&gt;=30,P2&gt;=60,T2&gt;=80,U2&gt;=3,AI2&gt;=0.08,AR2&lt;0.85),"Medium","Low"))</f>
        <v>Low</v>
      </c>
      <c r="AV2" s="27" t="str">
        <f t="shared" ref="AV2:AV65" si="15">IF(OR(P2&gt;=120,T2&gt;=90,U2&gt;=4.5,AI2&gt;=0.15,AR2&lt;0.75),"Critical",IF(OR(P2&gt;=60,T2&gt;=80,U2&gt;=3,AI2&gt;=0.08,AR2&lt;0.85),"Warning","Normal"))</f>
        <v>Normal</v>
      </c>
      <c r="AW2" s="27"/>
    </row>
    <row r="3" spans="1:49" x14ac:dyDescent="0.25">
      <c r="A3" s="27">
        <v>2</v>
      </c>
      <c r="B3" s="28">
        <v>46109</v>
      </c>
      <c r="C3" s="28" t="str">
        <f t="shared" si="0"/>
        <v>March</v>
      </c>
      <c r="D3" s="27" t="s">
        <v>47</v>
      </c>
      <c r="E3" s="27" t="s">
        <v>48</v>
      </c>
      <c r="F3" s="27" t="s">
        <v>56</v>
      </c>
      <c r="G3" s="27" t="s">
        <v>50</v>
      </c>
      <c r="H3" s="27" t="s">
        <v>57</v>
      </c>
      <c r="I3" s="27" t="s">
        <v>58</v>
      </c>
      <c r="J3" s="27" t="s">
        <v>59</v>
      </c>
      <c r="K3" s="27">
        <v>702</v>
      </c>
      <c r="L3" s="27">
        <v>740</v>
      </c>
      <c r="M3" s="27">
        <v>698</v>
      </c>
      <c r="N3" s="27">
        <v>42</v>
      </c>
      <c r="O3" s="27">
        <v>16</v>
      </c>
      <c r="P3" s="27">
        <v>0</v>
      </c>
      <c r="Q3" s="27" t="s">
        <v>60</v>
      </c>
      <c r="R3" s="27">
        <v>45</v>
      </c>
      <c r="S3" s="27">
        <v>46</v>
      </c>
      <c r="T3" s="29">
        <v>63.1</v>
      </c>
      <c r="U3" s="29">
        <v>1.8</v>
      </c>
      <c r="V3" s="29">
        <v>26.27</v>
      </c>
      <c r="W3" s="30">
        <v>14343.22</v>
      </c>
      <c r="X3" s="27">
        <v>8.3800000000000008</v>
      </c>
      <c r="Y3" s="27" t="s">
        <v>55</v>
      </c>
      <c r="Z3" s="29">
        <v>12</v>
      </c>
      <c r="AA3" s="30">
        <v>23814.06</v>
      </c>
      <c r="AB3" s="29">
        <v>0.94324324324324305</v>
      </c>
      <c r="AC3" s="30">
        <v>18350.650000000001</v>
      </c>
      <c r="AD3" s="30">
        <v>310.123675675676</v>
      </c>
      <c r="AE3" s="27">
        <v>526.5</v>
      </c>
      <c r="AF3" s="29">
        <v>1</v>
      </c>
      <c r="AG3" s="30">
        <v>5153.2863243243301</v>
      </c>
      <c r="AH3" s="31">
        <f t="shared" si="1"/>
        <v>1.0541310541310542</v>
      </c>
      <c r="AI3" s="31">
        <f t="shared" si="2"/>
        <v>5.675675675675676E-2</v>
      </c>
      <c r="AJ3" s="31">
        <f t="shared" si="3"/>
        <v>2.1621621621621623E-2</v>
      </c>
      <c r="AK3" s="31">
        <f t="shared" si="4"/>
        <v>0.94324324324324327</v>
      </c>
      <c r="AL3" s="29">
        <f t="shared" si="5"/>
        <v>0</v>
      </c>
      <c r="AM3" s="29">
        <f t="shared" si="6"/>
        <v>526.5</v>
      </c>
      <c r="AN3" s="29">
        <f t="shared" si="7"/>
        <v>1.4055080721747388</v>
      </c>
      <c r="AO3" s="29">
        <f t="shared" si="8"/>
        <v>1.3333333333333333</v>
      </c>
      <c r="AP3" s="31">
        <f t="shared" si="9"/>
        <v>1.0541310541310542</v>
      </c>
      <c r="AQ3" s="31">
        <f t="shared" si="10"/>
        <v>0.94324324324324327</v>
      </c>
      <c r="AR3" s="31">
        <f t="shared" si="11"/>
        <v>0.9943019943019944</v>
      </c>
      <c r="AS3" s="29">
        <f t="shared" si="12"/>
        <v>24.798175675675676</v>
      </c>
      <c r="AT3" s="29">
        <f t="shared" si="13"/>
        <v>6.9639004382761218</v>
      </c>
      <c r="AU3" s="27" t="str">
        <f t="shared" si="14"/>
        <v>Low</v>
      </c>
      <c r="AV3" s="27" t="str">
        <f t="shared" si="15"/>
        <v>Normal</v>
      </c>
      <c r="AW3" s="27"/>
    </row>
    <row r="4" spans="1:49" x14ac:dyDescent="0.25">
      <c r="A4" s="27">
        <v>3</v>
      </c>
      <c r="B4" s="28">
        <v>46082</v>
      </c>
      <c r="C4" s="28" t="str">
        <f t="shared" si="0"/>
        <v>March</v>
      </c>
      <c r="D4" s="27" t="s">
        <v>47</v>
      </c>
      <c r="E4" s="27" t="s">
        <v>61</v>
      </c>
      <c r="F4" s="27" t="s">
        <v>62</v>
      </c>
      <c r="G4" s="27" t="s">
        <v>63</v>
      </c>
      <c r="H4" s="27" t="s">
        <v>57</v>
      </c>
      <c r="I4" s="27" t="s">
        <v>64</v>
      </c>
      <c r="J4" s="27" t="s">
        <v>65</v>
      </c>
      <c r="K4" s="27">
        <v>869</v>
      </c>
      <c r="L4" s="27">
        <v>910</v>
      </c>
      <c r="M4" s="27">
        <v>870</v>
      </c>
      <c r="N4" s="27">
        <v>40</v>
      </c>
      <c r="O4" s="27">
        <v>10</v>
      </c>
      <c r="P4" s="27">
        <v>0</v>
      </c>
      <c r="Q4" s="27" t="s">
        <v>60</v>
      </c>
      <c r="R4" s="27">
        <v>45</v>
      </c>
      <c r="S4" s="27">
        <v>48</v>
      </c>
      <c r="T4" s="29">
        <v>75.099999999999994</v>
      </c>
      <c r="U4" s="29">
        <v>1.72</v>
      </c>
      <c r="V4" s="29">
        <v>36.43</v>
      </c>
      <c r="W4" s="30">
        <v>18027.330000000002</v>
      </c>
      <c r="X4" s="27">
        <v>8.66</v>
      </c>
      <c r="Y4" s="27" t="s">
        <v>66</v>
      </c>
      <c r="Z4" s="29">
        <v>15</v>
      </c>
      <c r="AA4" s="30">
        <v>29638.7</v>
      </c>
      <c r="AB4" s="29">
        <v>0.95604395604395598</v>
      </c>
      <c r="AC4" s="30">
        <v>22252.2</v>
      </c>
      <c r="AD4" s="30">
        <v>198.10252747252801</v>
      </c>
      <c r="AE4" s="27">
        <v>651.75</v>
      </c>
      <c r="AF4" s="29">
        <v>1</v>
      </c>
      <c r="AG4" s="30">
        <v>7188.3974725274702</v>
      </c>
      <c r="AH4" s="31">
        <f t="shared" si="1"/>
        <v>1.047180667433832</v>
      </c>
      <c r="AI4" s="31">
        <f t="shared" si="2"/>
        <v>4.3956043956043959E-2</v>
      </c>
      <c r="AJ4" s="31">
        <f t="shared" si="3"/>
        <v>1.098901098901099E-2</v>
      </c>
      <c r="AK4" s="31">
        <f t="shared" si="4"/>
        <v>0.95604395604395609</v>
      </c>
      <c r="AL4" s="29">
        <f t="shared" si="5"/>
        <v>0</v>
      </c>
      <c r="AM4" s="29">
        <f t="shared" si="6"/>
        <v>651.75</v>
      </c>
      <c r="AN4" s="29">
        <f t="shared" si="7"/>
        <v>1.396240889911776</v>
      </c>
      <c r="AO4" s="29">
        <f t="shared" si="8"/>
        <v>1.3333333333333333</v>
      </c>
      <c r="AP4" s="31">
        <f t="shared" si="9"/>
        <v>1.047180667433832</v>
      </c>
      <c r="AQ4" s="31">
        <f t="shared" si="10"/>
        <v>0.95604395604395609</v>
      </c>
      <c r="AR4" s="31">
        <f t="shared" si="11"/>
        <v>1.001150747986191</v>
      </c>
      <c r="AS4" s="29">
        <f t="shared" si="12"/>
        <v>24.452967032967035</v>
      </c>
      <c r="AT4" s="29">
        <f t="shared" si="13"/>
        <v>7.8993378818983189</v>
      </c>
      <c r="AU4" s="27" t="str">
        <f t="shared" si="14"/>
        <v>Low</v>
      </c>
      <c r="AV4" s="27" t="str">
        <f t="shared" si="15"/>
        <v>Normal</v>
      </c>
      <c r="AW4" s="27"/>
    </row>
    <row r="5" spans="1:49" x14ac:dyDescent="0.25">
      <c r="A5" s="27">
        <v>4</v>
      </c>
      <c r="B5" s="28">
        <v>46031</v>
      </c>
      <c r="C5" s="28" t="str">
        <f t="shared" si="0"/>
        <v>January</v>
      </c>
      <c r="D5" s="27" t="s">
        <v>67</v>
      </c>
      <c r="E5" s="27" t="s">
        <v>61</v>
      </c>
      <c r="F5" s="27" t="s">
        <v>62</v>
      </c>
      <c r="G5" s="27" t="s">
        <v>50</v>
      </c>
      <c r="H5" s="27" t="s">
        <v>68</v>
      </c>
      <c r="I5" s="27" t="s">
        <v>69</v>
      </c>
      <c r="J5" s="27" t="s">
        <v>70</v>
      </c>
      <c r="K5" s="27">
        <v>504</v>
      </c>
      <c r="L5" s="27">
        <v>591</v>
      </c>
      <c r="M5" s="27">
        <v>559</v>
      </c>
      <c r="N5" s="27">
        <v>32</v>
      </c>
      <c r="O5" s="27">
        <v>8</v>
      </c>
      <c r="P5" s="27">
        <v>0</v>
      </c>
      <c r="Q5" s="27" t="s">
        <v>60</v>
      </c>
      <c r="R5" s="27">
        <v>64</v>
      </c>
      <c r="S5" s="27">
        <v>66</v>
      </c>
      <c r="T5" s="29">
        <v>71.599999999999994</v>
      </c>
      <c r="U5" s="29">
        <v>2.39</v>
      </c>
      <c r="V5" s="29">
        <v>21.04</v>
      </c>
      <c r="W5" s="30">
        <v>18099.830000000002</v>
      </c>
      <c r="X5" s="27">
        <v>9.2899999999999991</v>
      </c>
      <c r="Y5" s="27" t="s">
        <v>71</v>
      </c>
      <c r="Z5" s="29">
        <v>22</v>
      </c>
      <c r="AA5" s="30">
        <v>29084.61</v>
      </c>
      <c r="AB5" s="29">
        <v>0.94585448392555005</v>
      </c>
      <c r="AC5" s="30">
        <v>22469.69</v>
      </c>
      <c r="AD5" s="30">
        <v>245.006159052453</v>
      </c>
      <c r="AE5" s="27">
        <v>537.6</v>
      </c>
      <c r="AF5" s="29">
        <v>1</v>
      </c>
      <c r="AG5" s="30">
        <v>6369.9138409475399</v>
      </c>
      <c r="AH5" s="31">
        <f t="shared" si="1"/>
        <v>1.1726190476190477</v>
      </c>
      <c r="AI5" s="31">
        <f t="shared" si="2"/>
        <v>5.4145516074450083E-2</v>
      </c>
      <c r="AJ5" s="31">
        <f t="shared" si="3"/>
        <v>1.3536379018612521E-2</v>
      </c>
      <c r="AK5" s="31">
        <f t="shared" si="4"/>
        <v>0.94585448392554994</v>
      </c>
      <c r="AL5" s="29">
        <f t="shared" si="5"/>
        <v>0</v>
      </c>
      <c r="AM5" s="29">
        <f t="shared" si="6"/>
        <v>537.6</v>
      </c>
      <c r="AN5" s="29">
        <f t="shared" si="7"/>
        <v>1.0993303571428572</v>
      </c>
      <c r="AO5" s="29">
        <f t="shared" si="8"/>
        <v>0.9375</v>
      </c>
      <c r="AP5" s="31">
        <f t="shared" si="9"/>
        <v>1.1726190476190477</v>
      </c>
      <c r="AQ5" s="31">
        <f t="shared" si="10"/>
        <v>0.94585448392554994</v>
      </c>
      <c r="AR5" s="31">
        <f t="shared" si="11"/>
        <v>1.1091269841269842</v>
      </c>
      <c r="AS5" s="29">
        <f t="shared" si="12"/>
        <v>38.019780033840945</v>
      </c>
      <c r="AT5" s="29">
        <f t="shared" si="13"/>
        <v>10.778196008371472</v>
      </c>
      <c r="AU5" s="27" t="str">
        <f t="shared" si="14"/>
        <v>High</v>
      </c>
      <c r="AV5" s="27" t="str">
        <f t="shared" si="15"/>
        <v>Normal</v>
      </c>
      <c r="AW5" s="27"/>
    </row>
    <row r="6" spans="1:49" x14ac:dyDescent="0.25">
      <c r="A6" s="27">
        <v>5</v>
      </c>
      <c r="B6" s="28">
        <v>46046</v>
      </c>
      <c r="C6" s="28" t="str">
        <f t="shared" si="0"/>
        <v>January</v>
      </c>
      <c r="D6" s="27" t="s">
        <v>47</v>
      </c>
      <c r="E6" s="27" t="s">
        <v>48</v>
      </c>
      <c r="F6" s="27" t="s">
        <v>72</v>
      </c>
      <c r="G6" s="27" t="s">
        <v>63</v>
      </c>
      <c r="H6" s="27" t="s">
        <v>57</v>
      </c>
      <c r="I6" s="27" t="s">
        <v>73</v>
      </c>
      <c r="J6" s="27" t="s">
        <v>74</v>
      </c>
      <c r="K6" s="27">
        <v>712</v>
      </c>
      <c r="L6" s="27">
        <v>728</v>
      </c>
      <c r="M6" s="27">
        <v>699</v>
      </c>
      <c r="N6" s="27">
        <v>29</v>
      </c>
      <c r="O6" s="27">
        <v>11</v>
      </c>
      <c r="P6" s="27">
        <v>9</v>
      </c>
      <c r="Q6" s="27" t="s">
        <v>75</v>
      </c>
      <c r="R6" s="27">
        <v>45</v>
      </c>
      <c r="S6" s="27">
        <v>47</v>
      </c>
      <c r="T6" s="29">
        <v>69.3</v>
      </c>
      <c r="U6" s="29">
        <v>2.74</v>
      </c>
      <c r="V6" s="29">
        <v>24.02</v>
      </c>
      <c r="W6" s="30">
        <v>14311.8</v>
      </c>
      <c r="X6" s="27">
        <v>7.37</v>
      </c>
      <c r="Y6" s="27" t="s">
        <v>66</v>
      </c>
      <c r="Z6" s="29">
        <v>12</v>
      </c>
      <c r="AA6" s="30">
        <v>24787.47</v>
      </c>
      <c r="AB6" s="29">
        <v>0.96016483516483497</v>
      </c>
      <c r="AC6" s="30">
        <v>17844.48</v>
      </c>
      <c r="AD6" s="30">
        <v>216.24972527472499</v>
      </c>
      <c r="AE6" s="27">
        <v>534</v>
      </c>
      <c r="AF6" s="29">
        <v>0.98314606741572996</v>
      </c>
      <c r="AG6" s="30">
        <v>6726.74027472528</v>
      </c>
      <c r="AH6" s="31">
        <f t="shared" si="1"/>
        <v>1.0224719101123596</v>
      </c>
      <c r="AI6" s="31">
        <f t="shared" si="2"/>
        <v>3.9835164835164832E-2</v>
      </c>
      <c r="AJ6" s="31">
        <f t="shared" si="3"/>
        <v>1.510989010989011E-2</v>
      </c>
      <c r="AK6" s="31">
        <f t="shared" si="4"/>
        <v>0.9601648351648352</v>
      </c>
      <c r="AL6" s="29">
        <f t="shared" si="5"/>
        <v>0.15</v>
      </c>
      <c r="AM6" s="29">
        <f t="shared" si="6"/>
        <v>525</v>
      </c>
      <c r="AN6" s="29">
        <f t="shared" si="7"/>
        <v>1.3866666666666667</v>
      </c>
      <c r="AO6" s="29">
        <f t="shared" si="8"/>
        <v>1.3333333333333333</v>
      </c>
      <c r="AP6" s="31">
        <f t="shared" si="9"/>
        <v>1.04</v>
      </c>
      <c r="AQ6" s="31">
        <f t="shared" si="10"/>
        <v>0.9601648351648352</v>
      </c>
      <c r="AR6" s="31">
        <f t="shared" si="11"/>
        <v>0.98174157303370757</v>
      </c>
      <c r="AS6" s="29">
        <f t="shared" si="12"/>
        <v>24.511648351648351</v>
      </c>
      <c r="AT6" s="29">
        <f t="shared" si="13"/>
        <v>9.2400278498973627</v>
      </c>
      <c r="AU6" s="27" t="str">
        <f t="shared" si="14"/>
        <v>Low</v>
      </c>
      <c r="AV6" s="27" t="str">
        <f t="shared" si="15"/>
        <v>Normal</v>
      </c>
      <c r="AW6" s="27"/>
    </row>
    <row r="7" spans="1:49" x14ac:dyDescent="0.25">
      <c r="A7" s="27">
        <v>6</v>
      </c>
      <c r="B7" s="28">
        <v>46151</v>
      </c>
      <c r="C7" s="28" t="str">
        <f t="shared" si="0"/>
        <v>May</v>
      </c>
      <c r="D7" s="27" t="s">
        <v>47</v>
      </c>
      <c r="E7" s="27" t="s">
        <v>76</v>
      </c>
      <c r="F7" s="27" t="s">
        <v>77</v>
      </c>
      <c r="G7" s="27" t="s">
        <v>78</v>
      </c>
      <c r="H7" s="27" t="s">
        <v>79</v>
      </c>
      <c r="I7" s="27" t="s">
        <v>80</v>
      </c>
      <c r="J7" s="27" t="s">
        <v>81</v>
      </c>
      <c r="K7" s="27">
        <v>721</v>
      </c>
      <c r="L7" s="27">
        <v>542</v>
      </c>
      <c r="M7" s="27">
        <v>508</v>
      </c>
      <c r="N7" s="27">
        <v>34</v>
      </c>
      <c r="O7" s="27">
        <v>14</v>
      </c>
      <c r="P7" s="27">
        <v>31</v>
      </c>
      <c r="Q7" s="27" t="s">
        <v>82</v>
      </c>
      <c r="R7" s="27">
        <v>49</v>
      </c>
      <c r="S7" s="27">
        <v>52</v>
      </c>
      <c r="T7" s="29">
        <v>76.400000000000006</v>
      </c>
      <c r="U7" s="29">
        <v>2.09</v>
      </c>
      <c r="V7" s="29">
        <v>23.48</v>
      </c>
      <c r="W7" s="30">
        <v>11648.58</v>
      </c>
      <c r="X7" s="27">
        <v>5.56</v>
      </c>
      <c r="Y7" s="27" t="s">
        <v>71</v>
      </c>
      <c r="Z7" s="29">
        <v>40</v>
      </c>
      <c r="AA7" s="30">
        <v>19821.669999999998</v>
      </c>
      <c r="AB7" s="29">
        <v>0.93726937269372701</v>
      </c>
      <c r="AC7" s="30">
        <v>14361.9</v>
      </c>
      <c r="AD7" s="30">
        <v>300.88583025830297</v>
      </c>
      <c r="AE7" s="27">
        <v>588.81666666666695</v>
      </c>
      <c r="AF7" s="29">
        <v>0.947352033739987</v>
      </c>
      <c r="AG7" s="30">
        <v>5158.8841697417001</v>
      </c>
      <c r="AH7" s="31">
        <f t="shared" si="1"/>
        <v>0.75173370319001387</v>
      </c>
      <c r="AI7" s="31">
        <f t="shared" si="2"/>
        <v>6.273062730627306E-2</v>
      </c>
      <c r="AJ7" s="31">
        <f t="shared" si="3"/>
        <v>2.5830258302583026E-2</v>
      </c>
      <c r="AK7" s="31">
        <f t="shared" si="4"/>
        <v>0.9372693726937269</v>
      </c>
      <c r="AL7" s="29">
        <f t="shared" si="5"/>
        <v>0.51666666666666672</v>
      </c>
      <c r="AM7" s="29">
        <f t="shared" si="6"/>
        <v>557.81666666666695</v>
      </c>
      <c r="AN7" s="29">
        <f t="shared" si="7"/>
        <v>0.97164540320893911</v>
      </c>
      <c r="AO7" s="29">
        <f t="shared" si="8"/>
        <v>1.2244897959183674</v>
      </c>
      <c r="AP7" s="31">
        <f t="shared" si="9"/>
        <v>0.7935104126206336</v>
      </c>
      <c r="AQ7" s="31">
        <f t="shared" si="10"/>
        <v>0.9372693726937269</v>
      </c>
      <c r="AR7" s="31">
        <f t="shared" si="11"/>
        <v>0.7045769764216363</v>
      </c>
      <c r="AS7" s="29">
        <f t="shared" si="12"/>
        <v>26.497970479704797</v>
      </c>
      <c r="AT7" s="29">
        <f t="shared" si="13"/>
        <v>9.5182364755381919</v>
      </c>
      <c r="AU7" s="27" t="str">
        <f t="shared" si="14"/>
        <v>High</v>
      </c>
      <c r="AV7" s="27" t="str">
        <f t="shared" si="15"/>
        <v>Critical</v>
      </c>
      <c r="AW7" s="27"/>
    </row>
    <row r="8" spans="1:49" x14ac:dyDescent="0.25">
      <c r="A8" s="27">
        <v>7</v>
      </c>
      <c r="B8" s="28">
        <v>46044</v>
      </c>
      <c r="C8" s="28" t="str">
        <f t="shared" si="0"/>
        <v>January</v>
      </c>
      <c r="D8" s="27" t="s">
        <v>67</v>
      </c>
      <c r="E8" s="27" t="s">
        <v>48</v>
      </c>
      <c r="F8" s="27" t="s">
        <v>49</v>
      </c>
      <c r="G8" s="27" t="s">
        <v>63</v>
      </c>
      <c r="H8" s="27" t="s">
        <v>51</v>
      </c>
      <c r="I8" s="27" t="s">
        <v>83</v>
      </c>
      <c r="J8" s="27" t="s">
        <v>84</v>
      </c>
      <c r="K8" s="27">
        <v>804</v>
      </c>
      <c r="L8" s="27">
        <v>758</v>
      </c>
      <c r="M8" s="27">
        <v>722</v>
      </c>
      <c r="N8" s="27">
        <v>36</v>
      </c>
      <c r="O8" s="27">
        <v>10</v>
      </c>
      <c r="P8" s="27">
        <v>10</v>
      </c>
      <c r="Q8" s="27" t="s">
        <v>54</v>
      </c>
      <c r="R8" s="27">
        <v>42</v>
      </c>
      <c r="S8" s="27">
        <v>43</v>
      </c>
      <c r="T8" s="29">
        <v>68.7</v>
      </c>
      <c r="U8" s="29">
        <v>1.5</v>
      </c>
      <c r="V8" s="29">
        <v>26.72</v>
      </c>
      <c r="W8" s="30">
        <v>13559.73</v>
      </c>
      <c r="X8" s="27">
        <v>7.84</v>
      </c>
      <c r="Y8" s="27" t="s">
        <v>66</v>
      </c>
      <c r="Z8" s="29">
        <v>32</v>
      </c>
      <c r="AA8" s="30">
        <v>22729.87</v>
      </c>
      <c r="AB8" s="29">
        <v>0.95250659630606904</v>
      </c>
      <c r="AC8" s="30">
        <v>17328.21</v>
      </c>
      <c r="AD8" s="30">
        <v>178.88825857519799</v>
      </c>
      <c r="AE8" s="27">
        <v>562.79999999999995</v>
      </c>
      <c r="AF8" s="29">
        <v>0.98223169864960902</v>
      </c>
      <c r="AG8" s="30">
        <v>5222.7717414248</v>
      </c>
      <c r="AH8" s="31">
        <f t="shared" si="1"/>
        <v>0.94278606965174128</v>
      </c>
      <c r="AI8" s="31">
        <f t="shared" si="2"/>
        <v>4.7493403693931395E-2</v>
      </c>
      <c r="AJ8" s="31">
        <f t="shared" si="3"/>
        <v>1.3192612137203167E-2</v>
      </c>
      <c r="AK8" s="31">
        <f t="shared" si="4"/>
        <v>0.9525065963060686</v>
      </c>
      <c r="AL8" s="29">
        <f t="shared" si="5"/>
        <v>0.16666666666666666</v>
      </c>
      <c r="AM8" s="29">
        <f t="shared" si="6"/>
        <v>552.79999999999995</v>
      </c>
      <c r="AN8" s="29">
        <f t="shared" si="7"/>
        <v>1.3712011577424024</v>
      </c>
      <c r="AO8" s="29">
        <f t="shared" si="8"/>
        <v>1.4285714285714286</v>
      </c>
      <c r="AP8" s="31">
        <f t="shared" si="9"/>
        <v>0.95984081041968161</v>
      </c>
      <c r="AQ8" s="31">
        <f t="shared" si="10"/>
        <v>0.9525065963060686</v>
      </c>
      <c r="AR8" s="31">
        <f t="shared" si="11"/>
        <v>0.89800995024875607</v>
      </c>
      <c r="AS8" s="29">
        <f t="shared" si="12"/>
        <v>22.860435356200526</v>
      </c>
      <c r="AT8" s="29">
        <f t="shared" si="13"/>
        <v>6.8902001865762532</v>
      </c>
      <c r="AU8" s="27" t="str">
        <f t="shared" si="14"/>
        <v>Medium</v>
      </c>
      <c r="AV8" s="27" t="str">
        <f t="shared" si="15"/>
        <v>Normal</v>
      </c>
      <c r="AW8" s="27"/>
    </row>
    <row r="9" spans="1:49" x14ac:dyDescent="0.25">
      <c r="A9" s="27">
        <v>8</v>
      </c>
      <c r="B9" s="28">
        <v>46079</v>
      </c>
      <c r="C9" s="28" t="str">
        <f t="shared" si="0"/>
        <v>February</v>
      </c>
      <c r="D9" s="27" t="s">
        <v>47</v>
      </c>
      <c r="E9" s="27" t="s">
        <v>48</v>
      </c>
      <c r="F9" s="27" t="s">
        <v>49</v>
      </c>
      <c r="G9" s="27" t="s">
        <v>63</v>
      </c>
      <c r="H9" s="27" t="s">
        <v>51</v>
      </c>
      <c r="I9" s="27" t="s">
        <v>85</v>
      </c>
      <c r="J9" s="27" t="s">
        <v>86</v>
      </c>
      <c r="K9" s="27">
        <v>889</v>
      </c>
      <c r="L9" s="27">
        <v>806</v>
      </c>
      <c r="M9" s="27">
        <v>750</v>
      </c>
      <c r="N9" s="27">
        <v>56</v>
      </c>
      <c r="O9" s="27">
        <v>13</v>
      </c>
      <c r="P9" s="27">
        <v>43</v>
      </c>
      <c r="Q9" s="27" t="s">
        <v>54</v>
      </c>
      <c r="R9" s="27">
        <v>42</v>
      </c>
      <c r="S9" s="27">
        <v>41</v>
      </c>
      <c r="T9" s="29">
        <v>82.3</v>
      </c>
      <c r="U9" s="29">
        <v>2.75</v>
      </c>
      <c r="V9" s="29">
        <v>25.83</v>
      </c>
      <c r="W9" s="30">
        <v>14774.26</v>
      </c>
      <c r="X9" s="27">
        <v>7.93</v>
      </c>
      <c r="Y9" s="27" t="s">
        <v>71</v>
      </c>
      <c r="Z9" s="29">
        <v>60</v>
      </c>
      <c r="AA9" s="30">
        <v>24249.64</v>
      </c>
      <c r="AB9" s="29">
        <v>0.93052109181141396</v>
      </c>
      <c r="AC9" s="30">
        <v>18575.23</v>
      </c>
      <c r="AD9" s="30">
        <v>238.29451612903199</v>
      </c>
      <c r="AE9" s="27">
        <v>622.29999999999995</v>
      </c>
      <c r="AF9" s="29">
        <v>0.93090149445604997</v>
      </c>
      <c r="AG9" s="30">
        <v>5436.1154838709599</v>
      </c>
      <c r="AH9" s="31">
        <f t="shared" si="1"/>
        <v>0.906636670416198</v>
      </c>
      <c r="AI9" s="31">
        <f t="shared" si="2"/>
        <v>6.9478908188585611E-2</v>
      </c>
      <c r="AJ9" s="31">
        <f t="shared" si="3"/>
        <v>1.6129032258064516E-2</v>
      </c>
      <c r="AK9" s="31">
        <f t="shared" si="4"/>
        <v>0.9305210918114144</v>
      </c>
      <c r="AL9" s="29">
        <f t="shared" si="5"/>
        <v>0.71666666666666667</v>
      </c>
      <c r="AM9" s="29">
        <f t="shared" si="6"/>
        <v>579.29999999999995</v>
      </c>
      <c r="AN9" s="29">
        <f t="shared" si="7"/>
        <v>1.3913343690661144</v>
      </c>
      <c r="AO9" s="29">
        <f t="shared" si="8"/>
        <v>1.4285714285714286</v>
      </c>
      <c r="AP9" s="31">
        <f t="shared" si="9"/>
        <v>0.97393405834628011</v>
      </c>
      <c r="AQ9" s="31">
        <f t="shared" si="10"/>
        <v>0.9305210918114144</v>
      </c>
      <c r="AR9" s="31">
        <f t="shared" si="11"/>
        <v>0.84364454443194592</v>
      </c>
      <c r="AS9" s="29">
        <f t="shared" si="12"/>
        <v>23.046191066997519</v>
      </c>
      <c r="AT9" s="29">
        <f t="shared" si="13"/>
        <v>6.7445601536860549</v>
      </c>
      <c r="AU9" s="27" t="str">
        <f t="shared" si="14"/>
        <v>High</v>
      </c>
      <c r="AV9" s="27" t="str">
        <f t="shared" si="15"/>
        <v>Warning</v>
      </c>
      <c r="AW9" s="27"/>
    </row>
    <row r="10" spans="1:49" x14ac:dyDescent="0.25">
      <c r="A10" s="27">
        <v>9</v>
      </c>
      <c r="B10" s="28">
        <v>46188</v>
      </c>
      <c r="C10" s="28" t="str">
        <f t="shared" si="0"/>
        <v>June</v>
      </c>
      <c r="D10" s="27" t="s">
        <v>47</v>
      </c>
      <c r="E10" s="27" t="s">
        <v>48</v>
      </c>
      <c r="F10" s="27" t="s">
        <v>56</v>
      </c>
      <c r="G10" s="27" t="s">
        <v>63</v>
      </c>
      <c r="H10" s="27" t="s">
        <v>57</v>
      </c>
      <c r="I10" s="27" t="s">
        <v>87</v>
      </c>
      <c r="J10" s="27" t="s">
        <v>53</v>
      </c>
      <c r="K10" s="27">
        <v>807</v>
      </c>
      <c r="L10" s="27">
        <v>749</v>
      </c>
      <c r="M10" s="27">
        <v>714</v>
      </c>
      <c r="N10" s="27">
        <v>35</v>
      </c>
      <c r="O10" s="27">
        <v>12</v>
      </c>
      <c r="P10" s="27">
        <v>19</v>
      </c>
      <c r="Q10" s="27" t="s">
        <v>54</v>
      </c>
      <c r="R10" s="27">
        <v>45</v>
      </c>
      <c r="S10" s="27">
        <v>46</v>
      </c>
      <c r="T10" s="29">
        <v>70.599999999999994</v>
      </c>
      <c r="U10" s="29">
        <v>2.39</v>
      </c>
      <c r="V10" s="29">
        <v>26.91</v>
      </c>
      <c r="W10" s="30">
        <v>14605.07</v>
      </c>
      <c r="X10" s="27">
        <v>8.99</v>
      </c>
      <c r="Y10" s="27" t="s">
        <v>55</v>
      </c>
      <c r="Z10" s="29">
        <v>17</v>
      </c>
      <c r="AA10" s="30">
        <v>24849.68</v>
      </c>
      <c r="AB10" s="29">
        <v>0.95327102803738295</v>
      </c>
      <c r="AC10" s="30">
        <v>18892.759999999998</v>
      </c>
      <c r="AD10" s="30">
        <v>233.993110814419</v>
      </c>
      <c r="AE10" s="27">
        <v>605.25</v>
      </c>
      <c r="AF10" s="29">
        <v>0.96860801321767898</v>
      </c>
      <c r="AG10" s="30">
        <v>5722.92688918558</v>
      </c>
      <c r="AH10" s="31">
        <f t="shared" si="1"/>
        <v>0.92812887236679054</v>
      </c>
      <c r="AI10" s="31">
        <f t="shared" si="2"/>
        <v>4.6728971962616821E-2</v>
      </c>
      <c r="AJ10" s="31">
        <f t="shared" si="3"/>
        <v>1.602136181575434E-2</v>
      </c>
      <c r="AK10" s="31">
        <f t="shared" si="4"/>
        <v>0.95327102803738317</v>
      </c>
      <c r="AL10" s="29">
        <f t="shared" si="5"/>
        <v>0.31666666666666665</v>
      </c>
      <c r="AM10" s="29">
        <f t="shared" si="6"/>
        <v>586.25</v>
      </c>
      <c r="AN10" s="29">
        <f t="shared" si="7"/>
        <v>1.2776119402985076</v>
      </c>
      <c r="AO10" s="29">
        <f t="shared" si="8"/>
        <v>1.3333333333333333</v>
      </c>
      <c r="AP10" s="31">
        <f t="shared" si="9"/>
        <v>0.95820895522388072</v>
      </c>
      <c r="AQ10" s="31">
        <f t="shared" si="10"/>
        <v>0.95327102803738317</v>
      </c>
      <c r="AR10" s="31">
        <f t="shared" si="11"/>
        <v>0.88475836431226806</v>
      </c>
      <c r="AS10" s="29">
        <f t="shared" si="12"/>
        <v>25.223978638184242</v>
      </c>
      <c r="AT10" s="29">
        <f t="shared" si="13"/>
        <v>7.6407568613959675</v>
      </c>
      <c r="AU10" s="27" t="str">
        <f t="shared" si="14"/>
        <v>Low</v>
      </c>
      <c r="AV10" s="27" t="str">
        <f t="shared" si="15"/>
        <v>Normal</v>
      </c>
      <c r="AW10" s="27"/>
    </row>
    <row r="11" spans="1:49" x14ac:dyDescent="0.25">
      <c r="A11" s="27">
        <v>10</v>
      </c>
      <c r="B11" s="28">
        <v>46146</v>
      </c>
      <c r="C11" s="28" t="str">
        <f t="shared" si="0"/>
        <v>May</v>
      </c>
      <c r="D11" s="27" t="s">
        <v>47</v>
      </c>
      <c r="E11" s="27" t="s">
        <v>61</v>
      </c>
      <c r="F11" s="27" t="s">
        <v>88</v>
      </c>
      <c r="G11" s="27" t="s">
        <v>50</v>
      </c>
      <c r="H11" s="27" t="s">
        <v>51</v>
      </c>
      <c r="I11" s="27" t="s">
        <v>89</v>
      </c>
      <c r="J11" s="27" t="s">
        <v>90</v>
      </c>
      <c r="K11" s="27">
        <v>855</v>
      </c>
      <c r="L11" s="27">
        <v>925</v>
      </c>
      <c r="M11" s="27">
        <v>893</v>
      </c>
      <c r="N11" s="27">
        <v>32</v>
      </c>
      <c r="O11" s="27">
        <v>7</v>
      </c>
      <c r="P11" s="27">
        <v>22</v>
      </c>
      <c r="Q11" s="27" t="s">
        <v>91</v>
      </c>
      <c r="R11" s="27">
        <v>42</v>
      </c>
      <c r="S11" s="27">
        <v>45</v>
      </c>
      <c r="T11" s="29">
        <v>73.5</v>
      </c>
      <c r="U11" s="29">
        <v>1.39</v>
      </c>
      <c r="V11" s="29">
        <v>29.34</v>
      </c>
      <c r="W11" s="30">
        <v>17596.59</v>
      </c>
      <c r="X11" s="27">
        <v>8.01</v>
      </c>
      <c r="Y11" s="27" t="s">
        <v>55</v>
      </c>
      <c r="Z11" s="29">
        <v>1</v>
      </c>
      <c r="AA11" s="30">
        <v>27804.69</v>
      </c>
      <c r="AB11" s="29">
        <v>0.96540540540540498</v>
      </c>
      <c r="AC11" s="30">
        <v>21465.15</v>
      </c>
      <c r="AD11" s="30">
        <v>133.16338378378401</v>
      </c>
      <c r="AE11" s="27">
        <v>598.5</v>
      </c>
      <c r="AF11" s="29">
        <v>0.96324143692564801</v>
      </c>
      <c r="AG11" s="30">
        <v>6206.3766162162101</v>
      </c>
      <c r="AH11" s="31">
        <f t="shared" si="1"/>
        <v>1.0818713450292399</v>
      </c>
      <c r="AI11" s="31">
        <f t="shared" si="2"/>
        <v>3.4594594594594595E-2</v>
      </c>
      <c r="AJ11" s="31">
        <f t="shared" si="3"/>
        <v>7.5675675675675675E-3</v>
      </c>
      <c r="AK11" s="31">
        <f t="shared" si="4"/>
        <v>0.96540540540540543</v>
      </c>
      <c r="AL11" s="29">
        <f t="shared" si="5"/>
        <v>0.36666666666666664</v>
      </c>
      <c r="AM11" s="29">
        <f t="shared" si="6"/>
        <v>576.5</v>
      </c>
      <c r="AN11" s="29">
        <f t="shared" si="7"/>
        <v>1.6045099739809194</v>
      </c>
      <c r="AO11" s="29">
        <f t="shared" si="8"/>
        <v>1.4285714285714286</v>
      </c>
      <c r="AP11" s="31">
        <f t="shared" si="9"/>
        <v>1.1231569817866436</v>
      </c>
      <c r="AQ11" s="31">
        <f t="shared" si="10"/>
        <v>0.96540540540540543</v>
      </c>
      <c r="AR11" s="31">
        <f t="shared" si="11"/>
        <v>1.0444444444444452</v>
      </c>
      <c r="AS11" s="29">
        <f t="shared" si="12"/>
        <v>23.20556756756757</v>
      </c>
      <c r="AT11" s="29">
        <f t="shared" si="13"/>
        <v>6.7095963418553621</v>
      </c>
      <c r="AU11" s="27" t="str">
        <f t="shared" si="14"/>
        <v>Low</v>
      </c>
      <c r="AV11" s="27" t="str">
        <f t="shared" si="15"/>
        <v>Normal</v>
      </c>
      <c r="AW11" s="27"/>
    </row>
    <row r="12" spans="1:49" x14ac:dyDescent="0.25">
      <c r="A12" s="27">
        <v>11</v>
      </c>
      <c r="B12" s="28">
        <v>46145</v>
      </c>
      <c r="C12" s="28" t="str">
        <f t="shared" si="0"/>
        <v>May</v>
      </c>
      <c r="D12" s="27" t="s">
        <v>47</v>
      </c>
      <c r="E12" s="27" t="s">
        <v>48</v>
      </c>
      <c r="F12" s="27" t="s">
        <v>49</v>
      </c>
      <c r="G12" s="27" t="s">
        <v>50</v>
      </c>
      <c r="H12" s="27" t="s">
        <v>51</v>
      </c>
      <c r="I12" s="27" t="s">
        <v>92</v>
      </c>
      <c r="J12" s="27" t="s">
        <v>93</v>
      </c>
      <c r="K12" s="27">
        <v>840</v>
      </c>
      <c r="L12" s="27">
        <v>871</v>
      </c>
      <c r="M12" s="27">
        <v>836</v>
      </c>
      <c r="N12" s="27">
        <v>35</v>
      </c>
      <c r="O12" s="27">
        <v>12</v>
      </c>
      <c r="P12" s="27">
        <v>18</v>
      </c>
      <c r="Q12" s="27" t="s">
        <v>94</v>
      </c>
      <c r="R12" s="27">
        <v>42</v>
      </c>
      <c r="S12" s="27">
        <v>41</v>
      </c>
      <c r="T12" s="29">
        <v>75.599999999999994</v>
      </c>
      <c r="U12" s="29">
        <v>1.69</v>
      </c>
      <c r="V12" s="29">
        <v>28.77</v>
      </c>
      <c r="W12" s="30">
        <v>15399.76</v>
      </c>
      <c r="X12" s="27">
        <v>9.67</v>
      </c>
      <c r="Y12" s="27" t="s">
        <v>66</v>
      </c>
      <c r="Z12" s="29">
        <v>38</v>
      </c>
      <c r="AA12" s="30">
        <v>27440.63</v>
      </c>
      <c r="AB12" s="29">
        <v>0.95981630309988497</v>
      </c>
      <c r="AC12" s="30">
        <v>20010.189999999999</v>
      </c>
      <c r="AD12" s="30">
        <v>212.16661308840401</v>
      </c>
      <c r="AE12" s="27">
        <v>588</v>
      </c>
      <c r="AF12" s="29">
        <v>0.969387755102041</v>
      </c>
      <c r="AG12" s="30">
        <v>7218.2733869116</v>
      </c>
      <c r="AH12" s="31">
        <f t="shared" si="1"/>
        <v>1.036904761904762</v>
      </c>
      <c r="AI12" s="31">
        <f t="shared" si="2"/>
        <v>4.0183696900114814E-2</v>
      </c>
      <c r="AJ12" s="31">
        <f t="shared" si="3"/>
        <v>1.3777267508610792E-2</v>
      </c>
      <c r="AK12" s="31">
        <f t="shared" si="4"/>
        <v>0.95981630309988519</v>
      </c>
      <c r="AL12" s="29">
        <f t="shared" si="5"/>
        <v>0.3</v>
      </c>
      <c r="AM12" s="29">
        <f t="shared" si="6"/>
        <v>570</v>
      </c>
      <c r="AN12" s="29">
        <f t="shared" si="7"/>
        <v>1.5280701754385966</v>
      </c>
      <c r="AO12" s="29">
        <f t="shared" si="8"/>
        <v>1.4285714285714286</v>
      </c>
      <c r="AP12" s="31">
        <f t="shared" si="9"/>
        <v>1.0696491228070175</v>
      </c>
      <c r="AQ12" s="31">
        <f t="shared" si="10"/>
        <v>0.95981630309988519</v>
      </c>
      <c r="AR12" s="31">
        <f t="shared" si="11"/>
        <v>0.99523809523809537</v>
      </c>
      <c r="AS12" s="29">
        <f t="shared" si="12"/>
        <v>22.973811710677381</v>
      </c>
      <c r="AT12" s="29">
        <f t="shared" si="13"/>
        <v>8.2873402834805976</v>
      </c>
      <c r="AU12" s="27" t="str">
        <f t="shared" si="14"/>
        <v>Medium</v>
      </c>
      <c r="AV12" s="27" t="str">
        <f t="shared" si="15"/>
        <v>Normal</v>
      </c>
      <c r="AW12" s="27"/>
    </row>
    <row r="13" spans="1:49" x14ac:dyDescent="0.25">
      <c r="A13" s="27">
        <v>12</v>
      </c>
      <c r="B13" s="28">
        <v>46041</v>
      </c>
      <c r="C13" s="28" t="str">
        <f t="shared" si="0"/>
        <v>January</v>
      </c>
      <c r="D13" s="27" t="s">
        <v>47</v>
      </c>
      <c r="E13" s="27" t="s">
        <v>61</v>
      </c>
      <c r="F13" s="27" t="s">
        <v>95</v>
      </c>
      <c r="G13" s="27" t="s">
        <v>78</v>
      </c>
      <c r="H13" s="27" t="s">
        <v>68</v>
      </c>
      <c r="I13" s="27" t="s">
        <v>96</v>
      </c>
      <c r="J13" s="27" t="s">
        <v>93</v>
      </c>
      <c r="K13" s="27">
        <v>587</v>
      </c>
      <c r="L13" s="27">
        <v>578</v>
      </c>
      <c r="M13" s="27">
        <v>534</v>
      </c>
      <c r="N13" s="27">
        <v>44</v>
      </c>
      <c r="O13" s="27">
        <v>15</v>
      </c>
      <c r="P13" s="27">
        <v>18</v>
      </c>
      <c r="Q13" s="27" t="s">
        <v>97</v>
      </c>
      <c r="R13" s="27">
        <v>64</v>
      </c>
      <c r="S13" s="27">
        <v>71</v>
      </c>
      <c r="T13" s="29">
        <v>70</v>
      </c>
      <c r="U13" s="29">
        <v>2.2599999999999998</v>
      </c>
      <c r="V13" s="29">
        <v>22.12</v>
      </c>
      <c r="W13" s="30">
        <v>18249.07</v>
      </c>
      <c r="X13" s="27">
        <v>7.12</v>
      </c>
      <c r="Y13" s="27" t="s">
        <v>66</v>
      </c>
      <c r="Z13" s="29">
        <v>19</v>
      </c>
      <c r="AA13" s="30">
        <v>27433.75</v>
      </c>
      <c r="AB13" s="29">
        <v>0.92387543252595195</v>
      </c>
      <c r="AC13" s="30">
        <v>21652.15</v>
      </c>
      <c r="AD13" s="30">
        <v>473.59178200692003</v>
      </c>
      <c r="AE13" s="27">
        <v>626.13333333333298</v>
      </c>
      <c r="AF13" s="29">
        <v>0.97125212947189099</v>
      </c>
      <c r="AG13" s="30">
        <v>5308.0082179930796</v>
      </c>
      <c r="AH13" s="31">
        <f t="shared" si="1"/>
        <v>0.98466780238500851</v>
      </c>
      <c r="AI13" s="31">
        <f t="shared" si="2"/>
        <v>7.6124567474048443E-2</v>
      </c>
      <c r="AJ13" s="31">
        <f t="shared" si="3"/>
        <v>2.5951557093425604E-2</v>
      </c>
      <c r="AK13" s="31">
        <f t="shared" si="4"/>
        <v>0.92387543252595161</v>
      </c>
      <c r="AL13" s="29">
        <f t="shared" si="5"/>
        <v>0.3</v>
      </c>
      <c r="AM13" s="29">
        <f t="shared" si="6"/>
        <v>608.13333333333298</v>
      </c>
      <c r="AN13" s="29">
        <f t="shared" si="7"/>
        <v>0.95044946283709764</v>
      </c>
      <c r="AO13" s="29">
        <f t="shared" si="8"/>
        <v>0.9375</v>
      </c>
      <c r="AP13" s="31">
        <f t="shared" si="9"/>
        <v>1.0138127603595708</v>
      </c>
      <c r="AQ13" s="31">
        <f t="shared" si="10"/>
        <v>0.92387543252595161</v>
      </c>
      <c r="AR13" s="31">
        <f t="shared" si="11"/>
        <v>0.90971039182282853</v>
      </c>
      <c r="AS13" s="29">
        <f t="shared" si="12"/>
        <v>37.460467128027688</v>
      </c>
      <c r="AT13" s="29">
        <f t="shared" si="13"/>
        <v>9.1834052214413138</v>
      </c>
      <c r="AU13" s="27" t="str">
        <f t="shared" si="14"/>
        <v>Low</v>
      </c>
      <c r="AV13" s="27" t="str">
        <f t="shared" si="15"/>
        <v>Normal</v>
      </c>
      <c r="AW13" s="27"/>
    </row>
    <row r="14" spans="1:49" x14ac:dyDescent="0.25">
      <c r="A14" s="27">
        <v>13</v>
      </c>
      <c r="B14" s="28">
        <v>46192</v>
      </c>
      <c r="C14" s="28" t="str">
        <f t="shared" si="0"/>
        <v>June</v>
      </c>
      <c r="D14" s="27" t="s">
        <v>47</v>
      </c>
      <c r="E14" s="27" t="s">
        <v>98</v>
      </c>
      <c r="F14" s="27" t="s">
        <v>99</v>
      </c>
      <c r="G14" s="27" t="s">
        <v>50</v>
      </c>
      <c r="H14" s="27" t="s">
        <v>51</v>
      </c>
      <c r="I14" s="27" t="s">
        <v>100</v>
      </c>
      <c r="J14" s="27" t="s">
        <v>101</v>
      </c>
      <c r="K14" s="27">
        <v>859</v>
      </c>
      <c r="L14" s="27">
        <v>756</v>
      </c>
      <c r="M14" s="27">
        <v>720</v>
      </c>
      <c r="N14" s="27">
        <v>36</v>
      </c>
      <c r="O14" s="27">
        <v>14</v>
      </c>
      <c r="P14" s="27">
        <v>35</v>
      </c>
      <c r="Q14" s="27" t="s">
        <v>102</v>
      </c>
      <c r="R14" s="27">
        <v>42</v>
      </c>
      <c r="S14" s="27">
        <v>45</v>
      </c>
      <c r="T14" s="29">
        <v>71.900000000000006</v>
      </c>
      <c r="U14" s="29">
        <v>2.1800000000000002</v>
      </c>
      <c r="V14" s="29">
        <v>23.29</v>
      </c>
      <c r="W14" s="30">
        <v>13366.4</v>
      </c>
      <c r="X14" s="27">
        <v>9.18</v>
      </c>
      <c r="Y14" s="27" t="s">
        <v>55</v>
      </c>
      <c r="Z14" s="29">
        <v>26</v>
      </c>
      <c r="AA14" s="30">
        <v>22959.59</v>
      </c>
      <c r="AB14" s="29">
        <v>0.952380952380952</v>
      </c>
      <c r="AC14" s="30">
        <v>17707.009999999998</v>
      </c>
      <c r="AD14" s="30">
        <v>247.525925925926</v>
      </c>
      <c r="AE14" s="27">
        <v>601.29999999999995</v>
      </c>
      <c r="AF14" s="29">
        <v>0.94179278230500596</v>
      </c>
      <c r="AG14" s="30">
        <v>5005.0540740740698</v>
      </c>
      <c r="AH14" s="31">
        <f t="shared" si="1"/>
        <v>0.88009313154831204</v>
      </c>
      <c r="AI14" s="31">
        <f t="shared" si="2"/>
        <v>4.7619047619047616E-2</v>
      </c>
      <c r="AJ14" s="31">
        <f t="shared" si="3"/>
        <v>1.8518518518518517E-2</v>
      </c>
      <c r="AK14" s="31">
        <f t="shared" si="4"/>
        <v>0.95238095238095233</v>
      </c>
      <c r="AL14" s="29">
        <f t="shared" si="5"/>
        <v>0.58333333333333337</v>
      </c>
      <c r="AM14" s="29">
        <f t="shared" si="6"/>
        <v>566.29999999999995</v>
      </c>
      <c r="AN14" s="29">
        <f t="shared" si="7"/>
        <v>1.334981458590853</v>
      </c>
      <c r="AO14" s="29">
        <f t="shared" si="8"/>
        <v>1.4285714285714286</v>
      </c>
      <c r="AP14" s="31">
        <f t="shared" si="9"/>
        <v>0.93448702101359715</v>
      </c>
      <c r="AQ14" s="31">
        <f t="shared" si="10"/>
        <v>0.95238095238095233</v>
      </c>
      <c r="AR14" s="31">
        <f t="shared" si="11"/>
        <v>0.83818393480791642</v>
      </c>
      <c r="AS14" s="29">
        <f t="shared" si="12"/>
        <v>23.421970899470896</v>
      </c>
      <c r="AT14" s="29">
        <f t="shared" si="13"/>
        <v>6.6204418969233725</v>
      </c>
      <c r="AU14" s="27" t="str">
        <f t="shared" si="14"/>
        <v>Medium</v>
      </c>
      <c r="AV14" s="27" t="str">
        <f t="shared" si="15"/>
        <v>Warning</v>
      </c>
      <c r="AW14" s="27"/>
    </row>
    <row r="15" spans="1:49" x14ac:dyDescent="0.25">
      <c r="A15" s="27">
        <v>14</v>
      </c>
      <c r="B15" s="28">
        <v>46203</v>
      </c>
      <c r="C15" s="28" t="str">
        <f t="shared" si="0"/>
        <v>June</v>
      </c>
      <c r="D15" s="27" t="s">
        <v>67</v>
      </c>
      <c r="E15" s="27" t="s">
        <v>76</v>
      </c>
      <c r="F15" s="27" t="s">
        <v>77</v>
      </c>
      <c r="G15" s="27" t="s">
        <v>50</v>
      </c>
      <c r="H15" s="27" t="s">
        <v>68</v>
      </c>
      <c r="I15" s="27" t="s">
        <v>103</v>
      </c>
      <c r="J15" s="27" t="s">
        <v>101</v>
      </c>
      <c r="K15" s="27">
        <v>589</v>
      </c>
      <c r="L15" s="27">
        <v>574</v>
      </c>
      <c r="M15" s="27">
        <v>526</v>
      </c>
      <c r="N15" s="27">
        <v>48</v>
      </c>
      <c r="O15" s="27">
        <v>9</v>
      </c>
      <c r="P15" s="27">
        <v>8</v>
      </c>
      <c r="Q15" s="27" t="s">
        <v>104</v>
      </c>
      <c r="R15" s="27">
        <v>64</v>
      </c>
      <c r="S15" s="27">
        <v>62</v>
      </c>
      <c r="T15" s="29">
        <v>64.3</v>
      </c>
      <c r="U15" s="29">
        <v>2.88</v>
      </c>
      <c r="V15" s="29">
        <v>19.239999999999998</v>
      </c>
      <c r="W15" s="30">
        <v>18150.45</v>
      </c>
      <c r="X15" s="27">
        <v>8.15</v>
      </c>
      <c r="Y15" s="27" t="s">
        <v>66</v>
      </c>
      <c r="Z15" s="29">
        <v>21</v>
      </c>
      <c r="AA15" s="30">
        <v>27966.95</v>
      </c>
      <c r="AB15" s="29">
        <v>0.91637630662020897</v>
      </c>
      <c r="AC15" s="30">
        <v>21991.11</v>
      </c>
      <c r="AD15" s="30">
        <v>284.58893728223001</v>
      </c>
      <c r="AE15" s="27">
        <v>628.26666666666699</v>
      </c>
      <c r="AF15" s="29">
        <v>0.98726655348047498</v>
      </c>
      <c r="AG15" s="30">
        <v>5691.2510627177699</v>
      </c>
      <c r="AH15" s="31">
        <f t="shared" si="1"/>
        <v>0.97453310696095075</v>
      </c>
      <c r="AI15" s="31">
        <f t="shared" si="2"/>
        <v>8.3623693379790948E-2</v>
      </c>
      <c r="AJ15" s="31">
        <f t="shared" si="3"/>
        <v>1.5679442508710801E-2</v>
      </c>
      <c r="AK15" s="31">
        <f t="shared" si="4"/>
        <v>0.91637630662020908</v>
      </c>
      <c r="AL15" s="29">
        <f t="shared" si="5"/>
        <v>0.13333333333333333</v>
      </c>
      <c r="AM15" s="29">
        <f t="shared" si="6"/>
        <v>620.26666666666699</v>
      </c>
      <c r="AN15" s="29">
        <f t="shared" si="7"/>
        <v>0.92540842648323252</v>
      </c>
      <c r="AO15" s="29">
        <f t="shared" si="8"/>
        <v>0.9375</v>
      </c>
      <c r="AP15" s="31">
        <f t="shared" si="9"/>
        <v>0.98710232158211464</v>
      </c>
      <c r="AQ15" s="31">
        <f t="shared" si="10"/>
        <v>0.91637630662020908</v>
      </c>
      <c r="AR15" s="31">
        <f t="shared" si="11"/>
        <v>0.89303904923599231</v>
      </c>
      <c r="AS15" s="29">
        <f t="shared" si="12"/>
        <v>38.312038327526132</v>
      </c>
      <c r="AT15" s="29">
        <f t="shared" si="13"/>
        <v>9.9150715378358356</v>
      </c>
      <c r="AU15" s="27" t="str">
        <f t="shared" si="14"/>
        <v>Medium</v>
      </c>
      <c r="AV15" s="27" t="str">
        <f t="shared" si="15"/>
        <v>Warning</v>
      </c>
      <c r="AW15" s="27"/>
    </row>
    <row r="16" spans="1:49" x14ac:dyDescent="0.25">
      <c r="A16" s="27">
        <v>15</v>
      </c>
      <c r="B16" s="28">
        <v>46181</v>
      </c>
      <c r="C16" s="28" t="str">
        <f t="shared" si="0"/>
        <v>June</v>
      </c>
      <c r="D16" s="27" t="s">
        <v>47</v>
      </c>
      <c r="E16" s="27" t="s">
        <v>98</v>
      </c>
      <c r="F16" s="27" t="s">
        <v>105</v>
      </c>
      <c r="G16" s="27" t="s">
        <v>78</v>
      </c>
      <c r="H16" s="27" t="s">
        <v>57</v>
      </c>
      <c r="I16" s="27" t="s">
        <v>106</v>
      </c>
      <c r="J16" s="27" t="s">
        <v>107</v>
      </c>
      <c r="K16" s="27">
        <v>692</v>
      </c>
      <c r="L16" s="27">
        <v>557</v>
      </c>
      <c r="M16" s="27">
        <v>518</v>
      </c>
      <c r="N16" s="27">
        <v>39</v>
      </c>
      <c r="O16" s="27">
        <v>7</v>
      </c>
      <c r="P16" s="27">
        <v>18</v>
      </c>
      <c r="Q16" s="27" t="s">
        <v>104</v>
      </c>
      <c r="R16" s="27">
        <v>45</v>
      </c>
      <c r="S16" s="27">
        <v>49</v>
      </c>
      <c r="T16" s="29">
        <v>68.2</v>
      </c>
      <c r="U16" s="29">
        <v>2.4700000000000002</v>
      </c>
      <c r="V16" s="29">
        <v>19.78</v>
      </c>
      <c r="W16" s="30">
        <v>11991.87</v>
      </c>
      <c r="X16" s="27">
        <v>6.72</v>
      </c>
      <c r="Y16" s="27" t="s">
        <v>71</v>
      </c>
      <c r="Z16" s="29">
        <v>42</v>
      </c>
      <c r="AA16" s="30">
        <v>18533.93</v>
      </c>
      <c r="AB16" s="29">
        <v>0.92998204667863604</v>
      </c>
      <c r="AC16" s="30">
        <v>15193.89</v>
      </c>
      <c r="AD16" s="30">
        <v>150.70572710951501</v>
      </c>
      <c r="AE16" s="27">
        <v>519</v>
      </c>
      <c r="AF16" s="29">
        <v>0.96531791907514497</v>
      </c>
      <c r="AG16" s="30">
        <v>3189.33427289048</v>
      </c>
      <c r="AH16" s="31">
        <f t="shared" si="1"/>
        <v>0.80491329479768781</v>
      </c>
      <c r="AI16" s="31">
        <f t="shared" si="2"/>
        <v>7.0017953321364457E-2</v>
      </c>
      <c r="AJ16" s="31">
        <f t="shared" si="3"/>
        <v>1.2567324955116697E-2</v>
      </c>
      <c r="AK16" s="31">
        <f t="shared" si="4"/>
        <v>0.9299820466786356</v>
      </c>
      <c r="AL16" s="29">
        <f t="shared" si="5"/>
        <v>0.3</v>
      </c>
      <c r="AM16" s="29">
        <f t="shared" si="6"/>
        <v>501</v>
      </c>
      <c r="AN16" s="29">
        <f t="shared" si="7"/>
        <v>1.1117764471057885</v>
      </c>
      <c r="AO16" s="29">
        <f t="shared" si="8"/>
        <v>1.3333333333333333</v>
      </c>
      <c r="AP16" s="31">
        <f t="shared" si="9"/>
        <v>0.83383233532934142</v>
      </c>
      <c r="AQ16" s="31">
        <f t="shared" si="10"/>
        <v>0.9299820466786356</v>
      </c>
      <c r="AR16" s="31">
        <f t="shared" si="11"/>
        <v>0.74855491329479817</v>
      </c>
      <c r="AS16" s="29">
        <f t="shared" si="12"/>
        <v>27.278078994614003</v>
      </c>
      <c r="AT16" s="29">
        <f t="shared" si="13"/>
        <v>5.7259143139864994</v>
      </c>
      <c r="AU16" s="27" t="str">
        <f t="shared" si="14"/>
        <v>High</v>
      </c>
      <c r="AV16" s="27" t="str">
        <f t="shared" si="15"/>
        <v>Critical</v>
      </c>
      <c r="AW16" s="27"/>
    </row>
    <row r="17" spans="1:49" x14ac:dyDescent="0.25">
      <c r="A17" s="27">
        <v>16</v>
      </c>
      <c r="B17" s="28">
        <v>46080</v>
      </c>
      <c r="C17" s="28" t="str">
        <f t="shared" si="0"/>
        <v>February</v>
      </c>
      <c r="D17" s="27" t="s">
        <v>47</v>
      </c>
      <c r="E17" s="27" t="s">
        <v>98</v>
      </c>
      <c r="F17" s="27" t="s">
        <v>99</v>
      </c>
      <c r="G17" s="27" t="s">
        <v>50</v>
      </c>
      <c r="H17" s="27" t="s">
        <v>68</v>
      </c>
      <c r="I17" s="27" t="s">
        <v>108</v>
      </c>
      <c r="J17" s="27" t="s">
        <v>109</v>
      </c>
      <c r="K17" s="27">
        <v>539</v>
      </c>
      <c r="L17" s="27">
        <v>597</v>
      </c>
      <c r="M17" s="27">
        <v>560</v>
      </c>
      <c r="N17" s="27">
        <v>37</v>
      </c>
      <c r="O17" s="27">
        <v>8</v>
      </c>
      <c r="P17" s="27">
        <v>0</v>
      </c>
      <c r="Q17" s="27" t="s">
        <v>60</v>
      </c>
      <c r="R17" s="27">
        <v>64</v>
      </c>
      <c r="S17" s="27">
        <v>66</v>
      </c>
      <c r="T17" s="29">
        <v>74.3</v>
      </c>
      <c r="U17" s="29">
        <v>1.97</v>
      </c>
      <c r="V17" s="29">
        <v>24.19</v>
      </c>
      <c r="W17" s="30">
        <v>17637.32</v>
      </c>
      <c r="X17" s="27">
        <v>9.56</v>
      </c>
      <c r="Y17" s="27" t="s">
        <v>110</v>
      </c>
      <c r="Z17" s="29">
        <v>39</v>
      </c>
      <c r="AA17" s="30">
        <v>28794.46</v>
      </c>
      <c r="AB17" s="29">
        <v>0.93802345058626502</v>
      </c>
      <c r="AC17" s="30">
        <v>22157.03</v>
      </c>
      <c r="AD17" s="30">
        <v>236.345996649916</v>
      </c>
      <c r="AE17" s="27">
        <v>574.93333333333305</v>
      </c>
      <c r="AF17" s="29">
        <v>1</v>
      </c>
      <c r="AG17" s="30">
        <v>6401.0840033500799</v>
      </c>
      <c r="AH17" s="31">
        <f t="shared" si="1"/>
        <v>1.1076066790352506</v>
      </c>
      <c r="AI17" s="31">
        <f t="shared" si="2"/>
        <v>6.1976549413735343E-2</v>
      </c>
      <c r="AJ17" s="31">
        <f t="shared" si="3"/>
        <v>1.340033500837521E-2</v>
      </c>
      <c r="AK17" s="31">
        <f t="shared" si="4"/>
        <v>0.93802345058626468</v>
      </c>
      <c r="AL17" s="29">
        <f t="shared" si="5"/>
        <v>0</v>
      </c>
      <c r="AM17" s="29">
        <f t="shared" si="6"/>
        <v>574.93333333333305</v>
      </c>
      <c r="AN17" s="29">
        <f t="shared" si="7"/>
        <v>1.0383812615955479</v>
      </c>
      <c r="AO17" s="29">
        <f t="shared" si="8"/>
        <v>0.9375</v>
      </c>
      <c r="AP17" s="31">
        <f t="shared" si="9"/>
        <v>1.107606679035251</v>
      </c>
      <c r="AQ17" s="31">
        <f t="shared" si="10"/>
        <v>0.93802345058626468</v>
      </c>
      <c r="AR17" s="31">
        <f t="shared" si="11"/>
        <v>1.0389610389610395</v>
      </c>
      <c r="AS17" s="29">
        <f t="shared" si="12"/>
        <v>37.113953098827466</v>
      </c>
      <c r="AT17" s="29">
        <f t="shared" si="13"/>
        <v>10.722083757705326</v>
      </c>
      <c r="AU17" s="27" t="str">
        <f t="shared" si="14"/>
        <v>Medium</v>
      </c>
      <c r="AV17" s="27" t="str">
        <f t="shared" si="15"/>
        <v>Normal</v>
      </c>
      <c r="AW17" s="27"/>
    </row>
    <row r="18" spans="1:49" x14ac:dyDescent="0.25">
      <c r="A18" s="27">
        <v>17</v>
      </c>
      <c r="B18" s="28">
        <v>46178</v>
      </c>
      <c r="C18" s="28" t="str">
        <f t="shared" si="0"/>
        <v>June</v>
      </c>
      <c r="D18" s="27" t="s">
        <v>47</v>
      </c>
      <c r="E18" s="27" t="s">
        <v>61</v>
      </c>
      <c r="F18" s="27" t="s">
        <v>95</v>
      </c>
      <c r="G18" s="27" t="s">
        <v>50</v>
      </c>
      <c r="H18" s="27" t="s">
        <v>51</v>
      </c>
      <c r="I18" s="27" t="s">
        <v>111</v>
      </c>
      <c r="J18" s="27" t="s">
        <v>74</v>
      </c>
      <c r="K18" s="27">
        <v>720</v>
      </c>
      <c r="L18" s="27">
        <v>772</v>
      </c>
      <c r="M18" s="27">
        <v>724</v>
      </c>
      <c r="N18" s="27">
        <v>48</v>
      </c>
      <c r="O18" s="27">
        <v>16</v>
      </c>
      <c r="P18" s="27">
        <v>0</v>
      </c>
      <c r="Q18" s="27" t="s">
        <v>60</v>
      </c>
      <c r="R18" s="27">
        <v>42</v>
      </c>
      <c r="S18" s="27">
        <v>46</v>
      </c>
      <c r="T18" s="29">
        <v>68.7</v>
      </c>
      <c r="U18" s="29">
        <v>1.08</v>
      </c>
      <c r="V18" s="29">
        <v>28.27</v>
      </c>
      <c r="W18" s="30">
        <v>14967.62</v>
      </c>
      <c r="X18" s="27">
        <v>9.51</v>
      </c>
      <c r="Y18" s="27" t="s">
        <v>110</v>
      </c>
      <c r="Z18" s="29">
        <v>30</v>
      </c>
      <c r="AA18" s="30">
        <v>22926.38</v>
      </c>
      <c r="AB18" s="29">
        <v>0.93782383419689097</v>
      </c>
      <c r="AC18" s="30">
        <v>19501.55</v>
      </c>
      <c r="AD18" s="30">
        <v>310.209740932643</v>
      </c>
      <c r="AE18" s="27">
        <v>504</v>
      </c>
      <c r="AF18" s="29">
        <v>1</v>
      </c>
      <c r="AG18" s="30">
        <v>3114.6202590673602</v>
      </c>
      <c r="AH18" s="31">
        <f t="shared" si="1"/>
        <v>1.0722222222222222</v>
      </c>
      <c r="AI18" s="31">
        <f t="shared" si="2"/>
        <v>6.2176165803108807E-2</v>
      </c>
      <c r="AJ18" s="31">
        <f t="shared" si="3"/>
        <v>2.072538860103627E-2</v>
      </c>
      <c r="AK18" s="31">
        <f t="shared" si="4"/>
        <v>0.93782383419689119</v>
      </c>
      <c r="AL18" s="29">
        <f t="shared" si="5"/>
        <v>0</v>
      </c>
      <c r="AM18" s="29">
        <f t="shared" si="6"/>
        <v>504</v>
      </c>
      <c r="AN18" s="29">
        <f t="shared" si="7"/>
        <v>1.5317460317460319</v>
      </c>
      <c r="AO18" s="29">
        <f t="shared" si="8"/>
        <v>1.4285714285714286</v>
      </c>
      <c r="AP18" s="31">
        <f t="shared" si="9"/>
        <v>1.0722222222222222</v>
      </c>
      <c r="AQ18" s="31">
        <f t="shared" si="10"/>
        <v>0.93782383419689119</v>
      </c>
      <c r="AR18" s="31">
        <f t="shared" si="11"/>
        <v>1.0055555555555555</v>
      </c>
      <c r="AS18" s="29">
        <f t="shared" si="12"/>
        <v>25.261075129533676</v>
      </c>
      <c r="AT18" s="29">
        <f t="shared" si="13"/>
        <v>4.0344822008644563</v>
      </c>
      <c r="AU18" s="27" t="str">
        <f t="shared" si="14"/>
        <v>Medium</v>
      </c>
      <c r="AV18" s="27" t="str">
        <f t="shared" si="15"/>
        <v>Normal</v>
      </c>
      <c r="AW18" s="27"/>
    </row>
    <row r="19" spans="1:49" x14ac:dyDescent="0.25">
      <c r="A19" s="27">
        <v>18</v>
      </c>
      <c r="B19" s="28">
        <v>46201</v>
      </c>
      <c r="C19" s="28" t="str">
        <f t="shared" si="0"/>
        <v>June</v>
      </c>
      <c r="D19" s="27" t="s">
        <v>67</v>
      </c>
      <c r="E19" s="27" t="s">
        <v>76</v>
      </c>
      <c r="F19" s="27" t="s">
        <v>77</v>
      </c>
      <c r="G19" s="27" t="s">
        <v>50</v>
      </c>
      <c r="H19" s="27" t="s">
        <v>57</v>
      </c>
      <c r="I19" s="27" t="s">
        <v>112</v>
      </c>
      <c r="J19" s="27" t="s">
        <v>90</v>
      </c>
      <c r="K19" s="27">
        <v>769</v>
      </c>
      <c r="L19" s="27">
        <v>806</v>
      </c>
      <c r="M19" s="27">
        <v>752</v>
      </c>
      <c r="N19" s="27">
        <v>54</v>
      </c>
      <c r="O19" s="27">
        <v>16</v>
      </c>
      <c r="P19" s="27">
        <v>20</v>
      </c>
      <c r="Q19" s="27" t="s">
        <v>54</v>
      </c>
      <c r="R19" s="27">
        <v>45</v>
      </c>
      <c r="S19" s="27">
        <v>45</v>
      </c>
      <c r="T19" s="29">
        <v>66</v>
      </c>
      <c r="U19" s="29">
        <v>2.34</v>
      </c>
      <c r="V19" s="29">
        <v>28.07</v>
      </c>
      <c r="W19" s="30">
        <v>16469.830000000002</v>
      </c>
      <c r="X19" s="27">
        <v>10.66</v>
      </c>
      <c r="Y19" s="27" t="s">
        <v>110</v>
      </c>
      <c r="Z19" s="29">
        <v>36</v>
      </c>
      <c r="AA19" s="30">
        <v>25798.38</v>
      </c>
      <c r="AB19" s="29">
        <v>0.93300248138957798</v>
      </c>
      <c r="AC19" s="30">
        <v>21519.46</v>
      </c>
      <c r="AD19" s="30">
        <v>326.94451612903202</v>
      </c>
      <c r="AE19" s="27">
        <v>576.75</v>
      </c>
      <c r="AF19" s="29">
        <v>0.96532293021239701</v>
      </c>
      <c r="AG19" s="30">
        <v>3951.97548387097</v>
      </c>
      <c r="AH19" s="31">
        <f t="shared" si="1"/>
        <v>1.048114434330299</v>
      </c>
      <c r="AI19" s="31">
        <f t="shared" si="2"/>
        <v>6.699751861042183E-2</v>
      </c>
      <c r="AJ19" s="31">
        <f t="shared" si="3"/>
        <v>1.9851116625310174E-2</v>
      </c>
      <c r="AK19" s="31">
        <f t="shared" si="4"/>
        <v>0.9330024813895782</v>
      </c>
      <c r="AL19" s="29">
        <f t="shared" si="5"/>
        <v>0.33333333333333331</v>
      </c>
      <c r="AM19" s="29">
        <f t="shared" si="6"/>
        <v>556.75</v>
      </c>
      <c r="AN19" s="29">
        <f t="shared" si="7"/>
        <v>1.447687471935339</v>
      </c>
      <c r="AO19" s="29">
        <f t="shared" si="8"/>
        <v>1.3333333333333333</v>
      </c>
      <c r="AP19" s="31">
        <f t="shared" si="9"/>
        <v>1.0857656039515042</v>
      </c>
      <c r="AQ19" s="31">
        <f t="shared" si="10"/>
        <v>0.9330024813895782</v>
      </c>
      <c r="AR19" s="31">
        <f t="shared" si="11"/>
        <v>0.97789336801040316</v>
      </c>
      <c r="AS19" s="29">
        <f t="shared" si="12"/>
        <v>26.699081885856078</v>
      </c>
      <c r="AT19" s="29">
        <f t="shared" si="13"/>
        <v>4.9031953894180766</v>
      </c>
      <c r="AU19" s="27" t="str">
        <f t="shared" si="14"/>
        <v>Medium</v>
      </c>
      <c r="AV19" s="27" t="str">
        <f t="shared" si="15"/>
        <v>Normal</v>
      </c>
      <c r="AW19" s="27"/>
    </row>
    <row r="20" spans="1:49" x14ac:dyDescent="0.25">
      <c r="A20" s="27">
        <v>19</v>
      </c>
      <c r="B20" s="28">
        <v>46044</v>
      </c>
      <c r="C20" s="28" t="str">
        <f t="shared" si="0"/>
        <v>January</v>
      </c>
      <c r="D20" s="27" t="s">
        <v>67</v>
      </c>
      <c r="E20" s="27" t="s">
        <v>76</v>
      </c>
      <c r="F20" s="27" t="s">
        <v>113</v>
      </c>
      <c r="G20" s="27" t="s">
        <v>63</v>
      </c>
      <c r="H20" s="27" t="s">
        <v>79</v>
      </c>
      <c r="I20" s="27" t="s">
        <v>114</v>
      </c>
      <c r="J20" s="27" t="s">
        <v>115</v>
      </c>
      <c r="K20" s="27">
        <v>778</v>
      </c>
      <c r="L20" s="27">
        <v>704</v>
      </c>
      <c r="M20" s="27">
        <v>677</v>
      </c>
      <c r="N20" s="27">
        <v>27</v>
      </c>
      <c r="O20" s="27">
        <v>9</v>
      </c>
      <c r="P20" s="27">
        <v>24</v>
      </c>
      <c r="Q20" s="27" t="s">
        <v>75</v>
      </c>
      <c r="R20" s="27">
        <v>49</v>
      </c>
      <c r="S20" s="27">
        <v>50</v>
      </c>
      <c r="T20" s="29">
        <v>70.400000000000006</v>
      </c>
      <c r="U20" s="29">
        <v>1.51</v>
      </c>
      <c r="V20" s="29">
        <v>25.31</v>
      </c>
      <c r="W20" s="30">
        <v>15778.04</v>
      </c>
      <c r="X20" s="27">
        <v>6.53</v>
      </c>
      <c r="Y20" s="27" t="s">
        <v>110</v>
      </c>
      <c r="Z20" s="29">
        <v>24</v>
      </c>
      <c r="AA20" s="30">
        <v>26142.83</v>
      </c>
      <c r="AB20" s="29">
        <v>0.96164772727272696</v>
      </c>
      <c r="AC20" s="30">
        <v>18944.330000000002</v>
      </c>
      <c r="AD20" s="30">
        <v>201.70789772727301</v>
      </c>
      <c r="AE20" s="27">
        <v>635.36666666666702</v>
      </c>
      <c r="AF20" s="29">
        <v>0.962226535858559</v>
      </c>
      <c r="AG20" s="30">
        <v>6996.7921022727296</v>
      </c>
      <c r="AH20" s="31">
        <f t="shared" si="1"/>
        <v>0.90488431876606679</v>
      </c>
      <c r="AI20" s="31">
        <f t="shared" si="2"/>
        <v>3.8352272727272728E-2</v>
      </c>
      <c r="AJ20" s="31">
        <f t="shared" si="3"/>
        <v>1.278409090909091E-2</v>
      </c>
      <c r="AK20" s="31">
        <f t="shared" si="4"/>
        <v>0.96164772727272729</v>
      </c>
      <c r="AL20" s="29">
        <f t="shared" si="5"/>
        <v>0.4</v>
      </c>
      <c r="AM20" s="29">
        <f t="shared" si="6"/>
        <v>611.36666666666702</v>
      </c>
      <c r="AN20" s="29">
        <f t="shared" si="7"/>
        <v>1.1515184559184335</v>
      </c>
      <c r="AO20" s="29">
        <f t="shared" si="8"/>
        <v>1.2244897959183674</v>
      </c>
      <c r="AP20" s="31">
        <f t="shared" si="9"/>
        <v>0.940406739000054</v>
      </c>
      <c r="AQ20" s="31">
        <f t="shared" si="10"/>
        <v>0.96164772727272729</v>
      </c>
      <c r="AR20" s="31">
        <f t="shared" si="11"/>
        <v>0.87017994858611747</v>
      </c>
      <c r="AS20" s="29">
        <f t="shared" si="12"/>
        <v>26.909559659090913</v>
      </c>
      <c r="AT20" s="29">
        <f t="shared" si="13"/>
        <v>9.9386251452737628</v>
      </c>
      <c r="AU20" s="27" t="str">
        <f t="shared" si="14"/>
        <v>Medium</v>
      </c>
      <c r="AV20" s="27" t="str">
        <f t="shared" si="15"/>
        <v>Normal</v>
      </c>
      <c r="AW20" s="27"/>
    </row>
    <row r="21" spans="1:49" x14ac:dyDescent="0.25">
      <c r="A21" s="27">
        <v>20</v>
      </c>
      <c r="B21" s="28">
        <v>46050</v>
      </c>
      <c r="C21" s="28" t="str">
        <f t="shared" si="0"/>
        <v>January</v>
      </c>
      <c r="D21" s="27" t="s">
        <v>67</v>
      </c>
      <c r="E21" s="27" t="s">
        <v>98</v>
      </c>
      <c r="F21" s="27" t="s">
        <v>105</v>
      </c>
      <c r="G21" s="27" t="s">
        <v>78</v>
      </c>
      <c r="H21" s="27" t="s">
        <v>57</v>
      </c>
      <c r="I21" s="27" t="s">
        <v>116</v>
      </c>
      <c r="J21" s="27" t="s">
        <v>117</v>
      </c>
      <c r="K21" s="27">
        <v>705</v>
      </c>
      <c r="L21" s="27">
        <v>585</v>
      </c>
      <c r="M21" s="27">
        <v>545</v>
      </c>
      <c r="N21" s="27">
        <v>40</v>
      </c>
      <c r="O21" s="27">
        <v>14</v>
      </c>
      <c r="P21" s="27">
        <v>31</v>
      </c>
      <c r="Q21" s="27" t="s">
        <v>54</v>
      </c>
      <c r="R21" s="27">
        <v>45</v>
      </c>
      <c r="S21" s="27">
        <v>47</v>
      </c>
      <c r="T21" s="29">
        <v>65.7</v>
      </c>
      <c r="U21" s="29">
        <v>1.98</v>
      </c>
      <c r="V21" s="29">
        <v>21.84</v>
      </c>
      <c r="W21" s="30">
        <v>12556.66</v>
      </c>
      <c r="X21" s="27">
        <v>7.14</v>
      </c>
      <c r="Y21" s="27" t="s">
        <v>71</v>
      </c>
      <c r="Z21" s="29">
        <v>32</v>
      </c>
      <c r="AA21" s="30">
        <v>19013.099999999999</v>
      </c>
      <c r="AB21" s="29">
        <v>0.93162393162393198</v>
      </c>
      <c r="AC21" s="30">
        <v>15966.22</v>
      </c>
      <c r="AD21" s="30">
        <v>300.50126495726499</v>
      </c>
      <c r="AE21" s="27">
        <v>528.75</v>
      </c>
      <c r="AF21" s="29">
        <v>0.94137115839243501</v>
      </c>
      <c r="AG21" s="30">
        <v>2746.3787350427301</v>
      </c>
      <c r="AH21" s="31">
        <f t="shared" si="1"/>
        <v>0.82978723404255317</v>
      </c>
      <c r="AI21" s="31">
        <f t="shared" si="2"/>
        <v>6.8376068376068383E-2</v>
      </c>
      <c r="AJ21" s="31">
        <f t="shared" si="3"/>
        <v>2.3931623931623933E-2</v>
      </c>
      <c r="AK21" s="31">
        <f t="shared" si="4"/>
        <v>0.93162393162393164</v>
      </c>
      <c r="AL21" s="29">
        <f t="shared" si="5"/>
        <v>0.51666666666666672</v>
      </c>
      <c r="AM21" s="29">
        <f t="shared" si="6"/>
        <v>497.75</v>
      </c>
      <c r="AN21" s="29">
        <f t="shared" si="7"/>
        <v>1.1752887995981918</v>
      </c>
      <c r="AO21" s="29">
        <f t="shared" si="8"/>
        <v>1.3333333333333333</v>
      </c>
      <c r="AP21" s="31">
        <f t="shared" si="9"/>
        <v>0.88146659969864383</v>
      </c>
      <c r="AQ21" s="31">
        <f t="shared" si="10"/>
        <v>0.93162393162393164</v>
      </c>
      <c r="AR21" s="31">
        <f t="shared" si="11"/>
        <v>0.77304964539007093</v>
      </c>
      <c r="AS21" s="29">
        <f t="shared" si="12"/>
        <v>27.292683760683758</v>
      </c>
      <c r="AT21" s="29">
        <f t="shared" si="13"/>
        <v>4.6946645043465471</v>
      </c>
      <c r="AU21" s="27" t="str">
        <f t="shared" si="14"/>
        <v>High</v>
      </c>
      <c r="AV21" s="27" t="str">
        <f t="shared" si="15"/>
        <v>Warning</v>
      </c>
      <c r="AW21" s="27"/>
    </row>
    <row r="22" spans="1:49" x14ac:dyDescent="0.25">
      <c r="A22" s="27">
        <v>21</v>
      </c>
      <c r="B22" s="28">
        <v>46063</v>
      </c>
      <c r="C22" s="28" t="str">
        <f t="shared" si="0"/>
        <v>February</v>
      </c>
      <c r="D22" s="27" t="s">
        <v>67</v>
      </c>
      <c r="E22" s="27" t="s">
        <v>61</v>
      </c>
      <c r="F22" s="27" t="s">
        <v>62</v>
      </c>
      <c r="G22" s="27" t="s">
        <v>63</v>
      </c>
      <c r="H22" s="27" t="s">
        <v>57</v>
      </c>
      <c r="I22" s="27" t="s">
        <v>118</v>
      </c>
      <c r="J22" s="27" t="s">
        <v>109</v>
      </c>
      <c r="K22" s="27">
        <v>946</v>
      </c>
      <c r="L22" s="27">
        <v>882</v>
      </c>
      <c r="M22" s="27">
        <v>845</v>
      </c>
      <c r="N22" s="27">
        <v>37</v>
      </c>
      <c r="O22" s="27">
        <v>8</v>
      </c>
      <c r="P22" s="27">
        <v>38</v>
      </c>
      <c r="Q22" s="27" t="s">
        <v>91</v>
      </c>
      <c r="R22" s="27">
        <v>45</v>
      </c>
      <c r="S22" s="27">
        <v>45</v>
      </c>
      <c r="T22" s="29">
        <v>81.099999999999994</v>
      </c>
      <c r="U22" s="29">
        <v>2.2799999999999998</v>
      </c>
      <c r="V22" s="29">
        <v>29.11</v>
      </c>
      <c r="W22" s="30">
        <v>17714.060000000001</v>
      </c>
      <c r="X22" s="27">
        <v>8.15</v>
      </c>
      <c r="Y22" s="27" t="s">
        <v>55</v>
      </c>
      <c r="Z22" s="29">
        <v>24</v>
      </c>
      <c r="AA22" s="30">
        <v>30165.72</v>
      </c>
      <c r="AB22" s="29">
        <v>0.95804988662131496</v>
      </c>
      <c r="AC22" s="30">
        <v>21643.55</v>
      </c>
      <c r="AD22" s="30">
        <v>160.67174603174601</v>
      </c>
      <c r="AE22" s="27">
        <v>709.5</v>
      </c>
      <c r="AF22" s="29">
        <v>0.94644115574348098</v>
      </c>
      <c r="AG22" s="30">
        <v>8361.4982539682496</v>
      </c>
      <c r="AH22" s="31">
        <f t="shared" si="1"/>
        <v>0.93234672304439747</v>
      </c>
      <c r="AI22" s="31">
        <f t="shared" si="2"/>
        <v>4.195011337868481E-2</v>
      </c>
      <c r="AJ22" s="31">
        <f t="shared" si="3"/>
        <v>9.0702947845804991E-3</v>
      </c>
      <c r="AK22" s="31">
        <f t="shared" si="4"/>
        <v>0.95804988662131518</v>
      </c>
      <c r="AL22" s="29">
        <f t="shared" si="5"/>
        <v>0.6333333333333333</v>
      </c>
      <c r="AM22" s="29">
        <f t="shared" si="6"/>
        <v>671.5</v>
      </c>
      <c r="AN22" s="29">
        <f t="shared" si="7"/>
        <v>1.3134772896500373</v>
      </c>
      <c r="AO22" s="29">
        <f t="shared" si="8"/>
        <v>1.3333333333333333</v>
      </c>
      <c r="AP22" s="31">
        <f t="shared" si="9"/>
        <v>0.98510796723752803</v>
      </c>
      <c r="AQ22" s="31">
        <f t="shared" si="10"/>
        <v>0.95804988662131518</v>
      </c>
      <c r="AR22" s="31">
        <f t="shared" si="11"/>
        <v>0.89323467230443954</v>
      </c>
      <c r="AS22" s="29">
        <f t="shared" si="12"/>
        <v>24.539172335600906</v>
      </c>
      <c r="AT22" s="29">
        <f t="shared" si="13"/>
        <v>9.4801567505308952</v>
      </c>
      <c r="AU22" s="27" t="str">
        <f t="shared" si="14"/>
        <v>Medium</v>
      </c>
      <c r="AV22" s="27" t="str">
        <f t="shared" si="15"/>
        <v>Warning</v>
      </c>
      <c r="AW22" s="27"/>
    </row>
    <row r="23" spans="1:49" x14ac:dyDescent="0.25">
      <c r="A23" s="27">
        <v>22</v>
      </c>
      <c r="B23" s="28">
        <v>46122</v>
      </c>
      <c r="C23" s="28" t="str">
        <f t="shared" si="0"/>
        <v>April</v>
      </c>
      <c r="D23" s="27" t="s">
        <v>47</v>
      </c>
      <c r="E23" s="27" t="s">
        <v>76</v>
      </c>
      <c r="F23" s="27" t="s">
        <v>119</v>
      </c>
      <c r="G23" s="27" t="s">
        <v>63</v>
      </c>
      <c r="H23" s="27" t="s">
        <v>68</v>
      </c>
      <c r="I23" s="27" t="s">
        <v>120</v>
      </c>
      <c r="J23" s="27" t="s">
        <v>121</v>
      </c>
      <c r="K23" s="27">
        <v>642</v>
      </c>
      <c r="L23" s="27">
        <v>532</v>
      </c>
      <c r="M23" s="27">
        <v>480</v>
      </c>
      <c r="N23" s="27">
        <v>52</v>
      </c>
      <c r="O23" s="27">
        <v>15</v>
      </c>
      <c r="P23" s="27">
        <v>49</v>
      </c>
      <c r="Q23" s="27" t="s">
        <v>91</v>
      </c>
      <c r="R23" s="27">
        <v>64</v>
      </c>
      <c r="S23" s="27">
        <v>71</v>
      </c>
      <c r="T23" s="29">
        <v>76.599999999999994</v>
      </c>
      <c r="U23" s="29">
        <v>1.83</v>
      </c>
      <c r="V23" s="29">
        <v>20.61</v>
      </c>
      <c r="W23" s="30">
        <v>17082.04</v>
      </c>
      <c r="X23" s="27">
        <v>7.95</v>
      </c>
      <c r="Y23" s="27" t="s">
        <v>110</v>
      </c>
      <c r="Z23" s="29">
        <v>27</v>
      </c>
      <c r="AA23" s="30">
        <v>25588.31</v>
      </c>
      <c r="AB23" s="29">
        <v>0.90225563909774398</v>
      </c>
      <c r="AC23" s="30">
        <v>20845.03</v>
      </c>
      <c r="AD23" s="30">
        <v>481.63646616541399</v>
      </c>
      <c r="AE23" s="27">
        <v>684.8</v>
      </c>
      <c r="AF23" s="29">
        <v>0.92844626168224298</v>
      </c>
      <c r="AG23" s="30">
        <v>4261.64353383459</v>
      </c>
      <c r="AH23" s="31">
        <f t="shared" si="1"/>
        <v>0.82866043613707163</v>
      </c>
      <c r="AI23" s="31">
        <f t="shared" si="2"/>
        <v>9.7744360902255634E-2</v>
      </c>
      <c r="AJ23" s="31">
        <f t="shared" si="3"/>
        <v>2.819548872180451E-2</v>
      </c>
      <c r="AK23" s="31">
        <f t="shared" si="4"/>
        <v>0.90225563909774431</v>
      </c>
      <c r="AL23" s="29">
        <f t="shared" si="5"/>
        <v>0.81666666666666665</v>
      </c>
      <c r="AM23" s="29">
        <f t="shared" si="6"/>
        <v>635.79999999999995</v>
      </c>
      <c r="AN23" s="29">
        <f t="shared" si="7"/>
        <v>0.83674111355772263</v>
      </c>
      <c r="AO23" s="29">
        <f t="shared" si="8"/>
        <v>0.9375</v>
      </c>
      <c r="AP23" s="31">
        <f t="shared" si="9"/>
        <v>0.89252385446157079</v>
      </c>
      <c r="AQ23" s="31">
        <f t="shared" si="10"/>
        <v>0.90225563909774431</v>
      </c>
      <c r="AR23" s="31">
        <f t="shared" si="11"/>
        <v>0.74766355140186924</v>
      </c>
      <c r="AS23" s="29">
        <f t="shared" si="12"/>
        <v>39.182387218045108</v>
      </c>
      <c r="AT23" s="29">
        <f t="shared" si="13"/>
        <v>8.0106081463056196</v>
      </c>
      <c r="AU23" s="27" t="str">
        <f t="shared" si="14"/>
        <v>High</v>
      </c>
      <c r="AV23" s="27" t="str">
        <f t="shared" si="15"/>
        <v>Critical</v>
      </c>
      <c r="AW23" s="27"/>
    </row>
    <row r="24" spans="1:49" x14ac:dyDescent="0.25">
      <c r="A24" s="27">
        <v>23</v>
      </c>
      <c r="B24" s="28">
        <v>46182</v>
      </c>
      <c r="C24" s="28" t="str">
        <f t="shared" si="0"/>
        <v>June</v>
      </c>
      <c r="D24" s="27" t="s">
        <v>47</v>
      </c>
      <c r="E24" s="27" t="s">
        <v>61</v>
      </c>
      <c r="F24" s="27" t="s">
        <v>95</v>
      </c>
      <c r="G24" s="27" t="s">
        <v>63</v>
      </c>
      <c r="H24" s="27" t="s">
        <v>51</v>
      </c>
      <c r="I24" s="27" t="s">
        <v>122</v>
      </c>
      <c r="J24" s="27" t="s">
        <v>74</v>
      </c>
      <c r="K24" s="27">
        <v>789</v>
      </c>
      <c r="L24" s="27">
        <v>787</v>
      </c>
      <c r="M24" s="27">
        <v>745</v>
      </c>
      <c r="N24" s="27">
        <v>42</v>
      </c>
      <c r="O24" s="27">
        <v>16</v>
      </c>
      <c r="P24" s="27">
        <v>33</v>
      </c>
      <c r="Q24" s="27" t="s">
        <v>75</v>
      </c>
      <c r="R24" s="27">
        <v>42</v>
      </c>
      <c r="S24" s="27">
        <v>43</v>
      </c>
      <c r="T24" s="29">
        <v>80.8</v>
      </c>
      <c r="U24" s="29">
        <v>1.88</v>
      </c>
      <c r="V24" s="29">
        <v>28.99</v>
      </c>
      <c r="W24" s="30">
        <v>13776.93</v>
      </c>
      <c r="X24" s="27">
        <v>10.32</v>
      </c>
      <c r="Y24" s="27" t="s">
        <v>55</v>
      </c>
      <c r="Z24" s="29">
        <v>27</v>
      </c>
      <c r="AA24" s="30">
        <v>23222.95</v>
      </c>
      <c r="AB24" s="29">
        <v>0.94663278271918705</v>
      </c>
      <c r="AC24" s="30">
        <v>18681.84</v>
      </c>
      <c r="AD24" s="30">
        <v>280.09006353240198</v>
      </c>
      <c r="AE24" s="27">
        <v>552.29999999999995</v>
      </c>
      <c r="AF24" s="29">
        <v>0.94024986420423695</v>
      </c>
      <c r="AG24" s="30">
        <v>4261.0199364676</v>
      </c>
      <c r="AH24" s="31">
        <f t="shared" si="1"/>
        <v>0.99746514575411915</v>
      </c>
      <c r="AI24" s="31">
        <f t="shared" si="2"/>
        <v>5.3367217280813214E-2</v>
      </c>
      <c r="AJ24" s="31">
        <f t="shared" si="3"/>
        <v>2.0330368487928845E-2</v>
      </c>
      <c r="AK24" s="31">
        <f t="shared" si="4"/>
        <v>0.94663278271918683</v>
      </c>
      <c r="AL24" s="29">
        <f t="shared" si="5"/>
        <v>0.55000000000000004</v>
      </c>
      <c r="AM24" s="29">
        <f t="shared" si="6"/>
        <v>519.29999999999995</v>
      </c>
      <c r="AN24" s="29">
        <f t="shared" si="7"/>
        <v>1.5155016368187946</v>
      </c>
      <c r="AO24" s="29">
        <f t="shared" si="8"/>
        <v>1.4285714285714286</v>
      </c>
      <c r="AP24" s="31">
        <f t="shared" si="9"/>
        <v>1.0608511457731562</v>
      </c>
      <c r="AQ24" s="31">
        <f t="shared" si="10"/>
        <v>0.94663278271918683</v>
      </c>
      <c r="AR24" s="31">
        <f t="shared" si="11"/>
        <v>0.94423320659062115</v>
      </c>
      <c r="AS24" s="29">
        <f t="shared" si="12"/>
        <v>23.738043202033037</v>
      </c>
      <c r="AT24" s="29">
        <f t="shared" si="13"/>
        <v>5.4142565901748414</v>
      </c>
      <c r="AU24" s="27" t="str">
        <f t="shared" si="14"/>
        <v>Medium</v>
      </c>
      <c r="AV24" s="27" t="str">
        <f t="shared" si="15"/>
        <v>Warning</v>
      </c>
      <c r="AW24" s="27"/>
    </row>
    <row r="25" spans="1:49" x14ac:dyDescent="0.25">
      <c r="A25" s="27">
        <v>24</v>
      </c>
      <c r="B25" s="28">
        <v>46189</v>
      </c>
      <c r="C25" s="28" t="str">
        <f t="shared" si="0"/>
        <v>June</v>
      </c>
      <c r="D25" s="27" t="s">
        <v>47</v>
      </c>
      <c r="E25" s="27" t="s">
        <v>48</v>
      </c>
      <c r="F25" s="27" t="s">
        <v>72</v>
      </c>
      <c r="G25" s="27" t="s">
        <v>50</v>
      </c>
      <c r="H25" s="27" t="s">
        <v>51</v>
      </c>
      <c r="I25" s="27" t="s">
        <v>123</v>
      </c>
      <c r="J25" s="27" t="s">
        <v>101</v>
      </c>
      <c r="K25" s="27">
        <v>842</v>
      </c>
      <c r="L25" s="27">
        <v>755</v>
      </c>
      <c r="M25" s="27">
        <v>721</v>
      </c>
      <c r="N25" s="27">
        <v>34</v>
      </c>
      <c r="O25" s="27">
        <v>13</v>
      </c>
      <c r="P25" s="27">
        <v>26</v>
      </c>
      <c r="Q25" s="27" t="s">
        <v>54</v>
      </c>
      <c r="R25" s="27">
        <v>42</v>
      </c>
      <c r="S25" s="27">
        <v>44</v>
      </c>
      <c r="T25" s="29">
        <v>77.400000000000006</v>
      </c>
      <c r="U25" s="29">
        <v>2.66</v>
      </c>
      <c r="V25" s="29">
        <v>31.63</v>
      </c>
      <c r="W25" s="30">
        <v>13172.49</v>
      </c>
      <c r="X25" s="27">
        <v>7.38</v>
      </c>
      <c r="Y25" s="27" t="s">
        <v>71</v>
      </c>
      <c r="Z25" s="29">
        <v>53</v>
      </c>
      <c r="AA25" s="30">
        <v>23706.26</v>
      </c>
      <c r="AB25" s="29">
        <v>0.95496688741721902</v>
      </c>
      <c r="AC25" s="30">
        <v>16778.16</v>
      </c>
      <c r="AD25" s="30">
        <v>226.81108609271499</v>
      </c>
      <c r="AE25" s="27">
        <v>589.4</v>
      </c>
      <c r="AF25" s="29">
        <v>0.95588734306073997</v>
      </c>
      <c r="AG25" s="30">
        <v>6701.2889139072904</v>
      </c>
      <c r="AH25" s="31">
        <f t="shared" si="1"/>
        <v>0.89667458432304037</v>
      </c>
      <c r="AI25" s="31">
        <f t="shared" si="2"/>
        <v>4.5033112582781455E-2</v>
      </c>
      <c r="AJ25" s="31">
        <f t="shared" si="3"/>
        <v>1.7218543046357615E-2</v>
      </c>
      <c r="AK25" s="31">
        <f t="shared" si="4"/>
        <v>0.95496688741721858</v>
      </c>
      <c r="AL25" s="29">
        <f t="shared" si="5"/>
        <v>0.43333333333333335</v>
      </c>
      <c r="AM25" s="29">
        <f t="shared" si="6"/>
        <v>563.4</v>
      </c>
      <c r="AN25" s="29">
        <f t="shared" si="7"/>
        <v>1.3400780972665958</v>
      </c>
      <c r="AO25" s="29">
        <f t="shared" si="8"/>
        <v>1.4285714285714286</v>
      </c>
      <c r="AP25" s="31">
        <f t="shared" si="9"/>
        <v>0.93805466808661697</v>
      </c>
      <c r="AQ25" s="31">
        <f t="shared" si="10"/>
        <v>0.95496688741721858</v>
      </c>
      <c r="AR25" s="31">
        <f t="shared" si="11"/>
        <v>0.85629453681710233</v>
      </c>
      <c r="AS25" s="29">
        <f t="shared" si="12"/>
        <v>22.222728476821192</v>
      </c>
      <c r="AT25" s="29">
        <f t="shared" si="13"/>
        <v>8.8758793561685962</v>
      </c>
      <c r="AU25" s="27" t="str">
        <f t="shared" si="14"/>
        <v>High</v>
      </c>
      <c r="AV25" s="27" t="str">
        <f t="shared" si="15"/>
        <v>Normal</v>
      </c>
      <c r="AW25" s="27"/>
    </row>
    <row r="26" spans="1:49" x14ac:dyDescent="0.25">
      <c r="A26" s="27">
        <v>25</v>
      </c>
      <c r="B26" s="28">
        <v>46124</v>
      </c>
      <c r="C26" s="28" t="str">
        <f t="shared" si="0"/>
        <v>April</v>
      </c>
      <c r="D26" s="27" t="s">
        <v>47</v>
      </c>
      <c r="E26" s="27" t="s">
        <v>48</v>
      </c>
      <c r="F26" s="27" t="s">
        <v>49</v>
      </c>
      <c r="G26" s="27" t="s">
        <v>63</v>
      </c>
      <c r="H26" s="27" t="s">
        <v>124</v>
      </c>
      <c r="I26" s="27" t="s">
        <v>125</v>
      </c>
      <c r="J26" s="27" t="s">
        <v>53</v>
      </c>
      <c r="K26" s="27">
        <v>698</v>
      </c>
      <c r="L26" s="27">
        <v>728</v>
      </c>
      <c r="M26" s="27">
        <v>696</v>
      </c>
      <c r="N26" s="27">
        <v>32</v>
      </c>
      <c r="O26" s="27">
        <v>8</v>
      </c>
      <c r="P26" s="27">
        <v>5</v>
      </c>
      <c r="Q26" s="27" t="s">
        <v>54</v>
      </c>
      <c r="R26" s="27">
        <v>57</v>
      </c>
      <c r="S26" s="27">
        <v>63</v>
      </c>
      <c r="T26" s="29">
        <v>67.5</v>
      </c>
      <c r="U26" s="29">
        <v>1.66</v>
      </c>
      <c r="V26" s="29">
        <v>28.76</v>
      </c>
      <c r="W26" s="30">
        <v>19072.349999999999</v>
      </c>
      <c r="X26" s="27">
        <v>10.82</v>
      </c>
      <c r="Y26" s="27" t="s">
        <v>110</v>
      </c>
      <c r="Z26" s="29">
        <v>33</v>
      </c>
      <c r="AA26" s="30">
        <v>32647.43</v>
      </c>
      <c r="AB26" s="29">
        <v>0.95604395604395598</v>
      </c>
      <c r="AC26" s="30">
        <v>24200.19</v>
      </c>
      <c r="AD26" s="30">
        <v>209.58626373626399</v>
      </c>
      <c r="AE26" s="27">
        <v>663.1</v>
      </c>
      <c r="AF26" s="29">
        <v>0.99245965917659495</v>
      </c>
      <c r="AG26" s="30">
        <v>8237.6537362637391</v>
      </c>
      <c r="AH26" s="31">
        <f t="shared" si="1"/>
        <v>1.0429799426934097</v>
      </c>
      <c r="AI26" s="31">
        <f t="shared" si="2"/>
        <v>4.3956043956043959E-2</v>
      </c>
      <c r="AJ26" s="31">
        <f t="shared" si="3"/>
        <v>1.098901098901099E-2</v>
      </c>
      <c r="AK26" s="31">
        <f t="shared" si="4"/>
        <v>0.95604395604395609</v>
      </c>
      <c r="AL26" s="29">
        <f t="shared" si="5"/>
        <v>8.3333333333333329E-2</v>
      </c>
      <c r="AM26" s="29">
        <f t="shared" si="6"/>
        <v>658.1</v>
      </c>
      <c r="AN26" s="29">
        <f t="shared" si="7"/>
        <v>1.1062148609633793</v>
      </c>
      <c r="AO26" s="29">
        <f t="shared" si="8"/>
        <v>1.0526315789473684</v>
      </c>
      <c r="AP26" s="31">
        <f t="shared" si="9"/>
        <v>1.0509041179152103</v>
      </c>
      <c r="AQ26" s="31">
        <f t="shared" si="10"/>
        <v>0.95604395604395609</v>
      </c>
      <c r="AR26" s="31">
        <f t="shared" si="11"/>
        <v>0.99713467048710624</v>
      </c>
      <c r="AS26" s="29">
        <f t="shared" si="12"/>
        <v>33.24201923076923</v>
      </c>
      <c r="AT26" s="29">
        <f t="shared" si="13"/>
        <v>11.315458428933708</v>
      </c>
      <c r="AU26" s="27" t="str">
        <f t="shared" si="14"/>
        <v>Medium</v>
      </c>
      <c r="AV26" s="27" t="str">
        <f t="shared" si="15"/>
        <v>Normal</v>
      </c>
      <c r="AW26" s="27"/>
    </row>
    <row r="27" spans="1:49" x14ac:dyDescent="0.25">
      <c r="A27" s="27">
        <v>26</v>
      </c>
      <c r="B27" s="28">
        <v>46062</v>
      </c>
      <c r="C27" s="28" t="str">
        <f t="shared" si="0"/>
        <v>February</v>
      </c>
      <c r="D27" s="27" t="s">
        <v>67</v>
      </c>
      <c r="E27" s="27" t="s">
        <v>98</v>
      </c>
      <c r="F27" s="27" t="s">
        <v>126</v>
      </c>
      <c r="G27" s="27" t="s">
        <v>63</v>
      </c>
      <c r="H27" s="27" t="s">
        <v>57</v>
      </c>
      <c r="I27" s="27" t="s">
        <v>127</v>
      </c>
      <c r="J27" s="27" t="s">
        <v>128</v>
      </c>
      <c r="K27" s="27">
        <v>927</v>
      </c>
      <c r="L27" s="27">
        <v>801</v>
      </c>
      <c r="M27" s="27">
        <v>738</v>
      </c>
      <c r="N27" s="27">
        <v>63</v>
      </c>
      <c r="O27" s="27">
        <v>20</v>
      </c>
      <c r="P27" s="27">
        <v>33</v>
      </c>
      <c r="Q27" s="27" t="s">
        <v>75</v>
      </c>
      <c r="R27" s="27">
        <v>45</v>
      </c>
      <c r="S27" s="27">
        <v>49</v>
      </c>
      <c r="T27" s="29">
        <v>71</v>
      </c>
      <c r="U27" s="29">
        <v>2.59</v>
      </c>
      <c r="V27" s="29">
        <v>30.98</v>
      </c>
      <c r="W27" s="30">
        <v>16409.28</v>
      </c>
      <c r="X27" s="27">
        <v>7.15</v>
      </c>
      <c r="Y27" s="27" t="s">
        <v>66</v>
      </c>
      <c r="Z27" s="29">
        <v>29</v>
      </c>
      <c r="AA27" s="30">
        <v>25605.01</v>
      </c>
      <c r="AB27" s="29">
        <v>0.92134831460674205</v>
      </c>
      <c r="AC27" s="30">
        <v>19905.599999999999</v>
      </c>
      <c r="AD27" s="30">
        <v>409.71985018726599</v>
      </c>
      <c r="AE27" s="27">
        <v>695.25</v>
      </c>
      <c r="AF27" s="29">
        <v>0.95253505933117599</v>
      </c>
      <c r="AG27" s="30">
        <v>5289.6901498127299</v>
      </c>
      <c r="AH27" s="31">
        <f t="shared" si="1"/>
        <v>0.86407766990291257</v>
      </c>
      <c r="AI27" s="31">
        <f t="shared" si="2"/>
        <v>7.8651685393258425E-2</v>
      </c>
      <c r="AJ27" s="31">
        <f t="shared" si="3"/>
        <v>2.4968789013732832E-2</v>
      </c>
      <c r="AK27" s="31">
        <f t="shared" si="4"/>
        <v>0.9213483146067416</v>
      </c>
      <c r="AL27" s="29">
        <f t="shared" si="5"/>
        <v>0.55000000000000004</v>
      </c>
      <c r="AM27" s="29">
        <f t="shared" si="6"/>
        <v>662.25</v>
      </c>
      <c r="AN27" s="29">
        <f t="shared" si="7"/>
        <v>1.2095130237825595</v>
      </c>
      <c r="AO27" s="29">
        <f t="shared" si="8"/>
        <v>1.3333333333333333</v>
      </c>
      <c r="AP27" s="31">
        <f t="shared" si="9"/>
        <v>0.90713476783691971</v>
      </c>
      <c r="AQ27" s="31">
        <f t="shared" si="10"/>
        <v>0.9213483146067416</v>
      </c>
      <c r="AR27" s="31">
        <f t="shared" si="11"/>
        <v>0.79611650485436924</v>
      </c>
      <c r="AS27" s="29">
        <f t="shared" si="12"/>
        <v>24.850936329588013</v>
      </c>
      <c r="AT27" s="29">
        <f t="shared" si="13"/>
        <v>6.6038578649347439</v>
      </c>
      <c r="AU27" s="27" t="str">
        <f t="shared" si="14"/>
        <v>High</v>
      </c>
      <c r="AV27" s="27" t="str">
        <f t="shared" si="15"/>
        <v>Warning</v>
      </c>
      <c r="AW27" s="27"/>
    </row>
    <row r="28" spans="1:49" x14ac:dyDescent="0.25">
      <c r="A28" s="27">
        <v>27</v>
      </c>
      <c r="B28" s="28">
        <v>46089</v>
      </c>
      <c r="C28" s="28" t="str">
        <f t="shared" si="0"/>
        <v>March</v>
      </c>
      <c r="D28" s="27" t="s">
        <v>67</v>
      </c>
      <c r="E28" s="27" t="s">
        <v>129</v>
      </c>
      <c r="F28" s="27" t="s">
        <v>130</v>
      </c>
      <c r="G28" s="27" t="s">
        <v>63</v>
      </c>
      <c r="H28" s="27" t="s">
        <v>79</v>
      </c>
      <c r="I28" s="27" t="s">
        <v>131</v>
      </c>
      <c r="J28" s="27" t="s">
        <v>132</v>
      </c>
      <c r="K28" s="27">
        <v>884</v>
      </c>
      <c r="L28" s="27">
        <v>784</v>
      </c>
      <c r="M28" s="27">
        <v>664</v>
      </c>
      <c r="N28" s="27">
        <v>120</v>
      </c>
      <c r="O28" s="27">
        <v>32</v>
      </c>
      <c r="P28" s="27">
        <v>61</v>
      </c>
      <c r="Q28" s="27" t="s">
        <v>75</v>
      </c>
      <c r="R28" s="27">
        <v>49</v>
      </c>
      <c r="S28" s="27">
        <v>52</v>
      </c>
      <c r="T28" s="29">
        <v>77</v>
      </c>
      <c r="U28" s="29">
        <v>3.88</v>
      </c>
      <c r="V28" s="29">
        <v>35.590000000000003</v>
      </c>
      <c r="W28" s="30">
        <v>16941.28</v>
      </c>
      <c r="X28" s="27">
        <v>7.71</v>
      </c>
      <c r="Y28" s="27" t="s">
        <v>110</v>
      </c>
      <c r="Z28" s="29">
        <v>60</v>
      </c>
      <c r="AA28" s="30">
        <v>24824.06</v>
      </c>
      <c r="AB28" s="29">
        <v>0.84693877551020402</v>
      </c>
      <c r="AC28" s="30">
        <v>20731.09</v>
      </c>
      <c r="AD28" s="30">
        <v>691.480816326531</v>
      </c>
      <c r="AE28" s="27">
        <v>721.93333333333305</v>
      </c>
      <c r="AF28" s="29">
        <v>0.91550466340382297</v>
      </c>
      <c r="AG28" s="30">
        <v>3401.4891836734701</v>
      </c>
      <c r="AH28" s="31">
        <f t="shared" si="1"/>
        <v>0.8868778280542986</v>
      </c>
      <c r="AI28" s="31">
        <f t="shared" si="2"/>
        <v>0.15306122448979592</v>
      </c>
      <c r="AJ28" s="31">
        <f t="shared" si="3"/>
        <v>4.0816326530612242E-2</v>
      </c>
      <c r="AK28" s="31">
        <f t="shared" si="4"/>
        <v>0.84693877551020413</v>
      </c>
      <c r="AL28" s="29">
        <f t="shared" si="5"/>
        <v>1.0166666666666666</v>
      </c>
      <c r="AM28" s="29">
        <f t="shared" si="6"/>
        <v>660.93333333333305</v>
      </c>
      <c r="AN28" s="29">
        <f t="shared" si="7"/>
        <v>1.1862013314504747</v>
      </c>
      <c r="AO28" s="29">
        <f t="shared" si="8"/>
        <v>1.2244897959183674</v>
      </c>
      <c r="AP28" s="31">
        <f t="shared" si="9"/>
        <v>0.96873108735122093</v>
      </c>
      <c r="AQ28" s="31">
        <f t="shared" si="10"/>
        <v>0.84693877551020413</v>
      </c>
      <c r="AR28" s="31">
        <f t="shared" si="11"/>
        <v>0.75113122171945734</v>
      </c>
      <c r="AS28" s="29">
        <f t="shared" si="12"/>
        <v>26.442716836734693</v>
      </c>
      <c r="AT28" s="29">
        <f t="shared" si="13"/>
        <v>4.3386341628488134</v>
      </c>
      <c r="AU28" s="27" t="str">
        <f t="shared" si="14"/>
        <v>High</v>
      </c>
      <c r="AV28" s="27" t="str">
        <f t="shared" si="15"/>
        <v>Critical</v>
      </c>
      <c r="AW28" s="27"/>
    </row>
    <row r="29" spans="1:49" x14ac:dyDescent="0.25">
      <c r="A29" s="27">
        <v>28</v>
      </c>
      <c r="B29" s="28">
        <v>46072</v>
      </c>
      <c r="C29" s="28" t="str">
        <f t="shared" si="0"/>
        <v>February</v>
      </c>
      <c r="D29" s="27" t="s">
        <v>67</v>
      </c>
      <c r="E29" s="27" t="s">
        <v>48</v>
      </c>
      <c r="F29" s="27" t="s">
        <v>49</v>
      </c>
      <c r="G29" s="27" t="s">
        <v>63</v>
      </c>
      <c r="H29" s="27" t="s">
        <v>57</v>
      </c>
      <c r="I29" s="27" t="s">
        <v>133</v>
      </c>
      <c r="J29" s="27" t="s">
        <v>134</v>
      </c>
      <c r="K29" s="27">
        <v>778</v>
      </c>
      <c r="L29" s="27">
        <v>747</v>
      </c>
      <c r="M29" s="27">
        <v>719</v>
      </c>
      <c r="N29" s="27">
        <v>28</v>
      </c>
      <c r="O29" s="27">
        <v>6</v>
      </c>
      <c r="P29" s="27">
        <v>0</v>
      </c>
      <c r="Q29" s="27" t="s">
        <v>60</v>
      </c>
      <c r="R29" s="27">
        <v>45</v>
      </c>
      <c r="S29" s="27">
        <v>49</v>
      </c>
      <c r="T29" s="29">
        <v>68</v>
      </c>
      <c r="U29" s="29">
        <v>2</v>
      </c>
      <c r="V29" s="29">
        <v>23.13</v>
      </c>
      <c r="W29" s="30">
        <v>14420.69</v>
      </c>
      <c r="X29" s="27">
        <v>8.61</v>
      </c>
      <c r="Y29" s="27" t="s">
        <v>55</v>
      </c>
      <c r="Z29" s="29">
        <v>25</v>
      </c>
      <c r="AA29" s="30">
        <v>25881.14</v>
      </c>
      <c r="AB29" s="29">
        <v>0.96251673360107104</v>
      </c>
      <c r="AC29" s="30">
        <v>18503.36</v>
      </c>
      <c r="AD29" s="30">
        <v>115.82883534136499</v>
      </c>
      <c r="AE29" s="27">
        <v>583.5</v>
      </c>
      <c r="AF29" s="29">
        <v>1</v>
      </c>
      <c r="AG29" s="30">
        <v>7261.9511646586398</v>
      </c>
      <c r="AH29" s="31">
        <f t="shared" si="1"/>
        <v>0.96015424164524421</v>
      </c>
      <c r="AI29" s="31">
        <f t="shared" si="2"/>
        <v>3.7483266398929051E-2</v>
      </c>
      <c r="AJ29" s="31">
        <f t="shared" si="3"/>
        <v>8.0321285140562242E-3</v>
      </c>
      <c r="AK29" s="31">
        <f t="shared" si="4"/>
        <v>0.96251673360107093</v>
      </c>
      <c r="AL29" s="29">
        <f t="shared" si="5"/>
        <v>0</v>
      </c>
      <c r="AM29" s="29">
        <f t="shared" si="6"/>
        <v>583.5</v>
      </c>
      <c r="AN29" s="29">
        <f t="shared" si="7"/>
        <v>1.2802056555269923</v>
      </c>
      <c r="AO29" s="29">
        <f t="shared" si="8"/>
        <v>1.3333333333333333</v>
      </c>
      <c r="AP29" s="31">
        <f t="shared" si="9"/>
        <v>0.96015424164524421</v>
      </c>
      <c r="AQ29" s="31">
        <f t="shared" si="10"/>
        <v>0.96251673360107093</v>
      </c>
      <c r="AR29" s="31">
        <f t="shared" si="11"/>
        <v>0.9241645244215938</v>
      </c>
      <c r="AS29" s="29">
        <f t="shared" si="12"/>
        <v>24.770227576974566</v>
      </c>
      <c r="AT29" s="29">
        <f t="shared" si="13"/>
        <v>9.7214875028897456</v>
      </c>
      <c r="AU29" s="27" t="str">
        <f t="shared" si="14"/>
        <v>Low</v>
      </c>
      <c r="AV29" s="27" t="str">
        <f t="shared" si="15"/>
        <v>Normal</v>
      </c>
      <c r="AW29" s="27"/>
    </row>
    <row r="30" spans="1:49" x14ac:dyDescent="0.25">
      <c r="A30" s="27">
        <v>29</v>
      </c>
      <c r="B30" s="28">
        <v>46164</v>
      </c>
      <c r="C30" s="28" t="str">
        <f t="shared" si="0"/>
        <v>May</v>
      </c>
      <c r="D30" s="27" t="s">
        <v>67</v>
      </c>
      <c r="E30" s="27" t="s">
        <v>98</v>
      </c>
      <c r="F30" s="27" t="s">
        <v>126</v>
      </c>
      <c r="G30" s="27" t="s">
        <v>78</v>
      </c>
      <c r="H30" s="27" t="s">
        <v>124</v>
      </c>
      <c r="I30" s="27" t="s">
        <v>135</v>
      </c>
      <c r="J30" s="27" t="s">
        <v>132</v>
      </c>
      <c r="K30" s="27">
        <v>666</v>
      </c>
      <c r="L30" s="27">
        <v>548</v>
      </c>
      <c r="M30" s="27">
        <v>501</v>
      </c>
      <c r="N30" s="27">
        <v>47</v>
      </c>
      <c r="O30" s="27">
        <v>10</v>
      </c>
      <c r="P30" s="27">
        <v>25</v>
      </c>
      <c r="Q30" s="27" t="s">
        <v>75</v>
      </c>
      <c r="R30" s="27">
        <v>57</v>
      </c>
      <c r="S30" s="27">
        <v>63</v>
      </c>
      <c r="T30" s="29">
        <v>73.2</v>
      </c>
      <c r="U30" s="29">
        <v>1.52</v>
      </c>
      <c r="V30" s="29">
        <v>22.95</v>
      </c>
      <c r="W30" s="30">
        <v>14319.84</v>
      </c>
      <c r="X30" s="27">
        <v>6.6</v>
      </c>
      <c r="Y30" s="27" t="s">
        <v>66</v>
      </c>
      <c r="Z30" s="29">
        <v>13</v>
      </c>
      <c r="AA30" s="30">
        <v>22930.09</v>
      </c>
      <c r="AB30" s="29">
        <v>0.91423357664233595</v>
      </c>
      <c r="AC30" s="30">
        <v>17496.39</v>
      </c>
      <c r="AD30" s="30">
        <v>261.310948905109</v>
      </c>
      <c r="AE30" s="27">
        <v>632.70000000000005</v>
      </c>
      <c r="AF30" s="29">
        <v>0.96048680259206598</v>
      </c>
      <c r="AG30" s="30">
        <v>5172.3890510948904</v>
      </c>
      <c r="AH30" s="31">
        <f t="shared" si="1"/>
        <v>0.82282282282282282</v>
      </c>
      <c r="AI30" s="31">
        <f t="shared" si="2"/>
        <v>8.576642335766424E-2</v>
      </c>
      <c r="AJ30" s="31">
        <f t="shared" si="3"/>
        <v>1.824817518248175E-2</v>
      </c>
      <c r="AK30" s="31">
        <f t="shared" si="4"/>
        <v>0.91423357664233573</v>
      </c>
      <c r="AL30" s="29">
        <f t="shared" si="5"/>
        <v>0.41666666666666669</v>
      </c>
      <c r="AM30" s="29">
        <f t="shared" si="6"/>
        <v>607.70000000000005</v>
      </c>
      <c r="AN30" s="29">
        <f t="shared" si="7"/>
        <v>0.90176073720585803</v>
      </c>
      <c r="AO30" s="29">
        <f t="shared" si="8"/>
        <v>1.0526315789473684</v>
      </c>
      <c r="AP30" s="31">
        <f t="shared" si="9"/>
        <v>0.8566727003455652</v>
      </c>
      <c r="AQ30" s="31">
        <f t="shared" si="10"/>
        <v>0.91423357664233573</v>
      </c>
      <c r="AR30" s="31">
        <f t="shared" si="11"/>
        <v>0.75225225225225234</v>
      </c>
      <c r="AS30" s="29">
        <f t="shared" si="12"/>
        <v>31.927718978102188</v>
      </c>
      <c r="AT30" s="29">
        <f t="shared" si="13"/>
        <v>9.4386661516330115</v>
      </c>
      <c r="AU30" s="27" t="str">
        <f t="shared" si="14"/>
        <v>High</v>
      </c>
      <c r="AV30" s="27" t="str">
        <f t="shared" si="15"/>
        <v>Warning</v>
      </c>
      <c r="AW30" s="27"/>
    </row>
    <row r="31" spans="1:49" x14ac:dyDescent="0.25">
      <c r="A31" s="27">
        <v>30</v>
      </c>
      <c r="B31" s="28">
        <v>46175</v>
      </c>
      <c r="C31" s="28" t="str">
        <f t="shared" si="0"/>
        <v>June</v>
      </c>
      <c r="D31" s="27" t="s">
        <v>47</v>
      </c>
      <c r="E31" s="27" t="s">
        <v>76</v>
      </c>
      <c r="F31" s="27" t="s">
        <v>119</v>
      </c>
      <c r="G31" s="27" t="s">
        <v>63</v>
      </c>
      <c r="H31" s="27" t="s">
        <v>79</v>
      </c>
      <c r="I31" s="27" t="s">
        <v>136</v>
      </c>
      <c r="J31" s="27" t="s">
        <v>74</v>
      </c>
      <c r="K31" s="27">
        <v>776</v>
      </c>
      <c r="L31" s="27">
        <v>714</v>
      </c>
      <c r="M31" s="27">
        <v>650</v>
      </c>
      <c r="N31" s="27">
        <v>64</v>
      </c>
      <c r="O31" s="27">
        <v>20</v>
      </c>
      <c r="P31" s="27">
        <v>63</v>
      </c>
      <c r="Q31" s="27" t="s">
        <v>91</v>
      </c>
      <c r="R31" s="27">
        <v>49</v>
      </c>
      <c r="S31" s="27">
        <v>53</v>
      </c>
      <c r="T31" s="29">
        <v>71.8</v>
      </c>
      <c r="U31" s="29">
        <v>2.33</v>
      </c>
      <c r="V31" s="29">
        <v>24.68</v>
      </c>
      <c r="W31" s="30">
        <v>16064.96</v>
      </c>
      <c r="X31" s="27">
        <v>8.0500000000000007</v>
      </c>
      <c r="Y31" s="27" t="s">
        <v>55</v>
      </c>
      <c r="Z31" s="29">
        <v>24</v>
      </c>
      <c r="AA31" s="30">
        <v>24385.97</v>
      </c>
      <c r="AB31" s="29">
        <v>0.91036414565826296</v>
      </c>
      <c r="AC31" s="30">
        <v>19909.580000000002</v>
      </c>
      <c r="AD31" s="30">
        <v>449.99887955182101</v>
      </c>
      <c r="AE31" s="27">
        <v>633.73333333333301</v>
      </c>
      <c r="AF31" s="29">
        <v>0.90058910162003003</v>
      </c>
      <c r="AG31" s="30">
        <v>4026.3911204481801</v>
      </c>
      <c r="AH31" s="31">
        <f t="shared" si="1"/>
        <v>0.92010309278350511</v>
      </c>
      <c r="AI31" s="31">
        <f t="shared" si="2"/>
        <v>8.9635854341736695E-2</v>
      </c>
      <c r="AJ31" s="31">
        <f t="shared" si="3"/>
        <v>2.8011204481792718E-2</v>
      </c>
      <c r="AK31" s="31">
        <f t="shared" si="4"/>
        <v>0.91036414565826329</v>
      </c>
      <c r="AL31" s="29">
        <f t="shared" si="5"/>
        <v>1.05</v>
      </c>
      <c r="AM31" s="29">
        <f t="shared" si="6"/>
        <v>570.73333333333301</v>
      </c>
      <c r="AN31" s="29">
        <f t="shared" si="7"/>
        <v>1.2510220768601805</v>
      </c>
      <c r="AO31" s="29">
        <f t="shared" si="8"/>
        <v>1.2244897959183674</v>
      </c>
      <c r="AP31" s="31">
        <f t="shared" si="9"/>
        <v>1.021668029435814</v>
      </c>
      <c r="AQ31" s="31">
        <f t="shared" si="10"/>
        <v>0.91036414565826329</v>
      </c>
      <c r="AR31" s="31">
        <f t="shared" si="11"/>
        <v>0.83762886597938224</v>
      </c>
      <c r="AS31" s="29">
        <f t="shared" si="12"/>
        <v>27.884565826330533</v>
      </c>
      <c r="AT31" s="29">
        <f t="shared" si="13"/>
        <v>5.6392032499274229</v>
      </c>
      <c r="AU31" s="27" t="str">
        <f t="shared" si="14"/>
        <v>Medium</v>
      </c>
      <c r="AV31" s="27" t="str">
        <f t="shared" si="15"/>
        <v>Warning</v>
      </c>
      <c r="AW31" s="27"/>
    </row>
    <row r="32" spans="1:49" x14ac:dyDescent="0.25">
      <c r="A32" s="27">
        <v>31</v>
      </c>
      <c r="B32" s="28">
        <v>46095</v>
      </c>
      <c r="C32" s="28" t="str">
        <f t="shared" si="0"/>
        <v>March</v>
      </c>
      <c r="D32" s="27" t="s">
        <v>67</v>
      </c>
      <c r="E32" s="27" t="s">
        <v>48</v>
      </c>
      <c r="F32" s="27" t="s">
        <v>49</v>
      </c>
      <c r="G32" s="27" t="s">
        <v>50</v>
      </c>
      <c r="H32" s="27" t="s">
        <v>79</v>
      </c>
      <c r="I32" s="27" t="s">
        <v>137</v>
      </c>
      <c r="J32" s="27" t="s">
        <v>138</v>
      </c>
      <c r="K32" s="27">
        <v>837</v>
      </c>
      <c r="L32" s="27">
        <v>823</v>
      </c>
      <c r="M32" s="27">
        <v>780</v>
      </c>
      <c r="N32" s="27">
        <v>43</v>
      </c>
      <c r="O32" s="27">
        <v>12</v>
      </c>
      <c r="P32" s="27">
        <v>29</v>
      </c>
      <c r="Q32" s="27" t="s">
        <v>75</v>
      </c>
      <c r="R32" s="27">
        <v>49</v>
      </c>
      <c r="S32" s="27">
        <v>48</v>
      </c>
      <c r="T32" s="29">
        <v>75.2</v>
      </c>
      <c r="U32" s="29">
        <v>1.36</v>
      </c>
      <c r="V32" s="29">
        <v>29.43</v>
      </c>
      <c r="W32" s="30">
        <v>17894.18</v>
      </c>
      <c r="X32" s="27">
        <v>7.96</v>
      </c>
      <c r="Y32" s="27" t="s">
        <v>66</v>
      </c>
      <c r="Z32" s="29">
        <v>25</v>
      </c>
      <c r="AA32" s="30">
        <v>29529.31</v>
      </c>
      <c r="AB32" s="29">
        <v>0.94775212636695005</v>
      </c>
      <c r="AC32" s="30">
        <v>21741.05</v>
      </c>
      <c r="AD32" s="30">
        <v>260.91149453219901</v>
      </c>
      <c r="AE32" s="27">
        <v>683.55</v>
      </c>
      <c r="AF32" s="29">
        <v>0.95757442762051104</v>
      </c>
      <c r="AG32" s="30">
        <v>7527.3485054678004</v>
      </c>
      <c r="AH32" s="31">
        <f t="shared" si="1"/>
        <v>0.98327359617682197</v>
      </c>
      <c r="AI32" s="31">
        <f t="shared" si="2"/>
        <v>5.2247873633049821E-2</v>
      </c>
      <c r="AJ32" s="31">
        <f t="shared" si="3"/>
        <v>1.4580801944106925E-2</v>
      </c>
      <c r="AK32" s="31">
        <f t="shared" si="4"/>
        <v>0.94775212636695016</v>
      </c>
      <c r="AL32" s="29">
        <f t="shared" si="5"/>
        <v>0.48333333333333334</v>
      </c>
      <c r="AM32" s="29">
        <f t="shared" si="6"/>
        <v>654.54999999999995</v>
      </c>
      <c r="AN32" s="29">
        <f t="shared" si="7"/>
        <v>1.2573523794973647</v>
      </c>
      <c r="AO32" s="29">
        <f t="shared" si="8"/>
        <v>1.2244897959183674</v>
      </c>
      <c r="AP32" s="31">
        <f t="shared" si="9"/>
        <v>1.0268377765895145</v>
      </c>
      <c r="AQ32" s="31">
        <f t="shared" si="10"/>
        <v>0.94775212636695016</v>
      </c>
      <c r="AR32" s="31">
        <f t="shared" si="11"/>
        <v>0.9318996415770614</v>
      </c>
      <c r="AS32" s="29">
        <f t="shared" si="12"/>
        <v>26.416828675577158</v>
      </c>
      <c r="AT32" s="29">
        <f t="shared" si="13"/>
        <v>9.1462314768746058</v>
      </c>
      <c r="AU32" s="27" t="str">
        <f t="shared" si="14"/>
        <v>Low</v>
      </c>
      <c r="AV32" s="27" t="str">
        <f t="shared" si="15"/>
        <v>Normal</v>
      </c>
      <c r="AW32" s="27"/>
    </row>
    <row r="33" spans="1:49" x14ac:dyDescent="0.25">
      <c r="A33" s="27">
        <v>32</v>
      </c>
      <c r="B33" s="28">
        <v>46176</v>
      </c>
      <c r="C33" s="28" t="str">
        <f t="shared" si="0"/>
        <v>June</v>
      </c>
      <c r="D33" s="27" t="s">
        <v>47</v>
      </c>
      <c r="E33" s="27" t="s">
        <v>61</v>
      </c>
      <c r="F33" s="27" t="s">
        <v>95</v>
      </c>
      <c r="G33" s="27" t="s">
        <v>50</v>
      </c>
      <c r="H33" s="27" t="s">
        <v>79</v>
      </c>
      <c r="I33" s="27" t="s">
        <v>139</v>
      </c>
      <c r="J33" s="27" t="s">
        <v>140</v>
      </c>
      <c r="K33" s="27">
        <v>737</v>
      </c>
      <c r="L33" s="27">
        <v>777</v>
      </c>
      <c r="M33" s="27">
        <v>741</v>
      </c>
      <c r="N33" s="27">
        <v>36</v>
      </c>
      <c r="O33" s="27">
        <v>13</v>
      </c>
      <c r="P33" s="27">
        <v>32</v>
      </c>
      <c r="Q33" s="27" t="s">
        <v>97</v>
      </c>
      <c r="R33" s="27">
        <v>49</v>
      </c>
      <c r="S33" s="27">
        <v>54</v>
      </c>
      <c r="T33" s="29">
        <v>70.099999999999994</v>
      </c>
      <c r="U33" s="29">
        <v>1.76</v>
      </c>
      <c r="V33" s="29">
        <v>28.46</v>
      </c>
      <c r="W33" s="30">
        <v>17947.48</v>
      </c>
      <c r="X33" s="27">
        <v>8.2200000000000006</v>
      </c>
      <c r="Y33" s="27" t="s">
        <v>66</v>
      </c>
      <c r="Z33" s="29">
        <v>11</v>
      </c>
      <c r="AA33" s="30">
        <v>28385.72</v>
      </c>
      <c r="AB33" s="29">
        <v>0.95366795366795398</v>
      </c>
      <c r="AC33" s="30">
        <v>21902.62</v>
      </c>
      <c r="AD33" s="30">
        <v>300.279588159588</v>
      </c>
      <c r="AE33" s="27">
        <v>601.88333333333298</v>
      </c>
      <c r="AF33" s="29">
        <v>0.94683355024506399</v>
      </c>
      <c r="AG33" s="30">
        <v>6182.8204118404101</v>
      </c>
      <c r="AH33" s="31">
        <f t="shared" si="1"/>
        <v>1.0542740841248304</v>
      </c>
      <c r="AI33" s="31">
        <f t="shared" si="2"/>
        <v>4.633204633204633E-2</v>
      </c>
      <c r="AJ33" s="31">
        <f t="shared" si="3"/>
        <v>1.6731016731016731E-2</v>
      </c>
      <c r="AK33" s="31">
        <f t="shared" si="4"/>
        <v>0.95366795366795365</v>
      </c>
      <c r="AL33" s="29">
        <f t="shared" si="5"/>
        <v>0.53333333333333333</v>
      </c>
      <c r="AM33" s="29">
        <f t="shared" si="6"/>
        <v>569.88333333333298</v>
      </c>
      <c r="AN33" s="29">
        <f t="shared" si="7"/>
        <v>1.3634369607814474</v>
      </c>
      <c r="AO33" s="29">
        <f t="shared" si="8"/>
        <v>1.2244897959183674</v>
      </c>
      <c r="AP33" s="31">
        <f t="shared" si="9"/>
        <v>1.1134735179715154</v>
      </c>
      <c r="AQ33" s="31">
        <f t="shared" si="10"/>
        <v>0.95366795366795365</v>
      </c>
      <c r="AR33" s="31">
        <f t="shared" si="11"/>
        <v>1.0054274084124837</v>
      </c>
      <c r="AS33" s="29">
        <f t="shared" si="12"/>
        <v>28.188700128700127</v>
      </c>
      <c r="AT33" s="29">
        <f t="shared" si="13"/>
        <v>7.9572978273364354</v>
      </c>
      <c r="AU33" s="27" t="str">
        <f t="shared" si="14"/>
        <v>Low</v>
      </c>
      <c r="AV33" s="27" t="str">
        <f t="shared" si="15"/>
        <v>Normal</v>
      </c>
      <c r="AW33" s="27"/>
    </row>
    <row r="34" spans="1:49" x14ac:dyDescent="0.25">
      <c r="A34" s="27">
        <v>33</v>
      </c>
      <c r="B34" s="28">
        <v>46148</v>
      </c>
      <c r="C34" s="28" t="str">
        <f t="shared" si="0"/>
        <v>May</v>
      </c>
      <c r="D34" s="27" t="s">
        <v>47</v>
      </c>
      <c r="E34" s="27" t="s">
        <v>61</v>
      </c>
      <c r="F34" s="27" t="s">
        <v>62</v>
      </c>
      <c r="G34" s="27" t="s">
        <v>50</v>
      </c>
      <c r="H34" s="27" t="s">
        <v>79</v>
      </c>
      <c r="I34" s="27" t="s">
        <v>141</v>
      </c>
      <c r="J34" s="27" t="s">
        <v>53</v>
      </c>
      <c r="K34" s="27">
        <v>702</v>
      </c>
      <c r="L34" s="27">
        <v>693</v>
      </c>
      <c r="M34" s="27">
        <v>656</v>
      </c>
      <c r="N34" s="27">
        <v>37</v>
      </c>
      <c r="O34" s="27">
        <v>10</v>
      </c>
      <c r="P34" s="27">
        <v>8</v>
      </c>
      <c r="Q34" s="27" t="s">
        <v>97</v>
      </c>
      <c r="R34" s="27">
        <v>49</v>
      </c>
      <c r="S34" s="27">
        <v>53</v>
      </c>
      <c r="T34" s="29">
        <v>70.3</v>
      </c>
      <c r="U34" s="29">
        <v>1.9</v>
      </c>
      <c r="V34" s="29">
        <v>24.64</v>
      </c>
      <c r="W34" s="30">
        <v>15534.44</v>
      </c>
      <c r="X34" s="27">
        <v>8.8800000000000008</v>
      </c>
      <c r="Y34" s="27" t="s">
        <v>55</v>
      </c>
      <c r="Z34" s="29">
        <v>20</v>
      </c>
      <c r="AA34" s="30">
        <v>24460.720000000001</v>
      </c>
      <c r="AB34" s="29">
        <v>0.94660894660894701</v>
      </c>
      <c r="AC34" s="30">
        <v>19752.2</v>
      </c>
      <c r="AD34" s="30">
        <v>224.16219336219299</v>
      </c>
      <c r="AE34" s="27">
        <v>573.29999999999995</v>
      </c>
      <c r="AF34" s="29">
        <v>0.98604570033141503</v>
      </c>
      <c r="AG34" s="30">
        <v>4484.3578066378104</v>
      </c>
      <c r="AH34" s="31">
        <f t="shared" si="1"/>
        <v>0.98717948717948723</v>
      </c>
      <c r="AI34" s="31">
        <f t="shared" si="2"/>
        <v>5.3391053391053392E-2</v>
      </c>
      <c r="AJ34" s="31">
        <f t="shared" si="3"/>
        <v>1.443001443001443E-2</v>
      </c>
      <c r="AK34" s="31">
        <f t="shared" si="4"/>
        <v>0.94660894660894657</v>
      </c>
      <c r="AL34" s="29">
        <f t="shared" si="5"/>
        <v>0.13333333333333333</v>
      </c>
      <c r="AM34" s="29">
        <f t="shared" si="6"/>
        <v>565.29999999999995</v>
      </c>
      <c r="AN34" s="29">
        <f t="shared" si="7"/>
        <v>1.2258977534052717</v>
      </c>
      <c r="AO34" s="29">
        <f t="shared" si="8"/>
        <v>1.2244897959183674</v>
      </c>
      <c r="AP34" s="31">
        <f t="shared" si="9"/>
        <v>1.0011498319476386</v>
      </c>
      <c r="AQ34" s="31">
        <f t="shared" si="10"/>
        <v>0.94660894660894657</v>
      </c>
      <c r="AR34" s="31">
        <f t="shared" si="11"/>
        <v>0.934472934472935</v>
      </c>
      <c r="AS34" s="29">
        <f t="shared" si="12"/>
        <v>28.502453102453103</v>
      </c>
      <c r="AT34" s="29">
        <f t="shared" si="13"/>
        <v>6.4709347859131467</v>
      </c>
      <c r="AU34" s="27" t="str">
        <f t="shared" si="14"/>
        <v>Low</v>
      </c>
      <c r="AV34" s="27" t="str">
        <f t="shared" si="15"/>
        <v>Normal</v>
      </c>
      <c r="AW34" s="27"/>
    </row>
    <row r="35" spans="1:49" x14ac:dyDescent="0.25">
      <c r="A35" s="27">
        <v>34</v>
      </c>
      <c r="B35" s="28">
        <v>46115</v>
      </c>
      <c r="C35" s="28" t="str">
        <f t="shared" si="0"/>
        <v>April</v>
      </c>
      <c r="D35" s="27" t="s">
        <v>67</v>
      </c>
      <c r="E35" s="27" t="s">
        <v>61</v>
      </c>
      <c r="F35" s="27" t="s">
        <v>88</v>
      </c>
      <c r="G35" s="27" t="s">
        <v>50</v>
      </c>
      <c r="H35" s="27" t="s">
        <v>124</v>
      </c>
      <c r="I35" s="27" t="s">
        <v>142</v>
      </c>
      <c r="J35" s="27" t="s">
        <v>143</v>
      </c>
      <c r="K35" s="27">
        <v>632</v>
      </c>
      <c r="L35" s="27">
        <v>700</v>
      </c>
      <c r="M35" s="27">
        <v>682</v>
      </c>
      <c r="N35" s="27">
        <v>18</v>
      </c>
      <c r="O35" s="27">
        <v>5</v>
      </c>
      <c r="P35" s="27">
        <v>18</v>
      </c>
      <c r="Q35" s="27" t="s">
        <v>102</v>
      </c>
      <c r="R35" s="27">
        <v>57</v>
      </c>
      <c r="S35" s="27">
        <v>61</v>
      </c>
      <c r="T35" s="29">
        <v>70.900000000000006</v>
      </c>
      <c r="U35" s="29">
        <v>1.66</v>
      </c>
      <c r="V35" s="29">
        <v>22.88</v>
      </c>
      <c r="W35" s="30">
        <v>18357.099999999999</v>
      </c>
      <c r="X35" s="27">
        <v>11.44</v>
      </c>
      <c r="Y35" s="27" t="s">
        <v>110</v>
      </c>
      <c r="Z35" s="29">
        <v>33</v>
      </c>
      <c r="AA35" s="30">
        <v>30720.66</v>
      </c>
      <c r="AB35" s="29">
        <v>0.97428571428571398</v>
      </c>
      <c r="AC35" s="30">
        <v>23711.02</v>
      </c>
      <c r="AD35" s="30">
        <v>131.12214285714299</v>
      </c>
      <c r="AE35" s="27">
        <v>600.4</v>
      </c>
      <c r="AF35" s="29">
        <v>0.97001998667555001</v>
      </c>
      <c r="AG35" s="30">
        <v>6878.5178571428596</v>
      </c>
      <c r="AH35" s="31">
        <f t="shared" si="1"/>
        <v>1.1075949367088607</v>
      </c>
      <c r="AI35" s="31">
        <f t="shared" si="2"/>
        <v>2.5714285714285714E-2</v>
      </c>
      <c r="AJ35" s="31">
        <f t="shared" si="3"/>
        <v>7.1428571428571426E-3</v>
      </c>
      <c r="AK35" s="31">
        <f t="shared" si="4"/>
        <v>0.97428571428571431</v>
      </c>
      <c r="AL35" s="29">
        <f t="shared" si="5"/>
        <v>0.3</v>
      </c>
      <c r="AM35" s="29">
        <f t="shared" si="6"/>
        <v>582.4</v>
      </c>
      <c r="AN35" s="29">
        <f t="shared" si="7"/>
        <v>1.2019230769230769</v>
      </c>
      <c r="AO35" s="29">
        <f t="shared" si="8"/>
        <v>1.0526315789473684</v>
      </c>
      <c r="AP35" s="31">
        <f t="shared" si="9"/>
        <v>1.1418269230769231</v>
      </c>
      <c r="AQ35" s="31">
        <f t="shared" si="10"/>
        <v>0.97428571428571431</v>
      </c>
      <c r="AR35" s="31">
        <f t="shared" si="11"/>
        <v>1.0791139240506336</v>
      </c>
      <c r="AS35" s="29">
        <f t="shared" si="12"/>
        <v>33.872885714285715</v>
      </c>
      <c r="AT35" s="29">
        <f t="shared" si="13"/>
        <v>9.8264540816326562</v>
      </c>
      <c r="AU35" s="27" t="str">
        <f t="shared" si="14"/>
        <v>Medium</v>
      </c>
      <c r="AV35" s="27" t="str">
        <f t="shared" si="15"/>
        <v>Normal</v>
      </c>
      <c r="AW35" s="27"/>
    </row>
    <row r="36" spans="1:49" x14ac:dyDescent="0.25">
      <c r="A36" s="27">
        <v>35</v>
      </c>
      <c r="B36" s="28">
        <v>46097</v>
      </c>
      <c r="C36" s="28" t="str">
        <f t="shared" si="0"/>
        <v>March</v>
      </c>
      <c r="D36" s="27" t="s">
        <v>67</v>
      </c>
      <c r="E36" s="27" t="s">
        <v>61</v>
      </c>
      <c r="F36" s="27" t="s">
        <v>62</v>
      </c>
      <c r="G36" s="27" t="s">
        <v>78</v>
      </c>
      <c r="H36" s="27" t="s">
        <v>51</v>
      </c>
      <c r="I36" s="27" t="s">
        <v>144</v>
      </c>
      <c r="J36" s="27" t="s">
        <v>101</v>
      </c>
      <c r="K36" s="27">
        <v>916</v>
      </c>
      <c r="L36" s="27">
        <v>825</v>
      </c>
      <c r="M36" s="27">
        <v>785</v>
      </c>
      <c r="N36" s="27">
        <v>40</v>
      </c>
      <c r="O36" s="27">
        <v>7</v>
      </c>
      <c r="P36" s="27">
        <v>5</v>
      </c>
      <c r="Q36" s="27" t="s">
        <v>54</v>
      </c>
      <c r="R36" s="27">
        <v>42</v>
      </c>
      <c r="S36" s="27">
        <v>42</v>
      </c>
      <c r="T36" s="29">
        <v>62.3</v>
      </c>
      <c r="U36" s="29">
        <v>1.63</v>
      </c>
      <c r="V36" s="29">
        <v>31.23</v>
      </c>
      <c r="W36" s="30">
        <v>15408.88</v>
      </c>
      <c r="X36" s="27">
        <v>8.4499999999999993</v>
      </c>
      <c r="Y36" s="27" t="s">
        <v>110</v>
      </c>
      <c r="Z36" s="29">
        <v>7</v>
      </c>
      <c r="AA36" s="30">
        <v>25039.439999999999</v>
      </c>
      <c r="AB36" s="29">
        <v>0.95151515151515198</v>
      </c>
      <c r="AC36" s="30">
        <v>19492.45</v>
      </c>
      <c r="AD36" s="30">
        <v>130.74201212121201</v>
      </c>
      <c r="AE36" s="27">
        <v>641.20000000000005</v>
      </c>
      <c r="AF36" s="29">
        <v>0.99220212102308203</v>
      </c>
      <c r="AG36" s="30">
        <v>5416.2479878787899</v>
      </c>
      <c r="AH36" s="31">
        <f t="shared" si="1"/>
        <v>0.9006550218340611</v>
      </c>
      <c r="AI36" s="31">
        <f t="shared" si="2"/>
        <v>4.8484848484848485E-2</v>
      </c>
      <c r="AJ36" s="31">
        <f t="shared" si="3"/>
        <v>8.4848484848484857E-3</v>
      </c>
      <c r="AK36" s="31">
        <f t="shared" si="4"/>
        <v>0.95151515151515154</v>
      </c>
      <c r="AL36" s="29">
        <f t="shared" si="5"/>
        <v>8.3333333333333329E-2</v>
      </c>
      <c r="AM36" s="29">
        <f t="shared" si="6"/>
        <v>636.20000000000005</v>
      </c>
      <c r="AN36" s="29">
        <f t="shared" si="7"/>
        <v>1.2967620245205909</v>
      </c>
      <c r="AO36" s="29">
        <f t="shared" si="8"/>
        <v>1.4285714285714286</v>
      </c>
      <c r="AP36" s="31">
        <f t="shared" si="9"/>
        <v>0.90773341716441358</v>
      </c>
      <c r="AQ36" s="31">
        <f t="shared" si="10"/>
        <v>0.95151515151515154</v>
      </c>
      <c r="AR36" s="31">
        <f t="shared" si="11"/>
        <v>0.85698689956331897</v>
      </c>
      <c r="AS36" s="29">
        <f t="shared" si="12"/>
        <v>23.627212121212121</v>
      </c>
      <c r="AT36" s="29">
        <f t="shared" si="13"/>
        <v>6.5651490762167146</v>
      </c>
      <c r="AU36" s="27" t="str">
        <f t="shared" si="14"/>
        <v>Medium</v>
      </c>
      <c r="AV36" s="27" t="str">
        <f t="shared" si="15"/>
        <v>Normal</v>
      </c>
      <c r="AW36" s="27"/>
    </row>
    <row r="37" spans="1:49" x14ac:dyDescent="0.25">
      <c r="A37" s="27">
        <v>36</v>
      </c>
      <c r="B37" s="28">
        <v>46146</v>
      </c>
      <c r="C37" s="28" t="str">
        <f t="shared" si="0"/>
        <v>May</v>
      </c>
      <c r="D37" s="27" t="s">
        <v>67</v>
      </c>
      <c r="E37" s="27" t="s">
        <v>129</v>
      </c>
      <c r="F37" s="27" t="s">
        <v>130</v>
      </c>
      <c r="G37" s="27" t="s">
        <v>63</v>
      </c>
      <c r="H37" s="27" t="s">
        <v>79</v>
      </c>
      <c r="I37" s="27" t="s">
        <v>145</v>
      </c>
      <c r="J37" s="27" t="s">
        <v>70</v>
      </c>
      <c r="K37" s="27">
        <v>716</v>
      </c>
      <c r="L37" s="27">
        <v>669</v>
      </c>
      <c r="M37" s="27">
        <v>571</v>
      </c>
      <c r="N37" s="27">
        <v>98</v>
      </c>
      <c r="O37" s="27">
        <v>19</v>
      </c>
      <c r="P37" s="27">
        <v>33</v>
      </c>
      <c r="Q37" s="27" t="s">
        <v>54</v>
      </c>
      <c r="R37" s="27">
        <v>49</v>
      </c>
      <c r="S37" s="27">
        <v>54</v>
      </c>
      <c r="T37" s="29">
        <v>80.5</v>
      </c>
      <c r="U37" s="29">
        <v>3.6</v>
      </c>
      <c r="V37" s="29">
        <v>25.03</v>
      </c>
      <c r="W37" s="30">
        <v>15370.95</v>
      </c>
      <c r="X37" s="27">
        <v>9.42</v>
      </c>
      <c r="Y37" s="27" t="s">
        <v>110</v>
      </c>
      <c r="Z37" s="29">
        <v>53</v>
      </c>
      <c r="AA37" s="30">
        <v>21731.79</v>
      </c>
      <c r="AB37" s="29">
        <v>0.85351270553064296</v>
      </c>
      <c r="AC37" s="30">
        <v>19835.22</v>
      </c>
      <c r="AD37" s="30">
        <v>436.544170403588</v>
      </c>
      <c r="AE37" s="27">
        <v>584.73333333333301</v>
      </c>
      <c r="AF37" s="29">
        <v>0.94356401778588495</v>
      </c>
      <c r="AG37" s="30">
        <v>1460.0258295964099</v>
      </c>
      <c r="AH37" s="31">
        <f t="shared" si="1"/>
        <v>0.93435754189944131</v>
      </c>
      <c r="AI37" s="31">
        <f t="shared" si="2"/>
        <v>0.14648729446935724</v>
      </c>
      <c r="AJ37" s="31">
        <f t="shared" si="3"/>
        <v>2.8400597907324365E-2</v>
      </c>
      <c r="AK37" s="31">
        <f t="shared" si="4"/>
        <v>0.85351270553064273</v>
      </c>
      <c r="AL37" s="29">
        <f t="shared" si="5"/>
        <v>0.55000000000000004</v>
      </c>
      <c r="AM37" s="29">
        <f t="shared" si="6"/>
        <v>551.73333333333301</v>
      </c>
      <c r="AN37" s="29">
        <f t="shared" si="7"/>
        <v>1.212542290961818</v>
      </c>
      <c r="AO37" s="29">
        <f t="shared" si="8"/>
        <v>1.2244897959183674</v>
      </c>
      <c r="AP37" s="31">
        <f t="shared" si="9"/>
        <v>0.99024287095215136</v>
      </c>
      <c r="AQ37" s="31">
        <f t="shared" si="10"/>
        <v>0.85351270553064273</v>
      </c>
      <c r="AR37" s="31">
        <f t="shared" si="11"/>
        <v>0.79748603351955327</v>
      </c>
      <c r="AS37" s="29">
        <f t="shared" si="12"/>
        <v>29.649058295964128</v>
      </c>
      <c r="AT37" s="29">
        <f t="shared" si="13"/>
        <v>2.182400343193438</v>
      </c>
      <c r="AU37" s="27" t="str">
        <f t="shared" si="14"/>
        <v>High</v>
      </c>
      <c r="AV37" s="27" t="str">
        <f t="shared" si="15"/>
        <v>Warning</v>
      </c>
      <c r="AW37" s="27"/>
    </row>
    <row r="38" spans="1:49" x14ac:dyDescent="0.25">
      <c r="A38" s="27">
        <v>37</v>
      </c>
      <c r="B38" s="28">
        <v>46139</v>
      </c>
      <c r="C38" s="28" t="str">
        <f t="shared" si="0"/>
        <v>April</v>
      </c>
      <c r="D38" s="27" t="s">
        <v>47</v>
      </c>
      <c r="E38" s="27" t="s">
        <v>98</v>
      </c>
      <c r="F38" s="27" t="s">
        <v>99</v>
      </c>
      <c r="G38" s="27" t="s">
        <v>78</v>
      </c>
      <c r="H38" s="27" t="s">
        <v>68</v>
      </c>
      <c r="I38" s="27" t="s">
        <v>146</v>
      </c>
      <c r="J38" s="27" t="s">
        <v>93</v>
      </c>
      <c r="K38" s="27">
        <v>570</v>
      </c>
      <c r="L38" s="27">
        <v>465</v>
      </c>
      <c r="M38" s="27">
        <v>436</v>
      </c>
      <c r="N38" s="27">
        <v>29</v>
      </c>
      <c r="O38" s="27">
        <v>11</v>
      </c>
      <c r="P38" s="27">
        <v>43</v>
      </c>
      <c r="Q38" s="27" t="s">
        <v>75</v>
      </c>
      <c r="R38" s="27">
        <v>64</v>
      </c>
      <c r="S38" s="27">
        <v>64</v>
      </c>
      <c r="T38" s="29">
        <v>78.599999999999994</v>
      </c>
      <c r="U38" s="29">
        <v>0.96</v>
      </c>
      <c r="V38" s="29">
        <v>18.41</v>
      </c>
      <c r="W38" s="30">
        <v>14618.18</v>
      </c>
      <c r="X38" s="27">
        <v>6.51</v>
      </c>
      <c r="Y38" s="27" t="s">
        <v>110</v>
      </c>
      <c r="Z38" s="29">
        <v>22</v>
      </c>
      <c r="AA38" s="30">
        <v>22382.77</v>
      </c>
      <c r="AB38" s="29">
        <v>0.93763440860215097</v>
      </c>
      <c r="AC38" s="30">
        <v>17713.37</v>
      </c>
      <c r="AD38" s="30">
        <v>345.80640860215101</v>
      </c>
      <c r="AE38" s="27">
        <v>608</v>
      </c>
      <c r="AF38" s="29">
        <v>0.92927631578947401</v>
      </c>
      <c r="AG38" s="30">
        <v>4323.5935913978501</v>
      </c>
      <c r="AH38" s="31">
        <f t="shared" si="1"/>
        <v>0.81578947368421051</v>
      </c>
      <c r="AI38" s="31">
        <f t="shared" si="2"/>
        <v>6.236559139784946E-2</v>
      </c>
      <c r="AJ38" s="31">
        <f t="shared" si="3"/>
        <v>2.3655913978494623E-2</v>
      </c>
      <c r="AK38" s="31">
        <f t="shared" si="4"/>
        <v>0.93763440860215053</v>
      </c>
      <c r="AL38" s="29">
        <f t="shared" si="5"/>
        <v>0.71666666666666667</v>
      </c>
      <c r="AM38" s="29">
        <f t="shared" si="6"/>
        <v>565</v>
      </c>
      <c r="AN38" s="29">
        <f t="shared" si="7"/>
        <v>0.82300884955752207</v>
      </c>
      <c r="AO38" s="29">
        <f t="shared" si="8"/>
        <v>0.9375</v>
      </c>
      <c r="AP38" s="31">
        <f t="shared" si="9"/>
        <v>0.87787610619469025</v>
      </c>
      <c r="AQ38" s="31">
        <f t="shared" si="10"/>
        <v>0.93763440860215053</v>
      </c>
      <c r="AR38" s="31">
        <f t="shared" si="11"/>
        <v>0.76491228070175465</v>
      </c>
      <c r="AS38" s="29">
        <f t="shared" si="12"/>
        <v>38.093268817204297</v>
      </c>
      <c r="AT38" s="29">
        <f t="shared" si="13"/>
        <v>9.2980507341889247</v>
      </c>
      <c r="AU38" s="27" t="str">
        <f t="shared" si="14"/>
        <v>High</v>
      </c>
      <c r="AV38" s="27" t="str">
        <f t="shared" si="15"/>
        <v>Warning</v>
      </c>
      <c r="AW38" s="27"/>
    </row>
    <row r="39" spans="1:49" x14ac:dyDescent="0.25">
      <c r="A39" s="27">
        <v>38</v>
      </c>
      <c r="B39" s="28">
        <v>46081</v>
      </c>
      <c r="C39" s="28" t="str">
        <f t="shared" si="0"/>
        <v>February</v>
      </c>
      <c r="D39" s="27" t="s">
        <v>47</v>
      </c>
      <c r="E39" s="27" t="s">
        <v>61</v>
      </c>
      <c r="F39" s="27" t="s">
        <v>88</v>
      </c>
      <c r="G39" s="27" t="s">
        <v>63</v>
      </c>
      <c r="H39" s="27" t="s">
        <v>57</v>
      </c>
      <c r="I39" s="27" t="s">
        <v>147</v>
      </c>
      <c r="J39" s="27" t="s">
        <v>53</v>
      </c>
      <c r="K39" s="27">
        <v>907</v>
      </c>
      <c r="L39" s="27">
        <v>864</v>
      </c>
      <c r="M39" s="27">
        <v>838</v>
      </c>
      <c r="N39" s="27">
        <v>26</v>
      </c>
      <c r="O39" s="27">
        <v>7</v>
      </c>
      <c r="P39" s="27">
        <v>18</v>
      </c>
      <c r="Q39" s="27" t="s">
        <v>75</v>
      </c>
      <c r="R39" s="27">
        <v>45</v>
      </c>
      <c r="S39" s="27">
        <v>44</v>
      </c>
      <c r="T39" s="29">
        <v>68.7</v>
      </c>
      <c r="U39" s="29">
        <v>2.41</v>
      </c>
      <c r="V39" s="29">
        <v>32.61</v>
      </c>
      <c r="W39" s="30">
        <v>17021.38</v>
      </c>
      <c r="X39" s="27">
        <v>8.77</v>
      </c>
      <c r="Y39" s="27" t="s">
        <v>55</v>
      </c>
      <c r="Z39" s="29">
        <v>17</v>
      </c>
      <c r="AA39" s="30">
        <v>29652.28</v>
      </c>
      <c r="AB39" s="29">
        <v>0.969907407407407</v>
      </c>
      <c r="AC39" s="30">
        <v>21261.37</v>
      </c>
      <c r="AD39" s="30">
        <v>137.90469907407399</v>
      </c>
      <c r="AE39" s="27">
        <v>680.25</v>
      </c>
      <c r="AF39" s="29">
        <v>0.973539140022051</v>
      </c>
      <c r="AG39" s="30">
        <v>8253.0053009259209</v>
      </c>
      <c r="AH39" s="31">
        <f t="shared" si="1"/>
        <v>0.9525909592061742</v>
      </c>
      <c r="AI39" s="31">
        <f t="shared" si="2"/>
        <v>3.0092592592592591E-2</v>
      </c>
      <c r="AJ39" s="31">
        <f t="shared" si="3"/>
        <v>8.1018518518518514E-3</v>
      </c>
      <c r="AK39" s="31">
        <f t="shared" si="4"/>
        <v>0.96990740740740744</v>
      </c>
      <c r="AL39" s="29">
        <f t="shared" si="5"/>
        <v>0.3</v>
      </c>
      <c r="AM39" s="29">
        <f t="shared" si="6"/>
        <v>662.25</v>
      </c>
      <c r="AN39" s="29">
        <f t="shared" si="7"/>
        <v>1.304643261608154</v>
      </c>
      <c r="AO39" s="29">
        <f t="shared" si="8"/>
        <v>1.3333333333333333</v>
      </c>
      <c r="AP39" s="31">
        <f t="shared" si="9"/>
        <v>0.97848244620611557</v>
      </c>
      <c r="AQ39" s="31">
        <f t="shared" si="10"/>
        <v>0.96990740740740744</v>
      </c>
      <c r="AR39" s="31">
        <f t="shared" si="11"/>
        <v>0.92392502756339612</v>
      </c>
      <c r="AS39" s="29">
        <f t="shared" si="12"/>
        <v>24.608067129629628</v>
      </c>
      <c r="AT39" s="29">
        <f t="shared" si="13"/>
        <v>9.5520894686642599</v>
      </c>
      <c r="AU39" s="27" t="str">
        <f t="shared" si="14"/>
        <v>Low</v>
      </c>
      <c r="AV39" s="27" t="str">
        <f t="shared" si="15"/>
        <v>Normal</v>
      </c>
      <c r="AW39" s="27"/>
    </row>
    <row r="40" spans="1:49" x14ac:dyDescent="0.25">
      <c r="A40" s="27">
        <v>39</v>
      </c>
      <c r="B40" s="28">
        <v>46150</v>
      </c>
      <c r="C40" s="28" t="str">
        <f t="shared" si="0"/>
        <v>May</v>
      </c>
      <c r="D40" s="27" t="s">
        <v>47</v>
      </c>
      <c r="E40" s="27" t="s">
        <v>98</v>
      </c>
      <c r="F40" s="27" t="s">
        <v>99</v>
      </c>
      <c r="G40" s="27" t="s">
        <v>63</v>
      </c>
      <c r="H40" s="27" t="s">
        <v>79</v>
      </c>
      <c r="I40" s="27" t="s">
        <v>148</v>
      </c>
      <c r="J40" s="27" t="s">
        <v>132</v>
      </c>
      <c r="K40" s="27">
        <v>858</v>
      </c>
      <c r="L40" s="27">
        <v>825</v>
      </c>
      <c r="M40" s="27">
        <v>783</v>
      </c>
      <c r="N40" s="27">
        <v>42</v>
      </c>
      <c r="O40" s="27">
        <v>10</v>
      </c>
      <c r="P40" s="27">
        <v>12</v>
      </c>
      <c r="Q40" s="27" t="s">
        <v>104</v>
      </c>
      <c r="R40" s="27">
        <v>49</v>
      </c>
      <c r="S40" s="27">
        <v>49</v>
      </c>
      <c r="T40" s="29">
        <v>68.3</v>
      </c>
      <c r="U40" s="29">
        <v>1.75</v>
      </c>
      <c r="V40" s="29">
        <v>27.88</v>
      </c>
      <c r="W40" s="30">
        <v>17577.63</v>
      </c>
      <c r="X40" s="27">
        <v>8.74</v>
      </c>
      <c r="Y40" s="27" t="s">
        <v>66</v>
      </c>
      <c r="Z40" s="29">
        <v>20</v>
      </c>
      <c r="AA40" s="30">
        <v>30633.57</v>
      </c>
      <c r="AB40" s="29">
        <v>0.94909090909090899</v>
      </c>
      <c r="AC40" s="30">
        <v>21761.55</v>
      </c>
      <c r="AD40" s="30">
        <v>213.06218181818201</v>
      </c>
      <c r="AE40" s="27">
        <v>700.7</v>
      </c>
      <c r="AF40" s="29">
        <v>0.98287426858855398</v>
      </c>
      <c r="AG40" s="30">
        <v>8658.9578181818197</v>
      </c>
      <c r="AH40" s="31">
        <f t="shared" si="1"/>
        <v>0.96153846153846156</v>
      </c>
      <c r="AI40" s="31">
        <f t="shared" si="2"/>
        <v>5.0909090909090911E-2</v>
      </c>
      <c r="AJ40" s="31">
        <f t="shared" si="3"/>
        <v>1.2121212121212121E-2</v>
      </c>
      <c r="AK40" s="31">
        <f t="shared" si="4"/>
        <v>0.9490909090909091</v>
      </c>
      <c r="AL40" s="29">
        <f t="shared" si="5"/>
        <v>0.2</v>
      </c>
      <c r="AM40" s="29">
        <f t="shared" si="6"/>
        <v>688.7</v>
      </c>
      <c r="AN40" s="29">
        <f t="shared" si="7"/>
        <v>1.1979091041091912</v>
      </c>
      <c r="AO40" s="29">
        <f t="shared" si="8"/>
        <v>1.2244897959183674</v>
      </c>
      <c r="AP40" s="31">
        <f t="shared" si="9"/>
        <v>0.97829243502250607</v>
      </c>
      <c r="AQ40" s="31">
        <f t="shared" si="10"/>
        <v>0.9490909090909091</v>
      </c>
      <c r="AR40" s="31">
        <f t="shared" si="11"/>
        <v>0.91258741258741216</v>
      </c>
      <c r="AS40" s="29">
        <f t="shared" si="12"/>
        <v>26.377636363636363</v>
      </c>
      <c r="AT40" s="29">
        <f t="shared" si="13"/>
        <v>10.495706446280993</v>
      </c>
      <c r="AU40" s="27" t="str">
        <f t="shared" si="14"/>
        <v>Low</v>
      </c>
      <c r="AV40" s="27" t="str">
        <f t="shared" si="15"/>
        <v>Normal</v>
      </c>
      <c r="AW40" s="27"/>
    </row>
    <row r="41" spans="1:49" x14ac:dyDescent="0.25">
      <c r="A41" s="27">
        <v>40</v>
      </c>
      <c r="B41" s="28">
        <v>46098</v>
      </c>
      <c r="C41" s="28" t="str">
        <f t="shared" si="0"/>
        <v>March</v>
      </c>
      <c r="D41" s="27" t="s">
        <v>47</v>
      </c>
      <c r="E41" s="27" t="s">
        <v>61</v>
      </c>
      <c r="F41" s="27" t="s">
        <v>62</v>
      </c>
      <c r="G41" s="27" t="s">
        <v>50</v>
      </c>
      <c r="H41" s="27" t="s">
        <v>68</v>
      </c>
      <c r="I41" s="27" t="s">
        <v>149</v>
      </c>
      <c r="J41" s="27" t="s">
        <v>150</v>
      </c>
      <c r="K41" s="27">
        <v>683</v>
      </c>
      <c r="L41" s="27">
        <v>745</v>
      </c>
      <c r="M41" s="27">
        <v>708</v>
      </c>
      <c r="N41" s="27">
        <v>37</v>
      </c>
      <c r="O41" s="27">
        <v>12</v>
      </c>
      <c r="P41" s="27">
        <v>0</v>
      </c>
      <c r="Q41" s="27" t="s">
        <v>60</v>
      </c>
      <c r="R41" s="27">
        <v>64</v>
      </c>
      <c r="S41" s="27">
        <v>64</v>
      </c>
      <c r="T41" s="29">
        <v>74.099999999999994</v>
      </c>
      <c r="U41" s="29">
        <v>1.47</v>
      </c>
      <c r="V41" s="29">
        <v>26.87</v>
      </c>
      <c r="W41" s="30">
        <v>23707.279999999999</v>
      </c>
      <c r="X41" s="27">
        <v>10.23</v>
      </c>
      <c r="Y41" s="27" t="s">
        <v>110</v>
      </c>
      <c r="Z41" s="29">
        <v>28</v>
      </c>
      <c r="AA41" s="30">
        <v>37099.29</v>
      </c>
      <c r="AB41" s="29">
        <v>0.950335570469799</v>
      </c>
      <c r="AC41" s="30">
        <v>28552.61</v>
      </c>
      <c r="AD41" s="30">
        <v>381.86222818791902</v>
      </c>
      <c r="AE41" s="27">
        <v>728.53333333333296</v>
      </c>
      <c r="AF41" s="29">
        <v>1</v>
      </c>
      <c r="AG41" s="30">
        <v>8164.8177718120796</v>
      </c>
      <c r="AH41" s="31">
        <f t="shared" si="1"/>
        <v>1.0907759882869692</v>
      </c>
      <c r="AI41" s="31">
        <f t="shared" si="2"/>
        <v>4.9664429530201344E-2</v>
      </c>
      <c r="AJ41" s="31">
        <f t="shared" si="3"/>
        <v>1.6107382550335572E-2</v>
      </c>
      <c r="AK41" s="31">
        <f t="shared" si="4"/>
        <v>0.95033557046979866</v>
      </c>
      <c r="AL41" s="29">
        <f t="shared" si="5"/>
        <v>0</v>
      </c>
      <c r="AM41" s="29">
        <f t="shared" si="6"/>
        <v>728.53333333333296</v>
      </c>
      <c r="AN41" s="29">
        <f t="shared" si="7"/>
        <v>1.0226024890190342</v>
      </c>
      <c r="AO41" s="29">
        <f t="shared" si="8"/>
        <v>0.9375</v>
      </c>
      <c r="AP41" s="31">
        <f t="shared" si="9"/>
        <v>1.0907759882869699</v>
      </c>
      <c r="AQ41" s="31">
        <f t="shared" si="10"/>
        <v>0.95033557046979866</v>
      </c>
      <c r="AR41" s="31">
        <f t="shared" si="11"/>
        <v>1.0366032210834559</v>
      </c>
      <c r="AS41" s="29">
        <f t="shared" si="12"/>
        <v>38.325651006711411</v>
      </c>
      <c r="AT41" s="29">
        <f t="shared" si="13"/>
        <v>10.959486942029637</v>
      </c>
      <c r="AU41" s="27" t="str">
        <f t="shared" si="14"/>
        <v>Medium</v>
      </c>
      <c r="AV41" s="27" t="str">
        <f t="shared" si="15"/>
        <v>Normal</v>
      </c>
      <c r="AW41" s="27"/>
    </row>
    <row r="42" spans="1:49" x14ac:dyDescent="0.25">
      <c r="A42" s="27">
        <v>41</v>
      </c>
      <c r="B42" s="28">
        <v>46183</v>
      </c>
      <c r="C42" s="28" t="str">
        <f t="shared" si="0"/>
        <v>June</v>
      </c>
      <c r="D42" s="27" t="s">
        <v>47</v>
      </c>
      <c r="E42" s="27" t="s">
        <v>129</v>
      </c>
      <c r="F42" s="27" t="s">
        <v>151</v>
      </c>
      <c r="G42" s="27" t="s">
        <v>50</v>
      </c>
      <c r="H42" s="27" t="s">
        <v>79</v>
      </c>
      <c r="I42" s="27" t="s">
        <v>152</v>
      </c>
      <c r="J42" s="27" t="s">
        <v>153</v>
      </c>
      <c r="K42" s="27">
        <v>666</v>
      </c>
      <c r="L42" s="27">
        <v>665</v>
      </c>
      <c r="M42" s="27">
        <v>633</v>
      </c>
      <c r="N42" s="27">
        <v>32</v>
      </c>
      <c r="O42" s="27">
        <v>13</v>
      </c>
      <c r="P42" s="27">
        <v>36</v>
      </c>
      <c r="Q42" s="27" t="s">
        <v>54</v>
      </c>
      <c r="R42" s="27">
        <v>49</v>
      </c>
      <c r="S42" s="27">
        <v>52</v>
      </c>
      <c r="T42" s="29">
        <v>68.7</v>
      </c>
      <c r="U42" s="29">
        <v>1.71</v>
      </c>
      <c r="V42" s="29">
        <v>29.44</v>
      </c>
      <c r="W42" s="30">
        <v>14270.35</v>
      </c>
      <c r="X42" s="27">
        <v>10.06</v>
      </c>
      <c r="Y42" s="27" t="s">
        <v>66</v>
      </c>
      <c r="Z42" s="29">
        <v>18</v>
      </c>
      <c r="AA42" s="30">
        <v>24008.29</v>
      </c>
      <c r="AB42" s="29">
        <v>0.95187969924811999</v>
      </c>
      <c r="AC42" s="30">
        <v>19062.310000000001</v>
      </c>
      <c r="AD42" s="30">
        <v>278.96924812030102</v>
      </c>
      <c r="AE42" s="27">
        <v>543.9</v>
      </c>
      <c r="AF42" s="29">
        <v>0.93381136238279105</v>
      </c>
      <c r="AG42" s="30">
        <v>4667.0107518797004</v>
      </c>
      <c r="AH42" s="31">
        <f t="shared" si="1"/>
        <v>0.99849849849849848</v>
      </c>
      <c r="AI42" s="31">
        <f t="shared" si="2"/>
        <v>4.8120300751879702E-2</v>
      </c>
      <c r="AJ42" s="31">
        <f t="shared" si="3"/>
        <v>1.9548872180451128E-2</v>
      </c>
      <c r="AK42" s="31">
        <f t="shared" si="4"/>
        <v>0.95187969924812033</v>
      </c>
      <c r="AL42" s="29">
        <f t="shared" si="5"/>
        <v>0.6</v>
      </c>
      <c r="AM42" s="29">
        <f t="shared" si="6"/>
        <v>507.9</v>
      </c>
      <c r="AN42" s="29">
        <f t="shared" si="7"/>
        <v>1.309312856861587</v>
      </c>
      <c r="AO42" s="29">
        <f t="shared" si="8"/>
        <v>1.2244897959183674</v>
      </c>
      <c r="AP42" s="31">
        <f t="shared" si="9"/>
        <v>1.0692721664369627</v>
      </c>
      <c r="AQ42" s="31">
        <f t="shared" si="10"/>
        <v>0.95187969924812033</v>
      </c>
      <c r="AR42" s="31">
        <f t="shared" si="11"/>
        <v>0.95045045045045051</v>
      </c>
      <c r="AS42" s="29">
        <f t="shared" si="12"/>
        <v>28.665127819548875</v>
      </c>
      <c r="AT42" s="29">
        <f t="shared" si="13"/>
        <v>7.0180612810221055</v>
      </c>
      <c r="AU42" s="27" t="str">
        <f t="shared" si="14"/>
        <v>Low</v>
      </c>
      <c r="AV42" s="27" t="str">
        <f t="shared" si="15"/>
        <v>Normal</v>
      </c>
      <c r="AW42" s="27"/>
    </row>
    <row r="43" spans="1:49" x14ac:dyDescent="0.25">
      <c r="A43" s="27">
        <v>42</v>
      </c>
      <c r="B43" s="28">
        <v>46042</v>
      </c>
      <c r="C43" s="28" t="str">
        <f t="shared" si="0"/>
        <v>January</v>
      </c>
      <c r="D43" s="27" t="s">
        <v>47</v>
      </c>
      <c r="E43" s="27" t="s">
        <v>98</v>
      </c>
      <c r="F43" s="27" t="s">
        <v>126</v>
      </c>
      <c r="G43" s="27" t="s">
        <v>63</v>
      </c>
      <c r="H43" s="27" t="s">
        <v>68</v>
      </c>
      <c r="I43" s="27" t="s">
        <v>154</v>
      </c>
      <c r="J43" s="27" t="s">
        <v>155</v>
      </c>
      <c r="K43" s="27">
        <v>473</v>
      </c>
      <c r="L43" s="27">
        <v>444</v>
      </c>
      <c r="M43" s="27">
        <v>404</v>
      </c>
      <c r="N43" s="27">
        <v>40</v>
      </c>
      <c r="O43" s="27">
        <v>8</v>
      </c>
      <c r="P43" s="27">
        <v>43</v>
      </c>
      <c r="Q43" s="27" t="s">
        <v>102</v>
      </c>
      <c r="R43" s="27">
        <v>64</v>
      </c>
      <c r="S43" s="27">
        <v>67</v>
      </c>
      <c r="T43" s="29">
        <v>64</v>
      </c>
      <c r="U43" s="29">
        <v>1.68</v>
      </c>
      <c r="V43" s="29">
        <v>15.33</v>
      </c>
      <c r="W43" s="30">
        <v>14398.63</v>
      </c>
      <c r="X43" s="27">
        <v>8.5</v>
      </c>
      <c r="Y43" s="27" t="s">
        <v>71</v>
      </c>
      <c r="Z43" s="29">
        <v>23</v>
      </c>
      <c r="AA43" s="30">
        <v>20656.79</v>
      </c>
      <c r="AB43" s="29">
        <v>0.90990990990991005</v>
      </c>
      <c r="AC43" s="30">
        <v>18361.599999999999</v>
      </c>
      <c r="AD43" s="30">
        <v>259.43477477477501</v>
      </c>
      <c r="AE43" s="27">
        <v>504.53333333333302</v>
      </c>
      <c r="AF43" s="29">
        <v>0.91477272727272696</v>
      </c>
      <c r="AG43" s="30">
        <v>2035.7552252252301</v>
      </c>
      <c r="AH43" s="31">
        <f t="shared" si="1"/>
        <v>0.93868921775898517</v>
      </c>
      <c r="AI43" s="31">
        <f t="shared" si="2"/>
        <v>9.0090090090090086E-2</v>
      </c>
      <c r="AJ43" s="31">
        <f t="shared" si="3"/>
        <v>1.8018018018018018E-2</v>
      </c>
      <c r="AK43" s="31">
        <f t="shared" si="4"/>
        <v>0.90990990990990994</v>
      </c>
      <c r="AL43" s="29">
        <f t="shared" si="5"/>
        <v>0.71666666666666667</v>
      </c>
      <c r="AM43" s="29">
        <f t="shared" si="6"/>
        <v>461.53333333333302</v>
      </c>
      <c r="AN43" s="29">
        <f t="shared" si="7"/>
        <v>0.96201068900765629</v>
      </c>
      <c r="AO43" s="29">
        <f t="shared" si="8"/>
        <v>0.9375</v>
      </c>
      <c r="AP43" s="31">
        <f t="shared" si="9"/>
        <v>1.0261447349415</v>
      </c>
      <c r="AQ43" s="31">
        <f t="shared" si="10"/>
        <v>0.90990990990990994</v>
      </c>
      <c r="AR43" s="31">
        <f t="shared" si="11"/>
        <v>0.85412262156448238</v>
      </c>
      <c r="AS43" s="29">
        <f t="shared" si="12"/>
        <v>41.354954954954948</v>
      </c>
      <c r="AT43" s="29">
        <f t="shared" si="13"/>
        <v>4.5850342910478155</v>
      </c>
      <c r="AU43" s="27" t="str">
        <f t="shared" si="14"/>
        <v>High</v>
      </c>
      <c r="AV43" s="27" t="str">
        <f t="shared" si="15"/>
        <v>Warning</v>
      </c>
      <c r="AW43" s="27"/>
    </row>
    <row r="44" spans="1:49" x14ac:dyDescent="0.25">
      <c r="A44" s="27">
        <v>43</v>
      </c>
      <c r="B44" s="28">
        <v>46039</v>
      </c>
      <c r="C44" s="28" t="str">
        <f t="shared" si="0"/>
        <v>January</v>
      </c>
      <c r="D44" s="27" t="s">
        <v>67</v>
      </c>
      <c r="E44" s="27" t="s">
        <v>129</v>
      </c>
      <c r="F44" s="27" t="s">
        <v>130</v>
      </c>
      <c r="G44" s="27" t="s">
        <v>50</v>
      </c>
      <c r="H44" s="27" t="s">
        <v>51</v>
      </c>
      <c r="I44" s="27" t="s">
        <v>156</v>
      </c>
      <c r="J44" s="27" t="s">
        <v>86</v>
      </c>
      <c r="K44" s="27">
        <v>875</v>
      </c>
      <c r="L44" s="27">
        <v>838</v>
      </c>
      <c r="M44" s="27">
        <v>724</v>
      </c>
      <c r="N44" s="27">
        <v>114</v>
      </c>
      <c r="O44" s="27">
        <v>47</v>
      </c>
      <c r="P44" s="27">
        <v>50</v>
      </c>
      <c r="Q44" s="27" t="s">
        <v>104</v>
      </c>
      <c r="R44" s="27">
        <v>42</v>
      </c>
      <c r="S44" s="27">
        <v>46</v>
      </c>
      <c r="T44" s="29">
        <v>66.2</v>
      </c>
      <c r="U44" s="29">
        <v>3.1</v>
      </c>
      <c r="V44" s="29">
        <v>26.31</v>
      </c>
      <c r="W44" s="30">
        <v>15397.67</v>
      </c>
      <c r="X44" s="27">
        <v>9.9</v>
      </c>
      <c r="Y44" s="27" t="s">
        <v>71</v>
      </c>
      <c r="Z44" s="29">
        <v>52</v>
      </c>
      <c r="AA44" s="30">
        <v>22611.07</v>
      </c>
      <c r="AB44" s="29">
        <v>0.86396181384248205</v>
      </c>
      <c r="AC44" s="30">
        <v>20089.46</v>
      </c>
      <c r="AD44" s="30">
        <v>863.59247016706399</v>
      </c>
      <c r="AE44" s="27">
        <v>612.5</v>
      </c>
      <c r="AF44" s="29">
        <v>0.91836734693877597</v>
      </c>
      <c r="AG44" s="30">
        <v>1658.01752983294</v>
      </c>
      <c r="AH44" s="31">
        <f t="shared" si="1"/>
        <v>0.95771428571428574</v>
      </c>
      <c r="AI44" s="31">
        <f t="shared" si="2"/>
        <v>0.13603818615751789</v>
      </c>
      <c r="AJ44" s="31">
        <f t="shared" si="3"/>
        <v>5.6085918854415273E-2</v>
      </c>
      <c r="AK44" s="31">
        <f t="shared" si="4"/>
        <v>0.86396181384248205</v>
      </c>
      <c r="AL44" s="29">
        <f t="shared" si="5"/>
        <v>0.83333333333333337</v>
      </c>
      <c r="AM44" s="29">
        <f t="shared" si="6"/>
        <v>562.5</v>
      </c>
      <c r="AN44" s="29">
        <f t="shared" si="7"/>
        <v>1.4897777777777779</v>
      </c>
      <c r="AO44" s="29">
        <f t="shared" si="8"/>
        <v>1.4285714285714286</v>
      </c>
      <c r="AP44" s="31">
        <f t="shared" si="9"/>
        <v>1.0428444444444445</v>
      </c>
      <c r="AQ44" s="31">
        <f t="shared" si="10"/>
        <v>0.86396181384248205</v>
      </c>
      <c r="AR44" s="31">
        <f t="shared" si="11"/>
        <v>0.82742857142857174</v>
      </c>
      <c r="AS44" s="29">
        <f t="shared" si="12"/>
        <v>23.973102625298328</v>
      </c>
      <c r="AT44" s="29">
        <f t="shared" si="13"/>
        <v>1.978541205051241</v>
      </c>
      <c r="AU44" s="27" t="str">
        <f t="shared" si="14"/>
        <v>High</v>
      </c>
      <c r="AV44" s="27" t="str">
        <f t="shared" si="15"/>
        <v>Warning</v>
      </c>
      <c r="AW44" s="27"/>
    </row>
    <row r="45" spans="1:49" x14ac:dyDescent="0.25">
      <c r="A45" s="27">
        <v>44</v>
      </c>
      <c r="B45" s="28">
        <v>46198</v>
      </c>
      <c r="C45" s="28" t="str">
        <f t="shared" si="0"/>
        <v>June</v>
      </c>
      <c r="D45" s="27" t="s">
        <v>67</v>
      </c>
      <c r="E45" s="27" t="s">
        <v>76</v>
      </c>
      <c r="F45" s="27" t="s">
        <v>113</v>
      </c>
      <c r="G45" s="27" t="s">
        <v>50</v>
      </c>
      <c r="H45" s="27" t="s">
        <v>79</v>
      </c>
      <c r="I45" s="27" t="s">
        <v>157</v>
      </c>
      <c r="J45" s="27" t="s">
        <v>138</v>
      </c>
      <c r="K45" s="27">
        <v>682</v>
      </c>
      <c r="L45" s="27">
        <v>705</v>
      </c>
      <c r="M45" s="27">
        <v>676</v>
      </c>
      <c r="N45" s="27">
        <v>29</v>
      </c>
      <c r="O45" s="27">
        <v>12</v>
      </c>
      <c r="P45" s="27">
        <v>26</v>
      </c>
      <c r="Q45" s="27" t="s">
        <v>54</v>
      </c>
      <c r="R45" s="27">
        <v>49</v>
      </c>
      <c r="S45" s="27">
        <v>51</v>
      </c>
      <c r="T45" s="29">
        <v>73.599999999999994</v>
      </c>
      <c r="U45" s="29">
        <v>2.0299999999999998</v>
      </c>
      <c r="V45" s="29">
        <v>28.08</v>
      </c>
      <c r="W45" s="30">
        <v>16123.86</v>
      </c>
      <c r="X45" s="27">
        <v>9.33</v>
      </c>
      <c r="Y45" s="27" t="s">
        <v>66</v>
      </c>
      <c r="Z45" s="29">
        <v>33</v>
      </c>
      <c r="AA45" s="30">
        <v>26170.5</v>
      </c>
      <c r="AB45" s="29">
        <v>0.95886524822694996</v>
      </c>
      <c r="AC45" s="30">
        <v>20575.080000000002</v>
      </c>
      <c r="AD45" s="30">
        <v>274.44868085106401</v>
      </c>
      <c r="AE45" s="27">
        <v>556.96666666666704</v>
      </c>
      <c r="AF45" s="29">
        <v>0.95331857083009197</v>
      </c>
      <c r="AG45" s="30">
        <v>5320.97131914893</v>
      </c>
      <c r="AH45" s="31">
        <f t="shared" si="1"/>
        <v>1.033724340175953</v>
      </c>
      <c r="AI45" s="31">
        <f t="shared" si="2"/>
        <v>4.1134751773049642E-2</v>
      </c>
      <c r="AJ45" s="31">
        <f t="shared" si="3"/>
        <v>1.7021276595744681E-2</v>
      </c>
      <c r="AK45" s="31">
        <f t="shared" si="4"/>
        <v>0.95886524822695041</v>
      </c>
      <c r="AL45" s="29">
        <f t="shared" si="5"/>
        <v>0.43333333333333335</v>
      </c>
      <c r="AM45" s="29">
        <f t="shared" si="6"/>
        <v>530.96666666666704</v>
      </c>
      <c r="AN45" s="29">
        <f t="shared" si="7"/>
        <v>1.3277669659112301</v>
      </c>
      <c r="AO45" s="29">
        <f t="shared" si="8"/>
        <v>1.2244897959183674</v>
      </c>
      <c r="AP45" s="31">
        <f t="shared" si="9"/>
        <v>1.0843430221608379</v>
      </c>
      <c r="AQ45" s="31">
        <f t="shared" si="10"/>
        <v>0.95886524822695041</v>
      </c>
      <c r="AR45" s="31">
        <f t="shared" si="11"/>
        <v>0.9912023460410555</v>
      </c>
      <c r="AS45" s="29">
        <f t="shared" si="12"/>
        <v>29.184510638297876</v>
      </c>
      <c r="AT45" s="29">
        <f t="shared" si="13"/>
        <v>7.5474770484381981</v>
      </c>
      <c r="AU45" s="27" t="str">
        <f t="shared" si="14"/>
        <v>Medium</v>
      </c>
      <c r="AV45" s="27" t="str">
        <f t="shared" si="15"/>
        <v>Normal</v>
      </c>
      <c r="AW45" s="27"/>
    </row>
    <row r="46" spans="1:49" x14ac:dyDescent="0.25">
      <c r="A46" s="27">
        <v>45</v>
      </c>
      <c r="B46" s="28">
        <v>46082</v>
      </c>
      <c r="C46" s="28" t="str">
        <f t="shared" si="0"/>
        <v>March</v>
      </c>
      <c r="D46" s="27" t="s">
        <v>67</v>
      </c>
      <c r="E46" s="27" t="s">
        <v>98</v>
      </c>
      <c r="F46" s="27" t="s">
        <v>126</v>
      </c>
      <c r="G46" s="27" t="s">
        <v>50</v>
      </c>
      <c r="H46" s="27" t="s">
        <v>68</v>
      </c>
      <c r="I46" s="27" t="s">
        <v>158</v>
      </c>
      <c r="J46" s="27" t="s">
        <v>101</v>
      </c>
      <c r="K46" s="27">
        <v>483</v>
      </c>
      <c r="L46" s="27">
        <v>481</v>
      </c>
      <c r="M46" s="27">
        <v>445</v>
      </c>
      <c r="N46" s="27">
        <v>36</v>
      </c>
      <c r="O46" s="27">
        <v>10</v>
      </c>
      <c r="P46" s="27">
        <v>16</v>
      </c>
      <c r="Q46" s="27" t="s">
        <v>54</v>
      </c>
      <c r="R46" s="27">
        <v>64</v>
      </c>
      <c r="S46" s="27">
        <v>65</v>
      </c>
      <c r="T46" s="29">
        <v>65.5</v>
      </c>
      <c r="U46" s="29">
        <v>2.46</v>
      </c>
      <c r="V46" s="29">
        <v>15</v>
      </c>
      <c r="W46" s="30">
        <v>14818.45</v>
      </c>
      <c r="X46" s="27">
        <v>8.36</v>
      </c>
      <c r="Y46" s="27" t="s">
        <v>66</v>
      </c>
      <c r="Z46" s="29">
        <v>25</v>
      </c>
      <c r="AA46" s="30">
        <v>23073.360000000001</v>
      </c>
      <c r="AB46" s="29">
        <v>0.92515592515592504</v>
      </c>
      <c r="AC46" s="30">
        <v>18715.45</v>
      </c>
      <c r="AD46" s="30">
        <v>308.07588357588401</v>
      </c>
      <c r="AE46" s="27">
        <v>515.20000000000005</v>
      </c>
      <c r="AF46" s="29">
        <v>0.96894409937888204</v>
      </c>
      <c r="AG46" s="30">
        <v>4049.8341164241201</v>
      </c>
      <c r="AH46" s="31">
        <f t="shared" si="1"/>
        <v>0.99585921325051763</v>
      </c>
      <c r="AI46" s="31">
        <f t="shared" si="2"/>
        <v>7.4844074844074848E-2</v>
      </c>
      <c r="AJ46" s="31">
        <f t="shared" si="3"/>
        <v>2.0790020790020791E-2</v>
      </c>
      <c r="AK46" s="31">
        <f t="shared" si="4"/>
        <v>0.92515592515592515</v>
      </c>
      <c r="AL46" s="29">
        <f t="shared" si="5"/>
        <v>0.26666666666666666</v>
      </c>
      <c r="AM46" s="29">
        <f t="shared" si="6"/>
        <v>499.20000000000005</v>
      </c>
      <c r="AN46" s="29">
        <f t="shared" si="7"/>
        <v>0.96354166666666663</v>
      </c>
      <c r="AO46" s="29">
        <f t="shared" si="8"/>
        <v>0.9375</v>
      </c>
      <c r="AP46" s="31">
        <f t="shared" si="9"/>
        <v>1.0277777777777777</v>
      </c>
      <c r="AQ46" s="31">
        <f t="shared" si="10"/>
        <v>0.92515592515592515</v>
      </c>
      <c r="AR46" s="31">
        <f t="shared" si="11"/>
        <v>0.92132505175983426</v>
      </c>
      <c r="AS46" s="29">
        <f t="shared" si="12"/>
        <v>38.909459459459462</v>
      </c>
      <c r="AT46" s="29">
        <f t="shared" si="13"/>
        <v>8.4196135476592939</v>
      </c>
      <c r="AU46" s="27" t="str">
        <f t="shared" si="14"/>
        <v>Low</v>
      </c>
      <c r="AV46" s="27" t="str">
        <f t="shared" si="15"/>
        <v>Normal</v>
      </c>
      <c r="AW46" s="27"/>
    </row>
    <row r="47" spans="1:49" x14ac:dyDescent="0.25">
      <c r="A47" s="27">
        <v>46</v>
      </c>
      <c r="B47" s="28">
        <v>46079</v>
      </c>
      <c r="C47" s="28" t="str">
        <f t="shared" si="0"/>
        <v>February</v>
      </c>
      <c r="D47" s="27" t="s">
        <v>47</v>
      </c>
      <c r="E47" s="27" t="s">
        <v>76</v>
      </c>
      <c r="F47" s="27" t="s">
        <v>119</v>
      </c>
      <c r="G47" s="27" t="s">
        <v>63</v>
      </c>
      <c r="H47" s="27" t="s">
        <v>68</v>
      </c>
      <c r="I47" s="27" t="s">
        <v>159</v>
      </c>
      <c r="J47" s="27" t="s">
        <v>150</v>
      </c>
      <c r="K47" s="27">
        <v>572</v>
      </c>
      <c r="L47" s="27">
        <v>581</v>
      </c>
      <c r="M47" s="27">
        <v>526</v>
      </c>
      <c r="N47" s="27">
        <v>55</v>
      </c>
      <c r="O47" s="27">
        <v>18</v>
      </c>
      <c r="P47" s="27">
        <v>18</v>
      </c>
      <c r="Q47" s="27" t="s">
        <v>104</v>
      </c>
      <c r="R47" s="27">
        <v>64</v>
      </c>
      <c r="S47" s="27">
        <v>72</v>
      </c>
      <c r="T47" s="29">
        <v>70.8</v>
      </c>
      <c r="U47" s="29">
        <v>2.37</v>
      </c>
      <c r="V47" s="29">
        <v>21.83</v>
      </c>
      <c r="W47" s="30">
        <v>17753.599999999999</v>
      </c>
      <c r="X47" s="27">
        <v>9.32</v>
      </c>
      <c r="Y47" s="27" t="s">
        <v>55</v>
      </c>
      <c r="Z47" s="29">
        <v>24</v>
      </c>
      <c r="AA47" s="30">
        <v>27361.11</v>
      </c>
      <c r="AB47" s="29">
        <v>0.90533562822719504</v>
      </c>
      <c r="AC47" s="30">
        <v>22144.07</v>
      </c>
      <c r="AD47" s="30">
        <v>550.02547332185895</v>
      </c>
      <c r="AE47" s="27">
        <v>610.13333333333298</v>
      </c>
      <c r="AF47" s="29">
        <v>0.97049825174825199</v>
      </c>
      <c r="AG47" s="30">
        <v>4667.0145266781401</v>
      </c>
      <c r="AH47" s="31">
        <f t="shared" si="1"/>
        <v>1.0157342657342658</v>
      </c>
      <c r="AI47" s="31">
        <f t="shared" si="2"/>
        <v>9.4664371772805511E-2</v>
      </c>
      <c r="AJ47" s="31">
        <f t="shared" si="3"/>
        <v>3.098106712564544E-2</v>
      </c>
      <c r="AK47" s="31">
        <f t="shared" si="4"/>
        <v>0.90533562822719449</v>
      </c>
      <c r="AL47" s="29">
        <f t="shared" si="5"/>
        <v>0.3</v>
      </c>
      <c r="AM47" s="29">
        <f t="shared" si="6"/>
        <v>592.13333333333298</v>
      </c>
      <c r="AN47" s="29">
        <f t="shared" si="7"/>
        <v>0.98119792839450637</v>
      </c>
      <c r="AO47" s="29">
        <f t="shared" si="8"/>
        <v>0.9375</v>
      </c>
      <c r="AP47" s="31">
        <f t="shared" si="9"/>
        <v>1.0466111236208069</v>
      </c>
      <c r="AQ47" s="31">
        <f t="shared" si="10"/>
        <v>0.90533562822719449</v>
      </c>
      <c r="AR47" s="31">
        <f t="shared" si="11"/>
        <v>0.91958041958042047</v>
      </c>
      <c r="AS47" s="29">
        <f t="shared" si="12"/>
        <v>38.113717728055079</v>
      </c>
      <c r="AT47" s="29">
        <f t="shared" si="13"/>
        <v>8.03272724040988</v>
      </c>
      <c r="AU47" s="27" t="str">
        <f t="shared" si="14"/>
        <v>Medium</v>
      </c>
      <c r="AV47" s="27" t="str">
        <f t="shared" si="15"/>
        <v>Warning</v>
      </c>
      <c r="AW47" s="27"/>
    </row>
    <row r="48" spans="1:49" x14ac:dyDescent="0.25">
      <c r="A48" s="27">
        <v>47</v>
      </c>
      <c r="B48" s="28">
        <v>46133</v>
      </c>
      <c r="C48" s="28" t="str">
        <f t="shared" si="0"/>
        <v>April</v>
      </c>
      <c r="D48" s="27" t="s">
        <v>47</v>
      </c>
      <c r="E48" s="27" t="s">
        <v>48</v>
      </c>
      <c r="F48" s="27" t="s">
        <v>49</v>
      </c>
      <c r="G48" s="27" t="s">
        <v>63</v>
      </c>
      <c r="H48" s="27" t="s">
        <v>57</v>
      </c>
      <c r="I48" s="27" t="s">
        <v>160</v>
      </c>
      <c r="J48" s="27" t="s">
        <v>161</v>
      </c>
      <c r="K48" s="27">
        <v>900</v>
      </c>
      <c r="L48" s="27">
        <v>865</v>
      </c>
      <c r="M48" s="27">
        <v>832</v>
      </c>
      <c r="N48" s="27">
        <v>33</v>
      </c>
      <c r="O48" s="27">
        <v>13</v>
      </c>
      <c r="P48" s="27">
        <v>35</v>
      </c>
      <c r="Q48" s="27" t="s">
        <v>104</v>
      </c>
      <c r="R48" s="27">
        <v>45</v>
      </c>
      <c r="S48" s="27">
        <v>46</v>
      </c>
      <c r="T48" s="29">
        <v>75</v>
      </c>
      <c r="U48" s="29">
        <v>1.83</v>
      </c>
      <c r="V48" s="29">
        <v>27.36</v>
      </c>
      <c r="W48" s="30">
        <v>16866.93</v>
      </c>
      <c r="X48" s="27">
        <v>7.23</v>
      </c>
      <c r="Y48" s="27" t="s">
        <v>110</v>
      </c>
      <c r="Z48" s="29">
        <v>25</v>
      </c>
      <c r="AA48" s="30">
        <v>29664.720000000001</v>
      </c>
      <c r="AB48" s="29">
        <v>0.96184971098265903</v>
      </c>
      <c r="AC48" s="30">
        <v>20366.669999999998</v>
      </c>
      <c r="AD48" s="30">
        <v>253.491433526012</v>
      </c>
      <c r="AE48" s="27">
        <v>675</v>
      </c>
      <c r="AF48" s="29">
        <v>0.94814814814814796</v>
      </c>
      <c r="AG48" s="30">
        <v>9044.5585664739901</v>
      </c>
      <c r="AH48" s="31">
        <f t="shared" si="1"/>
        <v>0.96111111111111114</v>
      </c>
      <c r="AI48" s="31">
        <f t="shared" si="2"/>
        <v>3.8150289017341042E-2</v>
      </c>
      <c r="AJ48" s="31">
        <f t="shared" si="3"/>
        <v>1.5028901734104046E-2</v>
      </c>
      <c r="AK48" s="31">
        <f t="shared" si="4"/>
        <v>0.96184971098265892</v>
      </c>
      <c r="AL48" s="29">
        <f t="shared" si="5"/>
        <v>0.58333333333333337</v>
      </c>
      <c r="AM48" s="29">
        <f t="shared" si="6"/>
        <v>640</v>
      </c>
      <c r="AN48" s="29">
        <f t="shared" si="7"/>
        <v>1.3515625</v>
      </c>
      <c r="AO48" s="29">
        <f t="shared" si="8"/>
        <v>1.3333333333333333</v>
      </c>
      <c r="AP48" s="31">
        <f t="shared" si="9"/>
        <v>1.013671875</v>
      </c>
      <c r="AQ48" s="31">
        <f t="shared" si="10"/>
        <v>0.96184971098265892</v>
      </c>
      <c r="AR48" s="31">
        <f t="shared" si="11"/>
        <v>0.92444444444444418</v>
      </c>
      <c r="AS48" s="29">
        <f t="shared" si="12"/>
        <v>23.545283236994219</v>
      </c>
      <c r="AT48" s="29">
        <f t="shared" si="13"/>
        <v>10.456137071068197</v>
      </c>
      <c r="AU48" s="27" t="str">
        <f t="shared" si="14"/>
        <v>Medium</v>
      </c>
      <c r="AV48" s="27" t="str">
        <f t="shared" si="15"/>
        <v>Normal</v>
      </c>
      <c r="AW48" s="27"/>
    </row>
    <row r="49" spans="1:49" x14ac:dyDescent="0.25">
      <c r="A49" s="27">
        <v>48</v>
      </c>
      <c r="B49" s="28">
        <v>46165</v>
      </c>
      <c r="C49" s="28" t="str">
        <f t="shared" si="0"/>
        <v>May</v>
      </c>
      <c r="D49" s="27" t="s">
        <v>47</v>
      </c>
      <c r="E49" s="27" t="s">
        <v>76</v>
      </c>
      <c r="F49" s="27" t="s">
        <v>113</v>
      </c>
      <c r="G49" s="27" t="s">
        <v>63</v>
      </c>
      <c r="H49" s="27" t="s">
        <v>57</v>
      </c>
      <c r="I49" s="27" t="s">
        <v>162</v>
      </c>
      <c r="J49" s="27" t="s">
        <v>107</v>
      </c>
      <c r="K49" s="27">
        <v>861</v>
      </c>
      <c r="L49" s="27">
        <v>832</v>
      </c>
      <c r="M49" s="27">
        <v>801</v>
      </c>
      <c r="N49" s="27">
        <v>31</v>
      </c>
      <c r="O49" s="27">
        <v>9</v>
      </c>
      <c r="P49" s="27">
        <v>36</v>
      </c>
      <c r="Q49" s="27" t="s">
        <v>97</v>
      </c>
      <c r="R49" s="27">
        <v>45</v>
      </c>
      <c r="S49" s="27">
        <v>44</v>
      </c>
      <c r="T49" s="29">
        <v>71</v>
      </c>
      <c r="U49" s="29">
        <v>2.4300000000000002</v>
      </c>
      <c r="V49" s="29">
        <v>26.92</v>
      </c>
      <c r="W49" s="30">
        <v>17766.77</v>
      </c>
      <c r="X49" s="27">
        <v>8.07</v>
      </c>
      <c r="Y49" s="27" t="s">
        <v>66</v>
      </c>
      <c r="Z49" s="29">
        <v>13</v>
      </c>
      <c r="AA49" s="30">
        <v>27387.200000000001</v>
      </c>
      <c r="AB49" s="29">
        <v>0.96274038461538503</v>
      </c>
      <c r="AC49" s="30">
        <v>21640.55</v>
      </c>
      <c r="AD49" s="30">
        <v>192.18861778846201</v>
      </c>
      <c r="AE49" s="27">
        <v>645.75</v>
      </c>
      <c r="AF49" s="29">
        <v>0.94425087108013905</v>
      </c>
      <c r="AG49" s="30">
        <v>5554.4613822115398</v>
      </c>
      <c r="AH49" s="31">
        <f t="shared" si="1"/>
        <v>0.96631823461091759</v>
      </c>
      <c r="AI49" s="31">
        <f t="shared" si="2"/>
        <v>3.7259615384615384E-2</v>
      </c>
      <c r="AJ49" s="31">
        <f t="shared" si="3"/>
        <v>1.0817307692307692E-2</v>
      </c>
      <c r="AK49" s="31">
        <f t="shared" si="4"/>
        <v>0.96274038461538458</v>
      </c>
      <c r="AL49" s="29">
        <f t="shared" si="5"/>
        <v>0.6</v>
      </c>
      <c r="AM49" s="29">
        <f t="shared" si="6"/>
        <v>609.75</v>
      </c>
      <c r="AN49" s="29">
        <f t="shared" si="7"/>
        <v>1.3644936449364493</v>
      </c>
      <c r="AO49" s="29">
        <f t="shared" si="8"/>
        <v>1.3333333333333333</v>
      </c>
      <c r="AP49" s="31">
        <f t="shared" si="9"/>
        <v>1.0233702337023372</v>
      </c>
      <c r="AQ49" s="31">
        <f t="shared" si="10"/>
        <v>0.96274038461538458</v>
      </c>
      <c r="AR49" s="31">
        <f t="shared" si="11"/>
        <v>0.93031358885017401</v>
      </c>
      <c r="AS49" s="29">
        <f t="shared" si="12"/>
        <v>26.010276442307692</v>
      </c>
      <c r="AT49" s="29">
        <f t="shared" si="13"/>
        <v>6.6760353151581011</v>
      </c>
      <c r="AU49" s="27" t="str">
        <f t="shared" si="14"/>
        <v>Low</v>
      </c>
      <c r="AV49" s="27" t="str">
        <f t="shared" si="15"/>
        <v>Normal</v>
      </c>
      <c r="AW49" s="27"/>
    </row>
    <row r="50" spans="1:49" x14ac:dyDescent="0.25">
      <c r="A50" s="27">
        <v>49</v>
      </c>
      <c r="B50" s="28">
        <v>46094</v>
      </c>
      <c r="C50" s="28" t="str">
        <f t="shared" si="0"/>
        <v>March</v>
      </c>
      <c r="D50" s="27" t="s">
        <v>47</v>
      </c>
      <c r="E50" s="27" t="s">
        <v>61</v>
      </c>
      <c r="F50" s="27" t="s">
        <v>95</v>
      </c>
      <c r="G50" s="27" t="s">
        <v>78</v>
      </c>
      <c r="H50" s="27" t="s">
        <v>57</v>
      </c>
      <c r="I50" s="27" t="s">
        <v>163</v>
      </c>
      <c r="J50" s="27" t="s">
        <v>164</v>
      </c>
      <c r="K50" s="27">
        <v>816</v>
      </c>
      <c r="L50" s="27">
        <v>656</v>
      </c>
      <c r="M50" s="27">
        <v>612</v>
      </c>
      <c r="N50" s="27">
        <v>44</v>
      </c>
      <c r="O50" s="27">
        <v>18</v>
      </c>
      <c r="P50" s="27">
        <v>48</v>
      </c>
      <c r="Q50" s="27" t="s">
        <v>97</v>
      </c>
      <c r="R50" s="27">
        <v>45</v>
      </c>
      <c r="S50" s="27">
        <v>47</v>
      </c>
      <c r="T50" s="29">
        <v>74.5</v>
      </c>
      <c r="U50" s="29">
        <v>1.98</v>
      </c>
      <c r="V50" s="29">
        <v>21.85</v>
      </c>
      <c r="W50" s="30">
        <v>13248.21</v>
      </c>
      <c r="X50" s="27">
        <v>6.99</v>
      </c>
      <c r="Y50" s="27" t="s">
        <v>55</v>
      </c>
      <c r="Z50" s="29">
        <v>21</v>
      </c>
      <c r="AA50" s="30">
        <v>21177.919999999998</v>
      </c>
      <c r="AB50" s="29">
        <v>0.93292682926829296</v>
      </c>
      <c r="AC50" s="30">
        <v>16590.36</v>
      </c>
      <c r="AD50" s="30">
        <v>363.51795731707301</v>
      </c>
      <c r="AE50" s="27">
        <v>612</v>
      </c>
      <c r="AF50" s="29">
        <v>0.92156862745098</v>
      </c>
      <c r="AG50" s="30">
        <v>4224.0420426829196</v>
      </c>
      <c r="AH50" s="31">
        <f t="shared" si="1"/>
        <v>0.80392156862745101</v>
      </c>
      <c r="AI50" s="31">
        <f t="shared" si="2"/>
        <v>6.7073170731707321E-2</v>
      </c>
      <c r="AJ50" s="31">
        <f t="shared" si="3"/>
        <v>2.7439024390243903E-2</v>
      </c>
      <c r="AK50" s="31">
        <f t="shared" si="4"/>
        <v>0.93292682926829273</v>
      </c>
      <c r="AL50" s="29">
        <f t="shared" si="5"/>
        <v>0.8</v>
      </c>
      <c r="AM50" s="29">
        <f t="shared" si="6"/>
        <v>564</v>
      </c>
      <c r="AN50" s="29">
        <f t="shared" si="7"/>
        <v>1.1631205673758864</v>
      </c>
      <c r="AO50" s="29">
        <f t="shared" si="8"/>
        <v>1.3333333333333333</v>
      </c>
      <c r="AP50" s="31">
        <f t="shared" si="9"/>
        <v>0.87234042553191482</v>
      </c>
      <c r="AQ50" s="31">
        <f t="shared" si="10"/>
        <v>0.93292682926829273</v>
      </c>
      <c r="AR50" s="31">
        <f t="shared" si="11"/>
        <v>0.74999999999999967</v>
      </c>
      <c r="AS50" s="29">
        <f t="shared" si="12"/>
        <v>25.290182926829271</v>
      </c>
      <c r="AT50" s="29">
        <f t="shared" si="13"/>
        <v>6.4390884796995724</v>
      </c>
      <c r="AU50" s="27" t="str">
        <f t="shared" si="14"/>
        <v>High</v>
      </c>
      <c r="AV50" s="27" t="str">
        <f t="shared" si="15"/>
        <v>Warning</v>
      </c>
      <c r="AW50" s="27"/>
    </row>
    <row r="51" spans="1:49" x14ac:dyDescent="0.25">
      <c r="A51" s="27">
        <v>50</v>
      </c>
      <c r="B51" s="28">
        <v>46106</v>
      </c>
      <c r="C51" s="28" t="str">
        <f t="shared" si="0"/>
        <v>March</v>
      </c>
      <c r="D51" s="27" t="s">
        <v>47</v>
      </c>
      <c r="E51" s="27" t="s">
        <v>48</v>
      </c>
      <c r="F51" s="27" t="s">
        <v>72</v>
      </c>
      <c r="G51" s="27" t="s">
        <v>50</v>
      </c>
      <c r="H51" s="27" t="s">
        <v>124</v>
      </c>
      <c r="I51" s="27" t="s">
        <v>165</v>
      </c>
      <c r="J51" s="27" t="s">
        <v>140</v>
      </c>
      <c r="K51" s="27">
        <v>589</v>
      </c>
      <c r="L51" s="27">
        <v>625</v>
      </c>
      <c r="M51" s="27">
        <v>605</v>
      </c>
      <c r="N51" s="27">
        <v>20</v>
      </c>
      <c r="O51" s="27">
        <v>4</v>
      </c>
      <c r="P51" s="27">
        <v>0</v>
      </c>
      <c r="Q51" s="27" t="s">
        <v>60</v>
      </c>
      <c r="R51" s="27">
        <v>57</v>
      </c>
      <c r="S51" s="27">
        <v>58</v>
      </c>
      <c r="T51" s="29">
        <v>73.3</v>
      </c>
      <c r="U51" s="29">
        <v>2.56</v>
      </c>
      <c r="V51" s="29">
        <v>23.01</v>
      </c>
      <c r="W51" s="30">
        <v>17243.05</v>
      </c>
      <c r="X51" s="27">
        <v>8.7200000000000006</v>
      </c>
      <c r="Y51" s="27" t="s">
        <v>55</v>
      </c>
      <c r="Z51" s="29">
        <v>20</v>
      </c>
      <c r="AA51" s="30">
        <v>28638.93</v>
      </c>
      <c r="AB51" s="29">
        <v>0.96799999999999997</v>
      </c>
      <c r="AC51" s="30">
        <v>21374.14</v>
      </c>
      <c r="AD51" s="30">
        <v>110.35552</v>
      </c>
      <c r="AE51" s="27">
        <v>559.54999999999995</v>
      </c>
      <c r="AF51" s="29">
        <v>1</v>
      </c>
      <c r="AG51" s="30">
        <v>7154.4344799999999</v>
      </c>
      <c r="AH51" s="31">
        <f t="shared" si="1"/>
        <v>1.0611205432937181</v>
      </c>
      <c r="AI51" s="31">
        <f t="shared" si="2"/>
        <v>3.2000000000000001E-2</v>
      </c>
      <c r="AJ51" s="31">
        <f t="shared" si="3"/>
        <v>6.4000000000000003E-3</v>
      </c>
      <c r="AK51" s="31">
        <f t="shared" si="4"/>
        <v>0.96799999999999997</v>
      </c>
      <c r="AL51" s="29">
        <f t="shared" si="5"/>
        <v>0</v>
      </c>
      <c r="AM51" s="29">
        <f t="shared" si="6"/>
        <v>559.54999999999995</v>
      </c>
      <c r="AN51" s="29">
        <f t="shared" si="7"/>
        <v>1.116968992940756</v>
      </c>
      <c r="AO51" s="29">
        <f t="shared" si="8"/>
        <v>1.0526315789473684</v>
      </c>
      <c r="AP51" s="31">
        <f t="shared" si="9"/>
        <v>1.0611205432937183</v>
      </c>
      <c r="AQ51" s="31">
        <f t="shared" si="10"/>
        <v>0.96799999999999997</v>
      </c>
      <c r="AR51" s="31">
        <f t="shared" si="11"/>
        <v>1.0271646859083192</v>
      </c>
      <c r="AS51" s="29">
        <f t="shared" si="12"/>
        <v>34.198624000000002</v>
      </c>
      <c r="AT51" s="29">
        <f t="shared" si="13"/>
        <v>11.447095168000001</v>
      </c>
      <c r="AU51" s="27" t="str">
        <f t="shared" si="14"/>
        <v>Low</v>
      </c>
      <c r="AV51" s="27" t="str">
        <f t="shared" si="15"/>
        <v>Normal</v>
      </c>
      <c r="AW51" s="27"/>
    </row>
    <row r="52" spans="1:49" x14ac:dyDescent="0.25">
      <c r="A52" s="27">
        <v>51</v>
      </c>
      <c r="B52" s="28">
        <v>46037</v>
      </c>
      <c r="C52" s="28" t="str">
        <f t="shared" si="0"/>
        <v>January</v>
      </c>
      <c r="D52" s="27" t="s">
        <v>47</v>
      </c>
      <c r="E52" s="27" t="s">
        <v>98</v>
      </c>
      <c r="F52" s="27" t="s">
        <v>99</v>
      </c>
      <c r="G52" s="27" t="s">
        <v>78</v>
      </c>
      <c r="H52" s="27" t="s">
        <v>57</v>
      </c>
      <c r="I52" s="27" t="s">
        <v>166</v>
      </c>
      <c r="J52" s="27" t="s">
        <v>59</v>
      </c>
      <c r="K52" s="27">
        <v>828</v>
      </c>
      <c r="L52" s="27">
        <v>659</v>
      </c>
      <c r="M52" s="27">
        <v>630</v>
      </c>
      <c r="N52" s="27">
        <v>29</v>
      </c>
      <c r="O52" s="27">
        <v>11</v>
      </c>
      <c r="P52" s="27">
        <v>31</v>
      </c>
      <c r="Q52" s="27" t="s">
        <v>54</v>
      </c>
      <c r="R52" s="27">
        <v>45</v>
      </c>
      <c r="S52" s="27">
        <v>47</v>
      </c>
      <c r="T52" s="29">
        <v>66.400000000000006</v>
      </c>
      <c r="U52" s="29">
        <v>2.46</v>
      </c>
      <c r="V52" s="29">
        <v>19.920000000000002</v>
      </c>
      <c r="W52" s="30">
        <v>14192.26</v>
      </c>
      <c r="X52" s="27">
        <v>7.99</v>
      </c>
      <c r="Y52" s="27" t="s">
        <v>71</v>
      </c>
      <c r="Z52" s="29">
        <v>43</v>
      </c>
      <c r="AA52" s="30">
        <v>22147.11</v>
      </c>
      <c r="AB52" s="29">
        <v>0.95599393019726897</v>
      </c>
      <c r="AC52" s="30">
        <v>17967.04</v>
      </c>
      <c r="AD52" s="30">
        <v>236.89660091047</v>
      </c>
      <c r="AE52" s="27">
        <v>621</v>
      </c>
      <c r="AF52" s="29">
        <v>0.95008051529790705</v>
      </c>
      <c r="AG52" s="30">
        <v>3943.17339908953</v>
      </c>
      <c r="AH52" s="31">
        <f t="shared" si="1"/>
        <v>0.79589371980676327</v>
      </c>
      <c r="AI52" s="31">
        <f t="shared" si="2"/>
        <v>4.4006069802731411E-2</v>
      </c>
      <c r="AJ52" s="31">
        <f t="shared" si="3"/>
        <v>1.6691957511380879E-2</v>
      </c>
      <c r="AK52" s="31">
        <f t="shared" si="4"/>
        <v>0.95599393019726864</v>
      </c>
      <c r="AL52" s="29">
        <f t="shared" si="5"/>
        <v>0.51666666666666672</v>
      </c>
      <c r="AM52" s="29">
        <f t="shared" si="6"/>
        <v>590</v>
      </c>
      <c r="AN52" s="29">
        <f t="shared" si="7"/>
        <v>1.1169491525423729</v>
      </c>
      <c r="AO52" s="29">
        <f t="shared" si="8"/>
        <v>1.3333333333333333</v>
      </c>
      <c r="AP52" s="31">
        <f t="shared" si="9"/>
        <v>0.83771186440677969</v>
      </c>
      <c r="AQ52" s="31">
        <f t="shared" si="10"/>
        <v>0.95599393019726864</v>
      </c>
      <c r="AR52" s="31">
        <f t="shared" si="11"/>
        <v>0.7608695652173918</v>
      </c>
      <c r="AS52" s="29">
        <f t="shared" si="12"/>
        <v>27.264097116843704</v>
      </c>
      <c r="AT52" s="29">
        <f t="shared" si="13"/>
        <v>5.9835711670554321</v>
      </c>
      <c r="AU52" s="27" t="str">
        <f t="shared" si="14"/>
        <v>High</v>
      </c>
      <c r="AV52" s="27" t="str">
        <f t="shared" si="15"/>
        <v>Warning</v>
      </c>
      <c r="AW52" s="27"/>
    </row>
    <row r="53" spans="1:49" x14ac:dyDescent="0.25">
      <c r="A53" s="27">
        <v>52</v>
      </c>
      <c r="B53" s="28">
        <v>46186</v>
      </c>
      <c r="C53" s="28" t="str">
        <f t="shared" si="0"/>
        <v>June</v>
      </c>
      <c r="D53" s="27" t="s">
        <v>67</v>
      </c>
      <c r="E53" s="27" t="s">
        <v>129</v>
      </c>
      <c r="F53" s="27" t="s">
        <v>167</v>
      </c>
      <c r="G53" s="27" t="s">
        <v>50</v>
      </c>
      <c r="H53" s="27" t="s">
        <v>68</v>
      </c>
      <c r="I53" s="27" t="s">
        <v>168</v>
      </c>
      <c r="J53" s="27" t="s">
        <v>65</v>
      </c>
      <c r="K53" s="27">
        <v>655</v>
      </c>
      <c r="L53" s="27">
        <v>690</v>
      </c>
      <c r="M53" s="27">
        <v>627</v>
      </c>
      <c r="N53" s="27">
        <v>63</v>
      </c>
      <c r="O53" s="27">
        <v>17</v>
      </c>
      <c r="P53" s="27">
        <v>0</v>
      </c>
      <c r="Q53" s="27" t="s">
        <v>60</v>
      </c>
      <c r="R53" s="27">
        <v>64</v>
      </c>
      <c r="S53" s="27">
        <v>65</v>
      </c>
      <c r="T53" s="29">
        <v>69.8</v>
      </c>
      <c r="U53" s="29">
        <v>2.21</v>
      </c>
      <c r="V53" s="29">
        <v>20.03</v>
      </c>
      <c r="W53" s="30">
        <v>22020.93</v>
      </c>
      <c r="X53" s="27">
        <v>8.35</v>
      </c>
      <c r="Y53" s="27" t="s">
        <v>66</v>
      </c>
      <c r="Z53" s="29">
        <v>5</v>
      </c>
      <c r="AA53" s="30">
        <v>31775.3</v>
      </c>
      <c r="AB53" s="29">
        <v>0.90869565217391302</v>
      </c>
      <c r="AC53" s="30">
        <v>25958.7</v>
      </c>
      <c r="AD53" s="30">
        <v>542.54465217391305</v>
      </c>
      <c r="AE53" s="27">
        <v>698.66666666666697</v>
      </c>
      <c r="AF53" s="29">
        <v>1</v>
      </c>
      <c r="AG53" s="30">
        <v>5274.0553478260899</v>
      </c>
      <c r="AH53" s="31">
        <f t="shared" si="1"/>
        <v>1.0534351145038168</v>
      </c>
      <c r="AI53" s="31">
        <f t="shared" si="2"/>
        <v>9.1304347826086957E-2</v>
      </c>
      <c r="AJ53" s="31">
        <f t="shared" si="3"/>
        <v>2.4637681159420291E-2</v>
      </c>
      <c r="AK53" s="31">
        <f t="shared" si="4"/>
        <v>0.90869565217391302</v>
      </c>
      <c r="AL53" s="29">
        <f t="shared" si="5"/>
        <v>0</v>
      </c>
      <c r="AM53" s="29">
        <f t="shared" si="6"/>
        <v>698.66666666666697</v>
      </c>
      <c r="AN53" s="29">
        <f t="shared" si="7"/>
        <v>0.98759541984732779</v>
      </c>
      <c r="AO53" s="29">
        <f t="shared" si="8"/>
        <v>0.9375</v>
      </c>
      <c r="AP53" s="31">
        <f t="shared" si="9"/>
        <v>1.0534351145038163</v>
      </c>
      <c r="AQ53" s="31">
        <f t="shared" si="10"/>
        <v>0.90869565217391302</v>
      </c>
      <c r="AR53" s="31">
        <f t="shared" si="11"/>
        <v>0.95725190839694607</v>
      </c>
      <c r="AS53" s="29">
        <f t="shared" si="12"/>
        <v>37.62130434782609</v>
      </c>
      <c r="AT53" s="29">
        <f t="shared" si="13"/>
        <v>7.6435584751102752</v>
      </c>
      <c r="AU53" s="27" t="str">
        <f t="shared" si="14"/>
        <v>Medium</v>
      </c>
      <c r="AV53" s="27" t="str">
        <f t="shared" si="15"/>
        <v>Warning</v>
      </c>
      <c r="AW53" s="27"/>
    </row>
    <row r="54" spans="1:49" x14ac:dyDescent="0.25">
      <c r="A54" s="27">
        <v>53</v>
      </c>
      <c r="B54" s="28">
        <v>46185</v>
      </c>
      <c r="C54" s="28" t="str">
        <f t="shared" si="0"/>
        <v>June</v>
      </c>
      <c r="D54" s="27" t="s">
        <v>47</v>
      </c>
      <c r="E54" s="27" t="s">
        <v>76</v>
      </c>
      <c r="F54" s="27" t="s">
        <v>113</v>
      </c>
      <c r="G54" s="27" t="s">
        <v>50</v>
      </c>
      <c r="H54" s="27" t="s">
        <v>57</v>
      </c>
      <c r="I54" s="27" t="s">
        <v>169</v>
      </c>
      <c r="J54" s="27" t="s">
        <v>170</v>
      </c>
      <c r="K54" s="27">
        <v>755</v>
      </c>
      <c r="L54" s="27">
        <v>691</v>
      </c>
      <c r="M54" s="27">
        <v>657</v>
      </c>
      <c r="N54" s="27">
        <v>34</v>
      </c>
      <c r="O54" s="27">
        <v>12</v>
      </c>
      <c r="P54" s="27">
        <v>29</v>
      </c>
      <c r="Q54" s="27" t="s">
        <v>102</v>
      </c>
      <c r="R54" s="27">
        <v>45</v>
      </c>
      <c r="S54" s="27">
        <v>48</v>
      </c>
      <c r="T54" s="29">
        <v>69.400000000000006</v>
      </c>
      <c r="U54" s="29">
        <v>2.13</v>
      </c>
      <c r="V54" s="29">
        <v>25.47</v>
      </c>
      <c r="W54" s="30">
        <v>14275.13</v>
      </c>
      <c r="X54" s="27">
        <v>8.51</v>
      </c>
      <c r="Y54" s="27" t="s">
        <v>110</v>
      </c>
      <c r="Z54" s="29">
        <v>28</v>
      </c>
      <c r="AA54" s="30">
        <v>23497.55</v>
      </c>
      <c r="AB54" s="29">
        <v>0.95079594790159205</v>
      </c>
      <c r="AC54" s="30">
        <v>18333.86</v>
      </c>
      <c r="AD54" s="30">
        <v>247.903849493488</v>
      </c>
      <c r="AE54" s="27">
        <v>566.25</v>
      </c>
      <c r="AF54" s="29">
        <v>0.94878587196468001</v>
      </c>
      <c r="AG54" s="30">
        <v>4915.7861505065202</v>
      </c>
      <c r="AH54" s="31">
        <f t="shared" si="1"/>
        <v>0.91523178807947014</v>
      </c>
      <c r="AI54" s="31">
        <f t="shared" si="2"/>
        <v>4.9204052098408106E-2</v>
      </c>
      <c r="AJ54" s="31">
        <f t="shared" si="3"/>
        <v>1.7366136034732273E-2</v>
      </c>
      <c r="AK54" s="31">
        <f t="shared" si="4"/>
        <v>0.95079594790159194</v>
      </c>
      <c r="AL54" s="29">
        <f t="shared" si="5"/>
        <v>0.48333333333333334</v>
      </c>
      <c r="AM54" s="29">
        <f t="shared" si="6"/>
        <v>537.25</v>
      </c>
      <c r="AN54" s="29">
        <f t="shared" si="7"/>
        <v>1.2861796184271754</v>
      </c>
      <c r="AO54" s="29">
        <f t="shared" si="8"/>
        <v>1.3333333333333333</v>
      </c>
      <c r="AP54" s="31">
        <f t="shared" si="9"/>
        <v>0.96463471382038157</v>
      </c>
      <c r="AQ54" s="31">
        <f t="shared" si="10"/>
        <v>0.95079594790159194</v>
      </c>
      <c r="AR54" s="31">
        <f t="shared" si="11"/>
        <v>0.87019867549668883</v>
      </c>
      <c r="AS54" s="29">
        <f t="shared" si="12"/>
        <v>26.532358900144718</v>
      </c>
      <c r="AT54" s="29">
        <f t="shared" si="13"/>
        <v>7.1140175839457598</v>
      </c>
      <c r="AU54" s="27" t="str">
        <f t="shared" si="14"/>
        <v>Medium</v>
      </c>
      <c r="AV54" s="27" t="str">
        <f t="shared" si="15"/>
        <v>Normal</v>
      </c>
      <c r="AW54" s="27"/>
    </row>
    <row r="55" spans="1:49" x14ac:dyDescent="0.25">
      <c r="A55" s="27">
        <v>54</v>
      </c>
      <c r="B55" s="28">
        <v>46183</v>
      </c>
      <c r="C55" s="28" t="str">
        <f t="shared" si="0"/>
        <v>June</v>
      </c>
      <c r="D55" s="27" t="s">
        <v>67</v>
      </c>
      <c r="E55" s="27" t="s">
        <v>98</v>
      </c>
      <c r="F55" s="27" t="s">
        <v>99</v>
      </c>
      <c r="G55" s="27" t="s">
        <v>50</v>
      </c>
      <c r="H55" s="27" t="s">
        <v>79</v>
      </c>
      <c r="I55" s="27" t="s">
        <v>171</v>
      </c>
      <c r="J55" s="27" t="s">
        <v>121</v>
      </c>
      <c r="K55" s="27">
        <v>760</v>
      </c>
      <c r="L55" s="27">
        <v>757</v>
      </c>
      <c r="M55" s="27">
        <v>721</v>
      </c>
      <c r="N55" s="27">
        <v>36</v>
      </c>
      <c r="O55" s="27">
        <v>15</v>
      </c>
      <c r="P55" s="27">
        <v>17</v>
      </c>
      <c r="Q55" s="27" t="s">
        <v>104</v>
      </c>
      <c r="R55" s="27">
        <v>49</v>
      </c>
      <c r="S55" s="27">
        <v>47</v>
      </c>
      <c r="T55" s="29">
        <v>69.2</v>
      </c>
      <c r="U55" s="29">
        <v>2.33</v>
      </c>
      <c r="V55" s="29">
        <v>23.08</v>
      </c>
      <c r="W55" s="30">
        <v>16423.14</v>
      </c>
      <c r="X55" s="27">
        <v>9.08</v>
      </c>
      <c r="Y55" s="27" t="s">
        <v>71</v>
      </c>
      <c r="Z55" s="29">
        <v>10</v>
      </c>
      <c r="AA55" s="30">
        <v>27790.76</v>
      </c>
      <c r="AB55" s="29">
        <v>0.952443857331572</v>
      </c>
      <c r="AC55" s="30">
        <v>20716.86</v>
      </c>
      <c r="AD55" s="30">
        <v>325.42549537648603</v>
      </c>
      <c r="AE55" s="27">
        <v>620.66666666666697</v>
      </c>
      <c r="AF55" s="29">
        <v>0.972610096670247</v>
      </c>
      <c r="AG55" s="30">
        <v>6748.4745046235103</v>
      </c>
      <c r="AH55" s="31">
        <f t="shared" si="1"/>
        <v>0.99605263157894741</v>
      </c>
      <c r="AI55" s="31">
        <f t="shared" si="2"/>
        <v>4.7556142668428003E-2</v>
      </c>
      <c r="AJ55" s="31">
        <f t="shared" si="3"/>
        <v>1.9815059445178335E-2</v>
      </c>
      <c r="AK55" s="31">
        <f t="shared" si="4"/>
        <v>0.952443857331572</v>
      </c>
      <c r="AL55" s="29">
        <f t="shared" si="5"/>
        <v>0.28333333333333333</v>
      </c>
      <c r="AM55" s="29">
        <f t="shared" si="6"/>
        <v>603.66666666666697</v>
      </c>
      <c r="AN55" s="29">
        <f t="shared" si="7"/>
        <v>1.2540033130866919</v>
      </c>
      <c r="AO55" s="29">
        <f t="shared" si="8"/>
        <v>1.2244897959183674</v>
      </c>
      <c r="AP55" s="31">
        <f t="shared" si="9"/>
        <v>1.024102705687465</v>
      </c>
      <c r="AQ55" s="31">
        <f t="shared" si="10"/>
        <v>0.952443857331572</v>
      </c>
      <c r="AR55" s="31">
        <f t="shared" si="11"/>
        <v>0.94868421052631535</v>
      </c>
      <c r="AS55" s="29">
        <f t="shared" si="12"/>
        <v>27.367054161162486</v>
      </c>
      <c r="AT55" s="29">
        <f t="shared" si="13"/>
        <v>8.9147615648923519</v>
      </c>
      <c r="AU55" s="27" t="str">
        <f t="shared" si="14"/>
        <v>High</v>
      </c>
      <c r="AV55" s="27" t="str">
        <f t="shared" si="15"/>
        <v>Normal</v>
      </c>
      <c r="AW55" s="27"/>
    </row>
    <row r="56" spans="1:49" x14ac:dyDescent="0.25">
      <c r="A56" s="27">
        <v>55</v>
      </c>
      <c r="B56" s="28">
        <v>46033</v>
      </c>
      <c r="C56" s="28" t="str">
        <f t="shared" si="0"/>
        <v>January</v>
      </c>
      <c r="D56" s="27" t="s">
        <v>67</v>
      </c>
      <c r="E56" s="27" t="s">
        <v>76</v>
      </c>
      <c r="F56" s="27" t="s">
        <v>113</v>
      </c>
      <c r="G56" s="27" t="s">
        <v>50</v>
      </c>
      <c r="H56" s="27" t="s">
        <v>124</v>
      </c>
      <c r="I56" s="27" t="s">
        <v>172</v>
      </c>
      <c r="J56" s="27" t="s">
        <v>81</v>
      </c>
      <c r="K56" s="27">
        <v>558</v>
      </c>
      <c r="L56" s="27">
        <v>618</v>
      </c>
      <c r="M56" s="27">
        <v>585</v>
      </c>
      <c r="N56" s="27">
        <v>33</v>
      </c>
      <c r="O56" s="27">
        <v>10</v>
      </c>
      <c r="P56" s="27">
        <v>29</v>
      </c>
      <c r="Q56" s="27" t="s">
        <v>82</v>
      </c>
      <c r="R56" s="27">
        <v>57</v>
      </c>
      <c r="S56" s="27">
        <v>63</v>
      </c>
      <c r="T56" s="29">
        <v>75.599999999999994</v>
      </c>
      <c r="U56" s="29">
        <v>2.74</v>
      </c>
      <c r="V56" s="29">
        <v>23.64</v>
      </c>
      <c r="W56" s="30">
        <v>17847.34</v>
      </c>
      <c r="X56" s="27">
        <v>9.39</v>
      </c>
      <c r="Y56" s="27" t="s">
        <v>66</v>
      </c>
      <c r="Z56" s="29">
        <v>3</v>
      </c>
      <c r="AA56" s="30">
        <v>27198.85</v>
      </c>
      <c r="AB56" s="29">
        <v>0.94660194174757295</v>
      </c>
      <c r="AC56" s="30">
        <v>22285.599999999999</v>
      </c>
      <c r="AD56" s="30">
        <v>288.791909385113</v>
      </c>
      <c r="AE56" s="27">
        <v>530.1</v>
      </c>
      <c r="AF56" s="29">
        <v>0.94529334087908001</v>
      </c>
      <c r="AG56" s="30">
        <v>4624.4580906148904</v>
      </c>
      <c r="AH56" s="31">
        <f t="shared" si="1"/>
        <v>1.10752688172043</v>
      </c>
      <c r="AI56" s="31">
        <f t="shared" si="2"/>
        <v>5.3398058252427182E-2</v>
      </c>
      <c r="AJ56" s="31">
        <f t="shared" si="3"/>
        <v>1.6181229773462782E-2</v>
      </c>
      <c r="AK56" s="31">
        <f t="shared" si="4"/>
        <v>0.94660194174757284</v>
      </c>
      <c r="AL56" s="29">
        <f t="shared" si="5"/>
        <v>0.48333333333333334</v>
      </c>
      <c r="AM56" s="29">
        <f t="shared" si="6"/>
        <v>501.1</v>
      </c>
      <c r="AN56" s="29">
        <f t="shared" si="7"/>
        <v>1.2332867691079625</v>
      </c>
      <c r="AO56" s="29">
        <f t="shared" si="8"/>
        <v>1.0526315789473684</v>
      </c>
      <c r="AP56" s="31">
        <f t="shared" si="9"/>
        <v>1.1716224306525644</v>
      </c>
      <c r="AQ56" s="31">
        <f t="shared" si="10"/>
        <v>0.94660194174757284</v>
      </c>
      <c r="AR56" s="31">
        <f t="shared" si="11"/>
        <v>1.0483870967741944</v>
      </c>
      <c r="AS56" s="29">
        <f t="shared" si="12"/>
        <v>36.060841423948219</v>
      </c>
      <c r="AT56" s="29">
        <f t="shared" si="13"/>
        <v>7.4829418941988521</v>
      </c>
      <c r="AU56" s="27" t="str">
        <f t="shared" si="14"/>
        <v>Low</v>
      </c>
      <c r="AV56" s="27" t="str">
        <f t="shared" si="15"/>
        <v>Normal</v>
      </c>
      <c r="AW56" s="27"/>
    </row>
    <row r="57" spans="1:49" x14ac:dyDescent="0.25">
      <c r="A57" s="27">
        <v>56</v>
      </c>
      <c r="B57" s="28">
        <v>46036</v>
      </c>
      <c r="C57" s="28" t="str">
        <f t="shared" si="0"/>
        <v>January</v>
      </c>
      <c r="D57" s="27" t="s">
        <v>67</v>
      </c>
      <c r="E57" s="27" t="s">
        <v>48</v>
      </c>
      <c r="F57" s="27" t="s">
        <v>56</v>
      </c>
      <c r="G57" s="27" t="s">
        <v>50</v>
      </c>
      <c r="H57" s="27" t="s">
        <v>57</v>
      </c>
      <c r="I57" s="27" t="s">
        <v>173</v>
      </c>
      <c r="J57" s="27" t="s">
        <v>143</v>
      </c>
      <c r="K57" s="27">
        <v>809</v>
      </c>
      <c r="L57" s="27">
        <v>821</v>
      </c>
      <c r="M57" s="27">
        <v>782</v>
      </c>
      <c r="N57" s="27">
        <v>39</v>
      </c>
      <c r="O57" s="27">
        <v>10</v>
      </c>
      <c r="P57" s="27">
        <v>0</v>
      </c>
      <c r="Q57" s="27" t="s">
        <v>60</v>
      </c>
      <c r="R57" s="27">
        <v>45</v>
      </c>
      <c r="S57" s="27">
        <v>49</v>
      </c>
      <c r="T57" s="29">
        <v>68.7</v>
      </c>
      <c r="U57" s="29">
        <v>2.59</v>
      </c>
      <c r="V57" s="29">
        <v>33.32</v>
      </c>
      <c r="W57" s="30">
        <v>16612.29</v>
      </c>
      <c r="X57" s="27">
        <v>9.3000000000000007</v>
      </c>
      <c r="Y57" s="27" t="s">
        <v>71</v>
      </c>
      <c r="Z57" s="29">
        <v>28</v>
      </c>
      <c r="AA57" s="30">
        <v>27057.3</v>
      </c>
      <c r="AB57" s="29">
        <v>0.95249695493300901</v>
      </c>
      <c r="AC57" s="30">
        <v>21097.17</v>
      </c>
      <c r="AD57" s="30">
        <v>202.34214372716201</v>
      </c>
      <c r="AE57" s="27">
        <v>606.75</v>
      </c>
      <c r="AF57" s="29">
        <v>1</v>
      </c>
      <c r="AG57" s="30">
        <v>5757.7878562728401</v>
      </c>
      <c r="AH57" s="31">
        <f t="shared" si="1"/>
        <v>1.0148331273176761</v>
      </c>
      <c r="AI57" s="31">
        <f t="shared" si="2"/>
        <v>4.7503045066991476E-2</v>
      </c>
      <c r="AJ57" s="31">
        <f t="shared" si="3"/>
        <v>1.2180267965895249E-2</v>
      </c>
      <c r="AK57" s="31">
        <f t="shared" si="4"/>
        <v>0.95249695493300857</v>
      </c>
      <c r="AL57" s="29">
        <f t="shared" si="5"/>
        <v>0</v>
      </c>
      <c r="AM57" s="29">
        <f t="shared" si="6"/>
        <v>606.75</v>
      </c>
      <c r="AN57" s="29">
        <f t="shared" si="7"/>
        <v>1.3531108364235682</v>
      </c>
      <c r="AO57" s="29">
        <f t="shared" si="8"/>
        <v>1.3333333333333333</v>
      </c>
      <c r="AP57" s="31">
        <f t="shared" si="9"/>
        <v>1.0148331273176763</v>
      </c>
      <c r="AQ57" s="31">
        <f t="shared" si="10"/>
        <v>0.95249695493300857</v>
      </c>
      <c r="AR57" s="31">
        <f t="shared" si="11"/>
        <v>0.96662546353522882</v>
      </c>
      <c r="AS57" s="29">
        <f t="shared" si="12"/>
        <v>25.696918392204626</v>
      </c>
      <c r="AT57" s="29">
        <f t="shared" si="13"/>
        <v>7.0131398980180757</v>
      </c>
      <c r="AU57" s="27" t="str">
        <f t="shared" si="14"/>
        <v>High</v>
      </c>
      <c r="AV57" s="27" t="str">
        <f t="shared" si="15"/>
        <v>Normal</v>
      </c>
      <c r="AW57" s="27"/>
    </row>
    <row r="58" spans="1:49" x14ac:dyDescent="0.25">
      <c r="A58" s="27">
        <v>57</v>
      </c>
      <c r="B58" s="28">
        <v>46119</v>
      </c>
      <c r="C58" s="28" t="str">
        <f t="shared" si="0"/>
        <v>April</v>
      </c>
      <c r="D58" s="27" t="s">
        <v>67</v>
      </c>
      <c r="E58" s="27" t="s">
        <v>98</v>
      </c>
      <c r="F58" s="27" t="s">
        <v>126</v>
      </c>
      <c r="G58" s="27" t="s">
        <v>63</v>
      </c>
      <c r="H58" s="27" t="s">
        <v>68</v>
      </c>
      <c r="I58" s="27" t="s">
        <v>174</v>
      </c>
      <c r="J58" s="27" t="s">
        <v>175</v>
      </c>
      <c r="K58" s="27">
        <v>473</v>
      </c>
      <c r="L58" s="27">
        <v>472</v>
      </c>
      <c r="M58" s="27">
        <v>437</v>
      </c>
      <c r="N58" s="27">
        <v>35</v>
      </c>
      <c r="O58" s="27">
        <v>13</v>
      </c>
      <c r="P58" s="27">
        <v>30</v>
      </c>
      <c r="Q58" s="27" t="s">
        <v>54</v>
      </c>
      <c r="R58" s="27">
        <v>64</v>
      </c>
      <c r="S58" s="27">
        <v>63</v>
      </c>
      <c r="T58" s="29">
        <v>70.099999999999994</v>
      </c>
      <c r="U58" s="29">
        <v>2.14</v>
      </c>
      <c r="V58" s="29">
        <v>15.81</v>
      </c>
      <c r="W58" s="30">
        <v>15220.42</v>
      </c>
      <c r="X58" s="27">
        <v>10.09</v>
      </c>
      <c r="Y58" s="27" t="s">
        <v>55</v>
      </c>
      <c r="Z58" s="29">
        <v>13</v>
      </c>
      <c r="AA58" s="30">
        <v>22501.439999999999</v>
      </c>
      <c r="AB58" s="29">
        <v>0.92584745762711895</v>
      </c>
      <c r="AC58" s="30">
        <v>19903.21</v>
      </c>
      <c r="AD58" s="30">
        <v>419.206483050847</v>
      </c>
      <c r="AE58" s="27">
        <v>504.53333333333302</v>
      </c>
      <c r="AF58" s="29">
        <v>0.94053911205074003</v>
      </c>
      <c r="AG58" s="30">
        <v>2179.0235169491498</v>
      </c>
      <c r="AH58" s="31">
        <f t="shared" si="1"/>
        <v>0.9978858350951374</v>
      </c>
      <c r="AI58" s="31">
        <f t="shared" si="2"/>
        <v>7.4152542372881353E-2</v>
      </c>
      <c r="AJ58" s="31">
        <f t="shared" si="3"/>
        <v>2.7542372881355932E-2</v>
      </c>
      <c r="AK58" s="31">
        <f t="shared" si="4"/>
        <v>0.92584745762711862</v>
      </c>
      <c r="AL58" s="29">
        <f t="shared" si="5"/>
        <v>0.5</v>
      </c>
      <c r="AM58" s="29">
        <f t="shared" si="6"/>
        <v>474.53333333333302</v>
      </c>
      <c r="AN58" s="29">
        <f t="shared" si="7"/>
        <v>0.99466142174768257</v>
      </c>
      <c r="AO58" s="29">
        <f t="shared" si="8"/>
        <v>0.9375</v>
      </c>
      <c r="AP58" s="31">
        <f t="shared" si="9"/>
        <v>1.0609721831975281</v>
      </c>
      <c r="AQ58" s="31">
        <f t="shared" si="10"/>
        <v>0.92584745762711862</v>
      </c>
      <c r="AR58" s="31">
        <f t="shared" si="11"/>
        <v>0.92389006342494784</v>
      </c>
      <c r="AS58" s="29">
        <f t="shared" si="12"/>
        <v>42.167817796610166</v>
      </c>
      <c r="AT58" s="29">
        <f t="shared" si="13"/>
        <v>4.6165752477736222</v>
      </c>
      <c r="AU58" s="27" t="str">
        <f t="shared" si="14"/>
        <v>Low</v>
      </c>
      <c r="AV58" s="27" t="str">
        <f t="shared" si="15"/>
        <v>Normal</v>
      </c>
      <c r="AW58" s="27"/>
    </row>
    <row r="59" spans="1:49" x14ac:dyDescent="0.25">
      <c r="A59" s="27">
        <v>58</v>
      </c>
      <c r="B59" s="28">
        <v>46181</v>
      </c>
      <c r="C59" s="28" t="str">
        <f t="shared" si="0"/>
        <v>June</v>
      </c>
      <c r="D59" s="27" t="s">
        <v>47</v>
      </c>
      <c r="E59" s="27" t="s">
        <v>76</v>
      </c>
      <c r="F59" s="27" t="s">
        <v>119</v>
      </c>
      <c r="G59" s="27" t="s">
        <v>50</v>
      </c>
      <c r="H59" s="27" t="s">
        <v>51</v>
      </c>
      <c r="I59" s="27" t="s">
        <v>176</v>
      </c>
      <c r="J59" s="27" t="s">
        <v>65</v>
      </c>
      <c r="K59" s="27">
        <v>944</v>
      </c>
      <c r="L59" s="27">
        <v>913</v>
      </c>
      <c r="M59" s="27">
        <v>831</v>
      </c>
      <c r="N59" s="27">
        <v>82</v>
      </c>
      <c r="O59" s="27">
        <v>34</v>
      </c>
      <c r="P59" s="27">
        <v>8</v>
      </c>
      <c r="Q59" s="27" t="s">
        <v>102</v>
      </c>
      <c r="R59" s="27">
        <v>42</v>
      </c>
      <c r="S59" s="27">
        <v>46</v>
      </c>
      <c r="T59" s="29">
        <v>72.8</v>
      </c>
      <c r="U59" s="29">
        <v>1.82</v>
      </c>
      <c r="V59" s="29">
        <v>35.44</v>
      </c>
      <c r="W59" s="30">
        <v>16270.31</v>
      </c>
      <c r="X59" s="27">
        <v>9.1300000000000008</v>
      </c>
      <c r="Y59" s="27" t="s">
        <v>66</v>
      </c>
      <c r="Z59" s="29">
        <v>30</v>
      </c>
      <c r="AA59" s="30">
        <v>26497.22</v>
      </c>
      <c r="AB59" s="29">
        <v>0.91018619934282596</v>
      </c>
      <c r="AC59" s="30">
        <v>20697.77</v>
      </c>
      <c r="AD59" s="30">
        <v>605.904205914567</v>
      </c>
      <c r="AE59" s="27">
        <v>660.8</v>
      </c>
      <c r="AF59" s="29">
        <v>0.98789346246973397</v>
      </c>
      <c r="AG59" s="30">
        <v>5193.5457940854403</v>
      </c>
      <c r="AH59" s="31">
        <f t="shared" si="1"/>
        <v>0.96716101694915257</v>
      </c>
      <c r="AI59" s="31">
        <f t="shared" si="2"/>
        <v>8.9813800657174148E-2</v>
      </c>
      <c r="AJ59" s="31">
        <f t="shared" si="3"/>
        <v>3.7239868565169768E-2</v>
      </c>
      <c r="AK59" s="31">
        <f t="shared" si="4"/>
        <v>0.91018619934282585</v>
      </c>
      <c r="AL59" s="29">
        <f t="shared" si="5"/>
        <v>0.13333333333333333</v>
      </c>
      <c r="AM59" s="29">
        <f t="shared" si="6"/>
        <v>652.79999999999995</v>
      </c>
      <c r="AN59" s="29">
        <f t="shared" si="7"/>
        <v>1.3985906862745099</v>
      </c>
      <c r="AO59" s="29">
        <f t="shared" si="8"/>
        <v>1.4285714285714286</v>
      </c>
      <c r="AP59" s="31">
        <f t="shared" si="9"/>
        <v>0.97901348039215685</v>
      </c>
      <c r="AQ59" s="31">
        <f t="shared" si="10"/>
        <v>0.91018619934282585</v>
      </c>
      <c r="AR59" s="31">
        <f t="shared" si="11"/>
        <v>0.88029661016949179</v>
      </c>
      <c r="AS59" s="29">
        <f t="shared" si="12"/>
        <v>22.670065717415117</v>
      </c>
      <c r="AT59" s="29">
        <f t="shared" si="13"/>
        <v>5.6884400811450604</v>
      </c>
      <c r="AU59" s="27" t="str">
        <f t="shared" si="14"/>
        <v>Medium</v>
      </c>
      <c r="AV59" s="27" t="str">
        <f t="shared" si="15"/>
        <v>Warning</v>
      </c>
      <c r="AW59" s="27"/>
    </row>
    <row r="60" spans="1:49" x14ac:dyDescent="0.25">
      <c r="A60" s="27">
        <v>59</v>
      </c>
      <c r="B60" s="28">
        <v>46095</v>
      </c>
      <c r="C60" s="28" t="str">
        <f t="shared" si="0"/>
        <v>March</v>
      </c>
      <c r="D60" s="27" t="s">
        <v>67</v>
      </c>
      <c r="E60" s="27" t="s">
        <v>76</v>
      </c>
      <c r="F60" s="27" t="s">
        <v>113</v>
      </c>
      <c r="G60" s="27" t="s">
        <v>50</v>
      </c>
      <c r="H60" s="27" t="s">
        <v>51</v>
      </c>
      <c r="I60" s="27" t="s">
        <v>177</v>
      </c>
      <c r="J60" s="27" t="s">
        <v>138</v>
      </c>
      <c r="K60" s="27">
        <v>790</v>
      </c>
      <c r="L60" s="27">
        <v>804</v>
      </c>
      <c r="M60" s="27">
        <v>773</v>
      </c>
      <c r="N60" s="27">
        <v>31</v>
      </c>
      <c r="O60" s="27">
        <v>9</v>
      </c>
      <c r="P60" s="27">
        <v>31</v>
      </c>
      <c r="Q60" s="27" t="s">
        <v>75</v>
      </c>
      <c r="R60" s="27">
        <v>42</v>
      </c>
      <c r="S60" s="27">
        <v>46</v>
      </c>
      <c r="T60" s="29">
        <v>66.2</v>
      </c>
      <c r="U60" s="29">
        <v>2.19</v>
      </c>
      <c r="V60" s="29">
        <v>29.99</v>
      </c>
      <c r="W60" s="30">
        <v>14145.26</v>
      </c>
      <c r="X60" s="27">
        <v>10.39</v>
      </c>
      <c r="Y60" s="27" t="s">
        <v>110</v>
      </c>
      <c r="Z60" s="29">
        <v>37</v>
      </c>
      <c r="AA60" s="30">
        <v>25306.85</v>
      </c>
      <c r="AB60" s="29">
        <v>0.96144278606965194</v>
      </c>
      <c r="AC60" s="30">
        <v>19090.669999999998</v>
      </c>
      <c r="AD60" s="30">
        <v>158.34246268656699</v>
      </c>
      <c r="AE60" s="27">
        <v>553</v>
      </c>
      <c r="AF60" s="29">
        <v>0.94394213381555203</v>
      </c>
      <c r="AG60" s="30">
        <v>6057.8375373134304</v>
      </c>
      <c r="AH60" s="31">
        <f t="shared" si="1"/>
        <v>1.0177215189873419</v>
      </c>
      <c r="AI60" s="31">
        <f t="shared" si="2"/>
        <v>3.8557213930348257E-2</v>
      </c>
      <c r="AJ60" s="31">
        <f t="shared" si="3"/>
        <v>1.1194029850746268E-2</v>
      </c>
      <c r="AK60" s="31">
        <f t="shared" si="4"/>
        <v>0.96144278606965172</v>
      </c>
      <c r="AL60" s="29">
        <f t="shared" si="5"/>
        <v>0.51666666666666672</v>
      </c>
      <c r="AM60" s="29">
        <f t="shared" si="6"/>
        <v>522</v>
      </c>
      <c r="AN60" s="29">
        <f t="shared" si="7"/>
        <v>1.5402298850574712</v>
      </c>
      <c r="AO60" s="29">
        <f t="shared" si="8"/>
        <v>1.4285714285714286</v>
      </c>
      <c r="AP60" s="31">
        <f t="shared" si="9"/>
        <v>1.0781609195402297</v>
      </c>
      <c r="AQ60" s="31">
        <f t="shared" si="10"/>
        <v>0.96144278606965172</v>
      </c>
      <c r="AR60" s="31">
        <f t="shared" si="11"/>
        <v>0.97848101265822818</v>
      </c>
      <c r="AS60" s="29">
        <f t="shared" si="12"/>
        <v>23.744614427860693</v>
      </c>
      <c r="AT60" s="29">
        <f t="shared" si="13"/>
        <v>7.5346238026286452</v>
      </c>
      <c r="AU60" s="27" t="str">
        <f t="shared" si="14"/>
        <v>Medium</v>
      </c>
      <c r="AV60" s="27" t="str">
        <f t="shared" si="15"/>
        <v>Normal</v>
      </c>
      <c r="AW60" s="27"/>
    </row>
    <row r="61" spans="1:49" x14ac:dyDescent="0.25">
      <c r="A61" s="27">
        <v>60</v>
      </c>
      <c r="B61" s="28">
        <v>46029</v>
      </c>
      <c r="C61" s="28" t="str">
        <f t="shared" si="0"/>
        <v>January</v>
      </c>
      <c r="D61" s="27" t="s">
        <v>67</v>
      </c>
      <c r="E61" s="27" t="s">
        <v>48</v>
      </c>
      <c r="F61" s="27" t="s">
        <v>56</v>
      </c>
      <c r="G61" s="27" t="s">
        <v>63</v>
      </c>
      <c r="H61" s="27" t="s">
        <v>51</v>
      </c>
      <c r="I61" s="27" t="s">
        <v>178</v>
      </c>
      <c r="J61" s="27" t="s">
        <v>140</v>
      </c>
      <c r="K61" s="27">
        <v>911</v>
      </c>
      <c r="L61" s="27">
        <v>855</v>
      </c>
      <c r="M61" s="27">
        <v>802</v>
      </c>
      <c r="N61" s="27">
        <v>53</v>
      </c>
      <c r="O61" s="27">
        <v>16</v>
      </c>
      <c r="P61" s="27">
        <v>18</v>
      </c>
      <c r="Q61" s="27" t="s">
        <v>91</v>
      </c>
      <c r="R61" s="27">
        <v>42</v>
      </c>
      <c r="S61" s="27">
        <v>42</v>
      </c>
      <c r="T61" s="29">
        <v>72.8</v>
      </c>
      <c r="U61" s="29">
        <v>2.17</v>
      </c>
      <c r="V61" s="29">
        <v>34.35</v>
      </c>
      <c r="W61" s="30">
        <v>15758.87</v>
      </c>
      <c r="X61" s="27">
        <v>8.66</v>
      </c>
      <c r="Y61" s="27" t="s">
        <v>71</v>
      </c>
      <c r="Z61" s="29">
        <v>27</v>
      </c>
      <c r="AA61" s="30">
        <v>24923.34</v>
      </c>
      <c r="AB61" s="29">
        <v>0.93801169590643296</v>
      </c>
      <c r="AC61" s="30">
        <v>19965.02</v>
      </c>
      <c r="AD61" s="30">
        <v>294.90283040935702</v>
      </c>
      <c r="AE61" s="27">
        <v>637.70000000000005</v>
      </c>
      <c r="AF61" s="29">
        <v>0.97177356123569103</v>
      </c>
      <c r="AG61" s="30">
        <v>4663.4171695906398</v>
      </c>
      <c r="AH61" s="31">
        <f t="shared" si="1"/>
        <v>0.93852908891328213</v>
      </c>
      <c r="AI61" s="31">
        <f t="shared" si="2"/>
        <v>6.1988304093567252E-2</v>
      </c>
      <c r="AJ61" s="31">
        <f t="shared" si="3"/>
        <v>1.8713450292397661E-2</v>
      </c>
      <c r="AK61" s="31">
        <f t="shared" si="4"/>
        <v>0.93801169590643274</v>
      </c>
      <c r="AL61" s="29">
        <f t="shared" si="5"/>
        <v>0.3</v>
      </c>
      <c r="AM61" s="29">
        <f t="shared" si="6"/>
        <v>619.70000000000005</v>
      </c>
      <c r="AN61" s="29">
        <f t="shared" si="7"/>
        <v>1.3796998547684363</v>
      </c>
      <c r="AO61" s="29">
        <f t="shared" si="8"/>
        <v>1.4285714285714286</v>
      </c>
      <c r="AP61" s="31">
        <f t="shared" si="9"/>
        <v>0.96578989833790541</v>
      </c>
      <c r="AQ61" s="31">
        <f t="shared" si="10"/>
        <v>0.93801169590643274</v>
      </c>
      <c r="AR61" s="31">
        <f t="shared" si="11"/>
        <v>0.88035126234906713</v>
      </c>
      <c r="AS61" s="29">
        <f t="shared" si="12"/>
        <v>23.350900584795323</v>
      </c>
      <c r="AT61" s="29">
        <f t="shared" si="13"/>
        <v>5.4542890872405145</v>
      </c>
      <c r="AU61" s="27" t="str">
        <f t="shared" si="14"/>
        <v>High</v>
      </c>
      <c r="AV61" s="27" t="str">
        <f t="shared" si="15"/>
        <v>Normal</v>
      </c>
      <c r="AW61" s="27"/>
    </row>
    <row r="62" spans="1:49" x14ac:dyDescent="0.25">
      <c r="A62" s="27">
        <v>61</v>
      </c>
      <c r="B62" s="28">
        <v>46078</v>
      </c>
      <c r="C62" s="28" t="str">
        <f t="shared" si="0"/>
        <v>February</v>
      </c>
      <c r="D62" s="27" t="s">
        <v>47</v>
      </c>
      <c r="E62" s="27" t="s">
        <v>76</v>
      </c>
      <c r="F62" s="27" t="s">
        <v>113</v>
      </c>
      <c r="G62" s="27" t="s">
        <v>63</v>
      </c>
      <c r="H62" s="27" t="s">
        <v>79</v>
      </c>
      <c r="I62" s="27" t="s">
        <v>179</v>
      </c>
      <c r="J62" s="27" t="s">
        <v>143</v>
      </c>
      <c r="K62" s="27">
        <v>741</v>
      </c>
      <c r="L62" s="27">
        <v>714</v>
      </c>
      <c r="M62" s="27">
        <v>682</v>
      </c>
      <c r="N62" s="27">
        <v>32</v>
      </c>
      <c r="O62" s="27">
        <v>8</v>
      </c>
      <c r="P62" s="27">
        <v>29</v>
      </c>
      <c r="Q62" s="27" t="s">
        <v>82</v>
      </c>
      <c r="R62" s="27">
        <v>49</v>
      </c>
      <c r="S62" s="27">
        <v>50</v>
      </c>
      <c r="T62" s="29">
        <v>79</v>
      </c>
      <c r="U62" s="29">
        <v>1.99</v>
      </c>
      <c r="V62" s="29">
        <v>22.84</v>
      </c>
      <c r="W62" s="30">
        <v>15924.41</v>
      </c>
      <c r="X62" s="27">
        <v>7.7</v>
      </c>
      <c r="Y62" s="27" t="s">
        <v>66</v>
      </c>
      <c r="Z62" s="29">
        <v>35</v>
      </c>
      <c r="AA62" s="30">
        <v>26171.59</v>
      </c>
      <c r="AB62" s="29">
        <v>0.95518207282913203</v>
      </c>
      <c r="AC62" s="30">
        <v>19594.97</v>
      </c>
      <c r="AD62" s="30">
        <v>178.42476190476199</v>
      </c>
      <c r="AE62" s="27">
        <v>605.15</v>
      </c>
      <c r="AF62" s="29">
        <v>0.95207799719077901</v>
      </c>
      <c r="AG62" s="30">
        <v>6398.1952380952398</v>
      </c>
      <c r="AH62" s="31">
        <f t="shared" si="1"/>
        <v>0.96356275303643724</v>
      </c>
      <c r="AI62" s="31">
        <f t="shared" si="2"/>
        <v>4.4817927170868348E-2</v>
      </c>
      <c r="AJ62" s="31">
        <f t="shared" si="3"/>
        <v>1.1204481792717087E-2</v>
      </c>
      <c r="AK62" s="31">
        <f t="shared" si="4"/>
        <v>0.9551820728291317</v>
      </c>
      <c r="AL62" s="29">
        <f t="shared" si="5"/>
        <v>0.48333333333333334</v>
      </c>
      <c r="AM62" s="29">
        <f t="shared" si="6"/>
        <v>576.15</v>
      </c>
      <c r="AN62" s="29">
        <f t="shared" si="7"/>
        <v>1.2392606092163501</v>
      </c>
      <c r="AO62" s="29">
        <f t="shared" si="8"/>
        <v>1.2244897959183674</v>
      </c>
      <c r="AP62" s="31">
        <f t="shared" si="9"/>
        <v>1.0120628308600192</v>
      </c>
      <c r="AQ62" s="31">
        <f t="shared" si="10"/>
        <v>0.9551820728291317</v>
      </c>
      <c r="AR62" s="31">
        <f t="shared" si="11"/>
        <v>0.92037786774628882</v>
      </c>
      <c r="AS62" s="29">
        <f t="shared" si="12"/>
        <v>27.443935574229695</v>
      </c>
      <c r="AT62" s="29">
        <f t="shared" si="13"/>
        <v>8.9610577564359097</v>
      </c>
      <c r="AU62" s="27" t="str">
        <f t="shared" si="14"/>
        <v>Medium</v>
      </c>
      <c r="AV62" s="27" t="str">
        <f t="shared" si="15"/>
        <v>Normal</v>
      </c>
      <c r="AW62" s="27"/>
    </row>
    <row r="63" spans="1:49" x14ac:dyDescent="0.25">
      <c r="A63" s="27">
        <v>62</v>
      </c>
      <c r="B63" s="28">
        <v>46044</v>
      </c>
      <c r="C63" s="28" t="str">
        <f t="shared" si="0"/>
        <v>January</v>
      </c>
      <c r="D63" s="27" t="s">
        <v>67</v>
      </c>
      <c r="E63" s="27" t="s">
        <v>48</v>
      </c>
      <c r="F63" s="27" t="s">
        <v>49</v>
      </c>
      <c r="G63" s="27" t="s">
        <v>63</v>
      </c>
      <c r="H63" s="27" t="s">
        <v>57</v>
      </c>
      <c r="I63" s="27" t="s">
        <v>180</v>
      </c>
      <c r="J63" s="27" t="s">
        <v>81</v>
      </c>
      <c r="K63" s="27">
        <v>690</v>
      </c>
      <c r="L63" s="27">
        <v>685</v>
      </c>
      <c r="M63" s="27">
        <v>651</v>
      </c>
      <c r="N63" s="27">
        <v>34</v>
      </c>
      <c r="O63" s="27">
        <v>9</v>
      </c>
      <c r="P63" s="27">
        <v>0</v>
      </c>
      <c r="Q63" s="27" t="s">
        <v>60</v>
      </c>
      <c r="R63" s="27">
        <v>45</v>
      </c>
      <c r="S63" s="27">
        <v>49</v>
      </c>
      <c r="T63" s="29">
        <v>72</v>
      </c>
      <c r="U63" s="29">
        <v>2.14</v>
      </c>
      <c r="V63" s="29">
        <v>25.71</v>
      </c>
      <c r="W63" s="30">
        <v>14500.01</v>
      </c>
      <c r="X63" s="27">
        <v>9.56</v>
      </c>
      <c r="Y63" s="27" t="s">
        <v>55</v>
      </c>
      <c r="Z63" s="29">
        <v>22</v>
      </c>
      <c r="AA63" s="30">
        <v>22162.06</v>
      </c>
      <c r="AB63" s="29">
        <v>0.95036496350364996</v>
      </c>
      <c r="AC63" s="30">
        <v>19033.400000000001</v>
      </c>
      <c r="AD63" s="30">
        <v>190.51108029197101</v>
      </c>
      <c r="AE63" s="27">
        <v>517.5</v>
      </c>
      <c r="AF63" s="29">
        <v>1</v>
      </c>
      <c r="AG63" s="30">
        <v>2938.14891970803</v>
      </c>
      <c r="AH63" s="31">
        <f t="shared" si="1"/>
        <v>0.99275362318840576</v>
      </c>
      <c r="AI63" s="31">
        <f t="shared" si="2"/>
        <v>4.9635036496350364E-2</v>
      </c>
      <c r="AJ63" s="31">
        <f t="shared" si="3"/>
        <v>1.3138686131386862E-2</v>
      </c>
      <c r="AK63" s="31">
        <f t="shared" si="4"/>
        <v>0.95036496350364963</v>
      </c>
      <c r="AL63" s="29">
        <f t="shared" si="5"/>
        <v>0</v>
      </c>
      <c r="AM63" s="29">
        <f t="shared" si="6"/>
        <v>517.5</v>
      </c>
      <c r="AN63" s="29">
        <f t="shared" si="7"/>
        <v>1.3236714975845412</v>
      </c>
      <c r="AO63" s="29">
        <f t="shared" si="8"/>
        <v>1.3333333333333333</v>
      </c>
      <c r="AP63" s="31">
        <f t="shared" si="9"/>
        <v>0.99275362318840588</v>
      </c>
      <c r="AQ63" s="31">
        <f t="shared" si="10"/>
        <v>0.95036496350364963</v>
      </c>
      <c r="AR63" s="31">
        <f t="shared" si="11"/>
        <v>0.94347826086956532</v>
      </c>
      <c r="AS63" s="29">
        <f t="shared" si="12"/>
        <v>27.785985401459858</v>
      </c>
      <c r="AT63" s="29">
        <f t="shared" si="13"/>
        <v>4.2892684959241318</v>
      </c>
      <c r="AU63" s="27" t="str">
        <f t="shared" si="14"/>
        <v>Low</v>
      </c>
      <c r="AV63" s="27" t="str">
        <f t="shared" si="15"/>
        <v>Normal</v>
      </c>
      <c r="AW63" s="27"/>
    </row>
    <row r="64" spans="1:49" x14ac:dyDescent="0.25">
      <c r="A64" s="27">
        <v>63</v>
      </c>
      <c r="B64" s="28">
        <v>46162</v>
      </c>
      <c r="C64" s="28" t="str">
        <f t="shared" si="0"/>
        <v>May</v>
      </c>
      <c r="D64" s="27" t="s">
        <v>67</v>
      </c>
      <c r="E64" s="27" t="s">
        <v>98</v>
      </c>
      <c r="F64" s="27" t="s">
        <v>126</v>
      </c>
      <c r="G64" s="27" t="s">
        <v>63</v>
      </c>
      <c r="H64" s="27" t="s">
        <v>57</v>
      </c>
      <c r="I64" s="27" t="s">
        <v>181</v>
      </c>
      <c r="J64" s="27" t="s">
        <v>134</v>
      </c>
      <c r="K64" s="27">
        <v>749</v>
      </c>
      <c r="L64" s="27">
        <v>724</v>
      </c>
      <c r="M64" s="27">
        <v>669</v>
      </c>
      <c r="N64" s="27">
        <v>55</v>
      </c>
      <c r="O64" s="27">
        <v>13</v>
      </c>
      <c r="P64" s="27">
        <v>6</v>
      </c>
      <c r="Q64" s="27" t="s">
        <v>54</v>
      </c>
      <c r="R64" s="27">
        <v>45</v>
      </c>
      <c r="S64" s="27">
        <v>44</v>
      </c>
      <c r="T64" s="29">
        <v>75</v>
      </c>
      <c r="U64" s="29">
        <v>0.76</v>
      </c>
      <c r="V64" s="29">
        <v>27.62</v>
      </c>
      <c r="W64" s="30">
        <v>14587.27</v>
      </c>
      <c r="X64" s="27">
        <v>9.4499999999999993</v>
      </c>
      <c r="Y64" s="27" t="s">
        <v>71</v>
      </c>
      <c r="Z64" s="29">
        <v>26</v>
      </c>
      <c r="AA64" s="30">
        <v>23178.87</v>
      </c>
      <c r="AB64" s="29">
        <v>0.924033149171271</v>
      </c>
      <c r="AC64" s="30">
        <v>19088.349999999999</v>
      </c>
      <c r="AD64" s="30">
        <v>261.92611878452999</v>
      </c>
      <c r="AE64" s="27">
        <v>561.75</v>
      </c>
      <c r="AF64" s="29">
        <v>0.98931909212282998</v>
      </c>
      <c r="AG64" s="30">
        <v>3828.59388121547</v>
      </c>
      <c r="AH64" s="31">
        <f t="shared" si="1"/>
        <v>0.96662216288384517</v>
      </c>
      <c r="AI64" s="31">
        <f t="shared" si="2"/>
        <v>7.5966850828729282E-2</v>
      </c>
      <c r="AJ64" s="31">
        <f t="shared" si="3"/>
        <v>1.7955801104972375E-2</v>
      </c>
      <c r="AK64" s="31">
        <f t="shared" si="4"/>
        <v>0.92403314917127077</v>
      </c>
      <c r="AL64" s="29">
        <f t="shared" si="5"/>
        <v>0.1</v>
      </c>
      <c r="AM64" s="29">
        <f t="shared" si="6"/>
        <v>555.75</v>
      </c>
      <c r="AN64" s="29">
        <f t="shared" si="7"/>
        <v>1.3027440395861449</v>
      </c>
      <c r="AO64" s="29">
        <f t="shared" si="8"/>
        <v>1.3333333333333333</v>
      </c>
      <c r="AP64" s="31">
        <f t="shared" si="9"/>
        <v>0.97705802968960875</v>
      </c>
      <c r="AQ64" s="31">
        <f t="shared" si="10"/>
        <v>0.92403314917127077</v>
      </c>
      <c r="AR64" s="31">
        <f t="shared" si="11"/>
        <v>0.89319092122830424</v>
      </c>
      <c r="AS64" s="29">
        <f t="shared" si="12"/>
        <v>26.365124309392264</v>
      </c>
      <c r="AT64" s="29">
        <f t="shared" si="13"/>
        <v>5.2881130956014779</v>
      </c>
      <c r="AU64" s="27" t="str">
        <f t="shared" si="14"/>
        <v>High</v>
      </c>
      <c r="AV64" s="27" t="str">
        <f t="shared" si="15"/>
        <v>Normal</v>
      </c>
      <c r="AW64" s="27"/>
    </row>
    <row r="65" spans="1:49" x14ac:dyDescent="0.25">
      <c r="A65" s="27">
        <v>64</v>
      </c>
      <c r="B65" s="28">
        <v>46054</v>
      </c>
      <c r="C65" s="28" t="str">
        <f t="shared" si="0"/>
        <v>February</v>
      </c>
      <c r="D65" s="27" t="s">
        <v>67</v>
      </c>
      <c r="E65" s="27" t="s">
        <v>61</v>
      </c>
      <c r="F65" s="27" t="s">
        <v>62</v>
      </c>
      <c r="G65" s="27" t="s">
        <v>63</v>
      </c>
      <c r="H65" s="27" t="s">
        <v>68</v>
      </c>
      <c r="I65" s="27" t="s">
        <v>182</v>
      </c>
      <c r="J65" s="27" t="s">
        <v>90</v>
      </c>
      <c r="K65" s="27">
        <v>536</v>
      </c>
      <c r="L65" s="27">
        <v>595</v>
      </c>
      <c r="M65" s="27">
        <v>561</v>
      </c>
      <c r="N65" s="27">
        <v>34</v>
      </c>
      <c r="O65" s="27">
        <v>7</v>
      </c>
      <c r="P65" s="27">
        <v>0</v>
      </c>
      <c r="Q65" s="27" t="s">
        <v>60</v>
      </c>
      <c r="R65" s="27">
        <v>64</v>
      </c>
      <c r="S65" s="27">
        <v>70</v>
      </c>
      <c r="T65" s="29">
        <v>63.1</v>
      </c>
      <c r="U65" s="29">
        <v>1.96</v>
      </c>
      <c r="V65" s="29">
        <v>21.32</v>
      </c>
      <c r="W65" s="30">
        <v>18545.650000000001</v>
      </c>
      <c r="X65" s="27">
        <v>9.17</v>
      </c>
      <c r="Y65" s="27" t="s">
        <v>55</v>
      </c>
      <c r="Z65" s="29">
        <v>20</v>
      </c>
      <c r="AA65" s="30">
        <v>29453.66</v>
      </c>
      <c r="AB65" s="29">
        <v>0.94285714285714295</v>
      </c>
      <c r="AC65" s="30">
        <v>22864.03</v>
      </c>
      <c r="AD65" s="30">
        <v>218.184117647059</v>
      </c>
      <c r="AE65" s="27">
        <v>571.73333333333301</v>
      </c>
      <c r="AF65" s="29">
        <v>1</v>
      </c>
      <c r="AG65" s="30">
        <v>6371.4458823529403</v>
      </c>
      <c r="AH65" s="31">
        <f t="shared" si="1"/>
        <v>1.1100746268656716</v>
      </c>
      <c r="AI65" s="31">
        <f t="shared" si="2"/>
        <v>5.7142857142857141E-2</v>
      </c>
      <c r="AJ65" s="31">
        <f t="shared" si="3"/>
        <v>1.1764705882352941E-2</v>
      </c>
      <c r="AK65" s="31">
        <f t="shared" si="4"/>
        <v>0.94285714285714284</v>
      </c>
      <c r="AL65" s="29">
        <f t="shared" si="5"/>
        <v>0</v>
      </c>
      <c r="AM65" s="29">
        <f t="shared" si="6"/>
        <v>571.73333333333301</v>
      </c>
      <c r="AN65" s="29">
        <f t="shared" si="7"/>
        <v>1.0406949626865678</v>
      </c>
      <c r="AO65" s="29">
        <f t="shared" si="8"/>
        <v>0.9375</v>
      </c>
      <c r="AP65" s="31">
        <f t="shared" si="9"/>
        <v>1.1100746268656723</v>
      </c>
      <c r="AQ65" s="31">
        <f t="shared" si="10"/>
        <v>0.94285714285714284</v>
      </c>
      <c r="AR65" s="31">
        <f t="shared" si="11"/>
        <v>1.0466417910447767</v>
      </c>
      <c r="AS65" s="29">
        <f t="shared" si="12"/>
        <v>38.426941176470585</v>
      </c>
      <c r="AT65" s="29">
        <f t="shared" si="13"/>
        <v>10.708312407315866</v>
      </c>
      <c r="AU65" s="27" t="str">
        <f t="shared" si="14"/>
        <v>Low</v>
      </c>
      <c r="AV65" s="27" t="str">
        <f t="shared" si="15"/>
        <v>Normal</v>
      </c>
      <c r="AW65" s="27"/>
    </row>
    <row r="66" spans="1:49" x14ac:dyDescent="0.25">
      <c r="A66" s="27">
        <v>65</v>
      </c>
      <c r="B66" s="28">
        <v>46101</v>
      </c>
      <c r="C66" s="28" t="str">
        <f t="shared" ref="C66:C129" si="16">TEXT(B66,"mmmm")</f>
        <v>March</v>
      </c>
      <c r="D66" s="27" t="s">
        <v>67</v>
      </c>
      <c r="E66" s="27" t="s">
        <v>76</v>
      </c>
      <c r="F66" s="27" t="s">
        <v>113</v>
      </c>
      <c r="G66" s="27" t="s">
        <v>63</v>
      </c>
      <c r="H66" s="27" t="s">
        <v>57</v>
      </c>
      <c r="I66" s="27" t="s">
        <v>183</v>
      </c>
      <c r="J66" s="27" t="s">
        <v>170</v>
      </c>
      <c r="K66" s="27">
        <v>908</v>
      </c>
      <c r="L66" s="27">
        <v>877</v>
      </c>
      <c r="M66" s="27">
        <v>840</v>
      </c>
      <c r="N66" s="27">
        <v>37</v>
      </c>
      <c r="O66" s="27">
        <v>14</v>
      </c>
      <c r="P66" s="27">
        <v>10</v>
      </c>
      <c r="Q66" s="27" t="s">
        <v>97</v>
      </c>
      <c r="R66" s="27">
        <v>45</v>
      </c>
      <c r="S66" s="27">
        <v>45</v>
      </c>
      <c r="T66" s="29">
        <v>70.5</v>
      </c>
      <c r="U66" s="29">
        <v>2.63</v>
      </c>
      <c r="V66" s="29">
        <v>33.03</v>
      </c>
      <c r="W66" s="30">
        <v>17207.830000000002</v>
      </c>
      <c r="X66" s="27">
        <v>8.89</v>
      </c>
      <c r="Y66" s="27" t="s">
        <v>110</v>
      </c>
      <c r="Z66" s="29">
        <v>31</v>
      </c>
      <c r="AA66" s="30">
        <v>28579.39</v>
      </c>
      <c r="AB66" s="29">
        <v>0.95781071835803899</v>
      </c>
      <c r="AC66" s="30">
        <v>21505.599999999999</v>
      </c>
      <c r="AD66" s="30">
        <v>274.69740022805001</v>
      </c>
      <c r="AE66" s="27">
        <v>681</v>
      </c>
      <c r="AF66" s="29">
        <v>0.98531571218795899</v>
      </c>
      <c r="AG66" s="30">
        <v>6799.0925997719496</v>
      </c>
      <c r="AH66" s="31">
        <f t="shared" ref="AH66:AH129" si="17">IFERROR(L66/K66,0)</f>
        <v>0.96585903083700442</v>
      </c>
      <c r="AI66" s="31">
        <f t="shared" ref="AI66:AI129" si="18">IFERROR(N66/L66,0)</f>
        <v>4.2189281641961229E-2</v>
      </c>
      <c r="AJ66" s="31">
        <f t="shared" ref="AJ66:AJ129" si="19">IFERROR(O66/L66,0)</f>
        <v>1.596351197263398E-2</v>
      </c>
      <c r="AK66" s="31">
        <f t="shared" ref="AK66:AK129" si="20">IFERROR(M66/L66,0)</f>
        <v>0.95781071835803877</v>
      </c>
      <c r="AL66" s="29">
        <f t="shared" ref="AL66:AL129" si="21">P66/60</f>
        <v>0.16666666666666666</v>
      </c>
      <c r="AM66" s="29">
        <f t="shared" ref="AM66:AM129" si="22">MAX(0,AE66-P66)</f>
        <v>671</v>
      </c>
      <c r="AN66" s="29">
        <f t="shared" ref="AN66:AN129" si="23">IFERROR(L66/AM66,0)</f>
        <v>1.3070044709388973</v>
      </c>
      <c r="AO66" s="29">
        <f t="shared" ref="AO66:AO129" si="24">IFERROR(60/R66,0)</f>
        <v>1.3333333333333333</v>
      </c>
      <c r="AP66" s="31">
        <f t="shared" ref="AP66:AP129" si="25">IFERROR(AN66/AO66,0)</f>
        <v>0.98025335320417295</v>
      </c>
      <c r="AQ66" s="31">
        <f t="shared" ref="AQ66:AQ129" si="26">IFERROR(M66/L66,0)</f>
        <v>0.95781071835803877</v>
      </c>
      <c r="AR66" s="31">
        <f t="shared" ref="AR66:AR129" si="27">AF66*AP66*AQ66</f>
        <v>0.92511013215859039</v>
      </c>
      <c r="AS66" s="29">
        <f t="shared" ref="AS66:AS129" si="28">IFERROR(AC66/L66,0)</f>
        <v>24.521778791334093</v>
      </c>
      <c r="AT66" s="29">
        <f t="shared" ref="AT66:AT129" si="29">IFERROR(AG66/L66,0)</f>
        <v>7.7526711513933293</v>
      </c>
      <c r="AU66" s="27" t="str">
        <f t="shared" ref="AU66:AU129" si="30">IF(OR(Y66="Overdue",P66&gt;=120,T66&gt;=85,U66&gt;=4,AI66&gt;=0.12,AR66&lt;0.8),"High",IF(OR(Y66="Pending",Z66&gt;=30,P66&gt;=60,T66&gt;=80,U66&gt;=3,AI66&gt;=0.08,AR66&lt;0.85),"Medium","Low"))</f>
        <v>Medium</v>
      </c>
      <c r="AV66" s="27" t="str">
        <f t="shared" ref="AV66:AV129" si="31">IF(OR(P66&gt;=120,T66&gt;=90,U66&gt;=4.5,AI66&gt;=0.15,AR66&lt;0.75),"Critical",IF(OR(P66&gt;=60,T66&gt;=80,U66&gt;=3,AI66&gt;=0.08,AR66&lt;0.85),"Warning","Normal"))</f>
        <v>Normal</v>
      </c>
      <c r="AW66" s="27"/>
    </row>
    <row r="67" spans="1:49" x14ac:dyDescent="0.25">
      <c r="A67" s="27">
        <v>66</v>
      </c>
      <c r="B67" s="28">
        <v>46040</v>
      </c>
      <c r="C67" s="28" t="str">
        <f t="shared" si="16"/>
        <v>January</v>
      </c>
      <c r="D67" s="27" t="s">
        <v>47</v>
      </c>
      <c r="E67" s="27" t="s">
        <v>129</v>
      </c>
      <c r="F67" s="27" t="s">
        <v>151</v>
      </c>
      <c r="G67" s="27" t="s">
        <v>50</v>
      </c>
      <c r="H67" s="27" t="s">
        <v>124</v>
      </c>
      <c r="I67" s="27" t="s">
        <v>184</v>
      </c>
      <c r="J67" s="27" t="s">
        <v>101</v>
      </c>
      <c r="K67" s="27">
        <v>693</v>
      </c>
      <c r="L67" s="27">
        <v>675</v>
      </c>
      <c r="M67" s="27">
        <v>641</v>
      </c>
      <c r="N67" s="27">
        <v>34</v>
      </c>
      <c r="O67" s="27">
        <v>14</v>
      </c>
      <c r="P67" s="27">
        <v>10</v>
      </c>
      <c r="Q67" s="27" t="s">
        <v>54</v>
      </c>
      <c r="R67" s="27">
        <v>57</v>
      </c>
      <c r="S67" s="27">
        <v>56</v>
      </c>
      <c r="T67" s="29">
        <v>69.099999999999994</v>
      </c>
      <c r="U67" s="29">
        <v>2.36</v>
      </c>
      <c r="V67" s="29">
        <v>19.55</v>
      </c>
      <c r="W67" s="30">
        <v>18602.03</v>
      </c>
      <c r="X67" s="27">
        <v>9.9499999999999993</v>
      </c>
      <c r="Y67" s="27" t="s">
        <v>55</v>
      </c>
      <c r="Z67" s="29">
        <v>31</v>
      </c>
      <c r="AA67" s="30">
        <v>29972.46</v>
      </c>
      <c r="AB67" s="29">
        <v>0.94962962962963005</v>
      </c>
      <c r="AC67" s="30">
        <v>23255.48</v>
      </c>
      <c r="AD67" s="30">
        <v>385.81988148148201</v>
      </c>
      <c r="AE67" s="27">
        <v>658.35</v>
      </c>
      <c r="AF67" s="29">
        <v>0.98481051112630102</v>
      </c>
      <c r="AG67" s="30">
        <v>6331.16011851852</v>
      </c>
      <c r="AH67" s="31">
        <f t="shared" si="17"/>
        <v>0.97402597402597402</v>
      </c>
      <c r="AI67" s="31">
        <f t="shared" si="18"/>
        <v>5.0370370370370371E-2</v>
      </c>
      <c r="AJ67" s="31">
        <f t="shared" si="19"/>
        <v>2.074074074074074E-2</v>
      </c>
      <c r="AK67" s="31">
        <f t="shared" si="20"/>
        <v>0.9496296296296296</v>
      </c>
      <c r="AL67" s="29">
        <f t="shared" si="21"/>
        <v>0.16666666666666666</v>
      </c>
      <c r="AM67" s="29">
        <f t="shared" si="22"/>
        <v>648.35</v>
      </c>
      <c r="AN67" s="29">
        <f t="shared" si="23"/>
        <v>1.0411043417906993</v>
      </c>
      <c r="AO67" s="29">
        <f t="shared" si="24"/>
        <v>1.0526315789473684</v>
      </c>
      <c r="AP67" s="31">
        <f t="shared" si="25"/>
        <v>0.98904912470116446</v>
      </c>
      <c r="AQ67" s="31">
        <f t="shared" si="26"/>
        <v>0.9496296296296296</v>
      </c>
      <c r="AR67" s="31">
        <f t="shared" si="27"/>
        <v>0.92496392496392532</v>
      </c>
      <c r="AS67" s="29">
        <f t="shared" si="28"/>
        <v>34.452562962962965</v>
      </c>
      <c r="AT67" s="29">
        <f t="shared" si="29"/>
        <v>9.379496471879289</v>
      </c>
      <c r="AU67" s="27" t="str">
        <f t="shared" si="30"/>
        <v>Medium</v>
      </c>
      <c r="AV67" s="27" t="str">
        <f t="shared" si="31"/>
        <v>Normal</v>
      </c>
      <c r="AW67" s="27"/>
    </row>
    <row r="68" spans="1:49" x14ac:dyDescent="0.25">
      <c r="A68" s="27">
        <v>67</v>
      </c>
      <c r="B68" s="28">
        <v>46203</v>
      </c>
      <c r="C68" s="28" t="str">
        <f t="shared" si="16"/>
        <v>June</v>
      </c>
      <c r="D68" s="27" t="s">
        <v>67</v>
      </c>
      <c r="E68" s="27" t="s">
        <v>98</v>
      </c>
      <c r="F68" s="27" t="s">
        <v>126</v>
      </c>
      <c r="G68" s="27" t="s">
        <v>50</v>
      </c>
      <c r="H68" s="27" t="s">
        <v>68</v>
      </c>
      <c r="I68" s="27" t="s">
        <v>185</v>
      </c>
      <c r="J68" s="27" t="s">
        <v>186</v>
      </c>
      <c r="K68" s="27">
        <v>501</v>
      </c>
      <c r="L68" s="27">
        <v>439</v>
      </c>
      <c r="M68" s="27">
        <v>406</v>
      </c>
      <c r="N68" s="27">
        <v>33</v>
      </c>
      <c r="O68" s="27">
        <v>10</v>
      </c>
      <c r="P68" s="27">
        <v>10</v>
      </c>
      <c r="Q68" s="27" t="s">
        <v>104</v>
      </c>
      <c r="R68" s="27">
        <v>64</v>
      </c>
      <c r="S68" s="27">
        <v>62</v>
      </c>
      <c r="T68" s="29">
        <v>63.2</v>
      </c>
      <c r="U68" s="29">
        <v>1.93</v>
      </c>
      <c r="V68" s="29">
        <v>18.07</v>
      </c>
      <c r="W68" s="30">
        <v>13954.9</v>
      </c>
      <c r="X68" s="27">
        <v>8.99</v>
      </c>
      <c r="Y68" s="27" t="s">
        <v>110</v>
      </c>
      <c r="Z68" s="29">
        <v>31</v>
      </c>
      <c r="AA68" s="30">
        <v>21484.03</v>
      </c>
      <c r="AB68" s="29">
        <v>0.92482915717539904</v>
      </c>
      <c r="AC68" s="30">
        <v>18163.03</v>
      </c>
      <c r="AD68" s="30">
        <v>317.879271070615</v>
      </c>
      <c r="AE68" s="27">
        <v>534.4</v>
      </c>
      <c r="AF68" s="29">
        <v>0.98128742514970102</v>
      </c>
      <c r="AG68" s="30">
        <v>3003.1207289293802</v>
      </c>
      <c r="AH68" s="31">
        <f t="shared" si="17"/>
        <v>0.87624750499001991</v>
      </c>
      <c r="AI68" s="31">
        <f t="shared" si="18"/>
        <v>7.5170842824601361E-2</v>
      </c>
      <c r="AJ68" s="31">
        <f t="shared" si="19"/>
        <v>2.2779043280182234E-2</v>
      </c>
      <c r="AK68" s="31">
        <f t="shared" si="20"/>
        <v>0.9248291571753986</v>
      </c>
      <c r="AL68" s="29">
        <f t="shared" si="21"/>
        <v>0.16666666666666666</v>
      </c>
      <c r="AM68" s="29">
        <f t="shared" si="22"/>
        <v>524.4</v>
      </c>
      <c r="AN68" s="29">
        <f t="shared" si="23"/>
        <v>0.83714721586575136</v>
      </c>
      <c r="AO68" s="29">
        <f t="shared" si="24"/>
        <v>0.9375</v>
      </c>
      <c r="AP68" s="31">
        <f t="shared" si="25"/>
        <v>0.8929570302568014</v>
      </c>
      <c r="AQ68" s="31">
        <f t="shared" si="26"/>
        <v>0.9248291571753986</v>
      </c>
      <c r="AR68" s="31">
        <f t="shared" si="27"/>
        <v>0.81037924151696639</v>
      </c>
      <c r="AS68" s="29">
        <f t="shared" si="28"/>
        <v>41.373644646924824</v>
      </c>
      <c r="AT68" s="29">
        <f t="shared" si="29"/>
        <v>6.8408217059894767</v>
      </c>
      <c r="AU68" s="27" t="str">
        <f t="shared" si="30"/>
        <v>Medium</v>
      </c>
      <c r="AV68" s="27" t="str">
        <f t="shared" si="31"/>
        <v>Warning</v>
      </c>
      <c r="AW68" s="27"/>
    </row>
    <row r="69" spans="1:49" x14ac:dyDescent="0.25">
      <c r="A69" s="27">
        <v>68</v>
      </c>
      <c r="B69" s="28">
        <v>46153</v>
      </c>
      <c r="C69" s="28" t="str">
        <f t="shared" si="16"/>
        <v>May</v>
      </c>
      <c r="D69" s="27" t="s">
        <v>47</v>
      </c>
      <c r="E69" s="27" t="s">
        <v>48</v>
      </c>
      <c r="F69" s="27" t="s">
        <v>72</v>
      </c>
      <c r="G69" s="27" t="s">
        <v>78</v>
      </c>
      <c r="H69" s="27" t="s">
        <v>51</v>
      </c>
      <c r="I69" s="27" t="s">
        <v>187</v>
      </c>
      <c r="J69" s="27" t="s">
        <v>186</v>
      </c>
      <c r="K69" s="27">
        <v>733</v>
      </c>
      <c r="L69" s="27">
        <v>638</v>
      </c>
      <c r="M69" s="27">
        <v>612</v>
      </c>
      <c r="N69" s="27">
        <v>26</v>
      </c>
      <c r="O69" s="27">
        <v>9</v>
      </c>
      <c r="P69" s="27">
        <v>6</v>
      </c>
      <c r="Q69" s="27" t="s">
        <v>97</v>
      </c>
      <c r="R69" s="27">
        <v>42</v>
      </c>
      <c r="S69" s="27">
        <v>42</v>
      </c>
      <c r="T69" s="29">
        <v>73.400000000000006</v>
      </c>
      <c r="U69" s="29">
        <v>1.93</v>
      </c>
      <c r="V69" s="29">
        <v>22.14</v>
      </c>
      <c r="W69" s="30">
        <v>11674.73</v>
      </c>
      <c r="X69" s="27">
        <v>7.92</v>
      </c>
      <c r="Y69" s="27" t="s">
        <v>55</v>
      </c>
      <c r="Z69" s="29">
        <v>34</v>
      </c>
      <c r="AA69" s="30">
        <v>19369</v>
      </c>
      <c r="AB69" s="29">
        <v>0.95924764890282099</v>
      </c>
      <c r="AC69" s="30">
        <v>15437.99</v>
      </c>
      <c r="AD69" s="30">
        <v>164.690548589342</v>
      </c>
      <c r="AE69" s="27">
        <v>513.1</v>
      </c>
      <c r="AF69" s="29">
        <v>0.98830637302669999</v>
      </c>
      <c r="AG69" s="30">
        <v>3766.3194514106599</v>
      </c>
      <c r="AH69" s="31">
        <f t="shared" si="17"/>
        <v>0.87039563437926326</v>
      </c>
      <c r="AI69" s="31">
        <f t="shared" si="18"/>
        <v>4.0752351097178681E-2</v>
      </c>
      <c r="AJ69" s="31">
        <f t="shared" si="19"/>
        <v>1.4106583072100314E-2</v>
      </c>
      <c r="AK69" s="31">
        <f t="shared" si="20"/>
        <v>0.95924764890282133</v>
      </c>
      <c r="AL69" s="29">
        <f t="shared" si="21"/>
        <v>0.1</v>
      </c>
      <c r="AM69" s="29">
        <f t="shared" si="22"/>
        <v>507.1</v>
      </c>
      <c r="AN69" s="29">
        <f t="shared" si="23"/>
        <v>1.2581344902386116</v>
      </c>
      <c r="AO69" s="29">
        <f t="shared" si="24"/>
        <v>1.4285714285714286</v>
      </c>
      <c r="AP69" s="31">
        <f t="shared" si="25"/>
        <v>0.8806941431670281</v>
      </c>
      <c r="AQ69" s="31">
        <f t="shared" si="26"/>
        <v>0.95924764890282133</v>
      </c>
      <c r="AR69" s="31">
        <f t="shared" si="27"/>
        <v>0.83492496589358756</v>
      </c>
      <c r="AS69" s="29">
        <f t="shared" si="28"/>
        <v>24.197476489028212</v>
      </c>
      <c r="AT69" s="29">
        <f t="shared" si="29"/>
        <v>5.9033220241546394</v>
      </c>
      <c r="AU69" s="27" t="str">
        <f t="shared" si="30"/>
        <v>Medium</v>
      </c>
      <c r="AV69" s="27" t="str">
        <f t="shared" si="31"/>
        <v>Warning</v>
      </c>
      <c r="AW69" s="27"/>
    </row>
    <row r="70" spans="1:49" x14ac:dyDescent="0.25">
      <c r="A70" s="27">
        <v>69</v>
      </c>
      <c r="B70" s="28">
        <v>46041</v>
      </c>
      <c r="C70" s="28" t="str">
        <f t="shared" si="16"/>
        <v>January</v>
      </c>
      <c r="D70" s="27" t="s">
        <v>67</v>
      </c>
      <c r="E70" s="27" t="s">
        <v>61</v>
      </c>
      <c r="F70" s="27" t="s">
        <v>95</v>
      </c>
      <c r="G70" s="27" t="s">
        <v>63</v>
      </c>
      <c r="H70" s="27" t="s">
        <v>51</v>
      </c>
      <c r="I70" s="27" t="s">
        <v>188</v>
      </c>
      <c r="J70" s="27" t="s">
        <v>134</v>
      </c>
      <c r="K70" s="27">
        <v>786</v>
      </c>
      <c r="L70" s="27">
        <v>790</v>
      </c>
      <c r="M70" s="27">
        <v>740</v>
      </c>
      <c r="N70" s="27">
        <v>50</v>
      </c>
      <c r="O70" s="27">
        <v>20</v>
      </c>
      <c r="P70" s="27">
        <v>18</v>
      </c>
      <c r="Q70" s="27" t="s">
        <v>54</v>
      </c>
      <c r="R70" s="27">
        <v>42</v>
      </c>
      <c r="S70" s="27">
        <v>41</v>
      </c>
      <c r="T70" s="29">
        <v>75.8</v>
      </c>
      <c r="U70" s="29">
        <v>1.97</v>
      </c>
      <c r="V70" s="29">
        <v>31.62</v>
      </c>
      <c r="W70" s="30">
        <v>14851.86</v>
      </c>
      <c r="X70" s="27">
        <v>9.06</v>
      </c>
      <c r="Y70" s="27" t="s">
        <v>55</v>
      </c>
      <c r="Z70" s="29">
        <v>27</v>
      </c>
      <c r="AA70" s="30">
        <v>23399.85</v>
      </c>
      <c r="AB70" s="29">
        <v>0.936708860759494</v>
      </c>
      <c r="AC70" s="30">
        <v>19213.439999999999</v>
      </c>
      <c r="AD70" s="30">
        <v>375.99645569620299</v>
      </c>
      <c r="AE70" s="27">
        <v>550.20000000000005</v>
      </c>
      <c r="AF70" s="29">
        <v>0.96728462377317304</v>
      </c>
      <c r="AG70" s="30">
        <v>3810.4135443037899</v>
      </c>
      <c r="AH70" s="31">
        <f t="shared" si="17"/>
        <v>1.005089058524173</v>
      </c>
      <c r="AI70" s="31">
        <f t="shared" si="18"/>
        <v>6.3291139240506333E-2</v>
      </c>
      <c r="AJ70" s="31">
        <f t="shared" si="19"/>
        <v>2.5316455696202531E-2</v>
      </c>
      <c r="AK70" s="31">
        <f t="shared" si="20"/>
        <v>0.93670886075949367</v>
      </c>
      <c r="AL70" s="29">
        <f t="shared" si="21"/>
        <v>0.3</v>
      </c>
      <c r="AM70" s="29">
        <f t="shared" si="22"/>
        <v>532.20000000000005</v>
      </c>
      <c r="AN70" s="29">
        <f t="shared" si="23"/>
        <v>1.4844043592634346</v>
      </c>
      <c r="AO70" s="29">
        <f t="shared" si="24"/>
        <v>1.4285714285714286</v>
      </c>
      <c r="AP70" s="31">
        <f t="shared" si="25"/>
        <v>1.0390830514844043</v>
      </c>
      <c r="AQ70" s="31">
        <f t="shared" si="26"/>
        <v>0.93670886075949367</v>
      </c>
      <c r="AR70" s="31">
        <f t="shared" si="27"/>
        <v>0.94147582697200971</v>
      </c>
      <c r="AS70" s="29">
        <f t="shared" si="28"/>
        <v>24.320810126582277</v>
      </c>
      <c r="AT70" s="29">
        <f t="shared" si="29"/>
        <v>4.8233082839288484</v>
      </c>
      <c r="AU70" s="27" t="str">
        <f t="shared" si="30"/>
        <v>Low</v>
      </c>
      <c r="AV70" s="27" t="str">
        <f t="shared" si="31"/>
        <v>Normal</v>
      </c>
      <c r="AW70" s="27"/>
    </row>
    <row r="71" spans="1:49" x14ac:dyDescent="0.25">
      <c r="A71" s="27">
        <v>70</v>
      </c>
      <c r="B71" s="28">
        <v>46159</v>
      </c>
      <c r="C71" s="28" t="str">
        <f t="shared" si="16"/>
        <v>May</v>
      </c>
      <c r="D71" s="27" t="s">
        <v>47</v>
      </c>
      <c r="E71" s="27" t="s">
        <v>76</v>
      </c>
      <c r="F71" s="27" t="s">
        <v>113</v>
      </c>
      <c r="G71" s="27" t="s">
        <v>50</v>
      </c>
      <c r="H71" s="27" t="s">
        <v>68</v>
      </c>
      <c r="I71" s="27" t="s">
        <v>189</v>
      </c>
      <c r="J71" s="27" t="s">
        <v>101</v>
      </c>
      <c r="K71" s="27">
        <v>493</v>
      </c>
      <c r="L71" s="27">
        <v>465</v>
      </c>
      <c r="M71" s="27">
        <v>445</v>
      </c>
      <c r="N71" s="27">
        <v>20</v>
      </c>
      <c r="O71" s="27">
        <v>7</v>
      </c>
      <c r="P71" s="27">
        <v>16</v>
      </c>
      <c r="Q71" s="27" t="s">
        <v>82</v>
      </c>
      <c r="R71" s="27">
        <v>64</v>
      </c>
      <c r="S71" s="27">
        <v>66</v>
      </c>
      <c r="T71" s="29">
        <v>72.5</v>
      </c>
      <c r="U71" s="29">
        <v>1.96</v>
      </c>
      <c r="V71" s="29">
        <v>17.48</v>
      </c>
      <c r="W71" s="30">
        <v>14876.79</v>
      </c>
      <c r="X71" s="27">
        <v>8.09</v>
      </c>
      <c r="Y71" s="27" t="s">
        <v>66</v>
      </c>
      <c r="Z71" s="29">
        <v>13</v>
      </c>
      <c r="AA71" s="30">
        <v>23137.279999999999</v>
      </c>
      <c r="AB71" s="29">
        <v>0.956989247311828</v>
      </c>
      <c r="AC71" s="30">
        <v>18674.61</v>
      </c>
      <c r="AD71" s="30">
        <v>223.95167741935501</v>
      </c>
      <c r="AE71" s="27">
        <v>525.86666666666702</v>
      </c>
      <c r="AF71" s="29">
        <v>0.96957403651115603</v>
      </c>
      <c r="AG71" s="30">
        <v>4238.7183225806402</v>
      </c>
      <c r="AH71" s="31">
        <f t="shared" si="17"/>
        <v>0.94320486815415816</v>
      </c>
      <c r="AI71" s="31">
        <f t="shared" si="18"/>
        <v>4.3010752688172046E-2</v>
      </c>
      <c r="AJ71" s="31">
        <f t="shared" si="19"/>
        <v>1.5053763440860216E-2</v>
      </c>
      <c r="AK71" s="31">
        <f t="shared" si="20"/>
        <v>0.956989247311828</v>
      </c>
      <c r="AL71" s="29">
        <f t="shared" si="21"/>
        <v>0.26666666666666666</v>
      </c>
      <c r="AM71" s="29">
        <f t="shared" si="22"/>
        <v>509.86666666666702</v>
      </c>
      <c r="AN71" s="29">
        <f t="shared" si="23"/>
        <v>0.91200313807531319</v>
      </c>
      <c r="AO71" s="29">
        <f t="shared" si="24"/>
        <v>0.9375</v>
      </c>
      <c r="AP71" s="31">
        <f t="shared" si="25"/>
        <v>0.97280334728033402</v>
      </c>
      <c r="AQ71" s="31">
        <f t="shared" si="26"/>
        <v>0.956989247311828</v>
      </c>
      <c r="AR71" s="31">
        <f t="shared" si="27"/>
        <v>0.90263691683569902</v>
      </c>
      <c r="AS71" s="29">
        <f t="shared" si="28"/>
        <v>40.160451612903231</v>
      </c>
      <c r="AT71" s="29">
        <f t="shared" si="29"/>
        <v>9.1155232743669679</v>
      </c>
      <c r="AU71" s="27" t="str">
        <f t="shared" si="30"/>
        <v>Low</v>
      </c>
      <c r="AV71" s="27" t="str">
        <f t="shared" si="31"/>
        <v>Normal</v>
      </c>
      <c r="AW71" s="27"/>
    </row>
    <row r="72" spans="1:49" x14ac:dyDescent="0.25">
      <c r="A72" s="27">
        <v>71</v>
      </c>
      <c r="B72" s="28">
        <v>46183</v>
      </c>
      <c r="C72" s="28" t="str">
        <f t="shared" si="16"/>
        <v>June</v>
      </c>
      <c r="D72" s="27" t="s">
        <v>67</v>
      </c>
      <c r="E72" s="27" t="s">
        <v>129</v>
      </c>
      <c r="F72" s="27" t="s">
        <v>151</v>
      </c>
      <c r="G72" s="27" t="s">
        <v>50</v>
      </c>
      <c r="H72" s="27" t="s">
        <v>57</v>
      </c>
      <c r="I72" s="27" t="s">
        <v>190</v>
      </c>
      <c r="J72" s="27" t="s">
        <v>191</v>
      </c>
      <c r="K72" s="27">
        <v>832</v>
      </c>
      <c r="L72" s="27">
        <v>772</v>
      </c>
      <c r="M72" s="27">
        <v>723</v>
      </c>
      <c r="N72" s="27">
        <v>49</v>
      </c>
      <c r="O72" s="27">
        <v>13</v>
      </c>
      <c r="P72" s="27">
        <v>13</v>
      </c>
      <c r="Q72" s="27" t="s">
        <v>104</v>
      </c>
      <c r="R72" s="27">
        <v>45</v>
      </c>
      <c r="S72" s="27">
        <v>46</v>
      </c>
      <c r="T72" s="29">
        <v>74.3</v>
      </c>
      <c r="U72" s="29">
        <v>2.33</v>
      </c>
      <c r="V72" s="29">
        <v>26.47</v>
      </c>
      <c r="W72" s="30">
        <v>15854.45</v>
      </c>
      <c r="X72" s="27">
        <v>7.01</v>
      </c>
      <c r="Y72" s="27" t="s">
        <v>55</v>
      </c>
      <c r="Z72" s="29">
        <v>21</v>
      </c>
      <c r="AA72" s="30">
        <v>24731.88</v>
      </c>
      <c r="AB72" s="29">
        <v>0.93652849740932598</v>
      </c>
      <c r="AC72" s="30">
        <v>19247.18</v>
      </c>
      <c r="AD72" s="30">
        <v>266.97908031088099</v>
      </c>
      <c r="AE72" s="27">
        <v>624</v>
      </c>
      <c r="AF72" s="29">
        <v>0.97916666666666696</v>
      </c>
      <c r="AG72" s="30">
        <v>5217.7209196891199</v>
      </c>
      <c r="AH72" s="31">
        <f t="shared" si="17"/>
        <v>0.92788461538461542</v>
      </c>
      <c r="AI72" s="31">
        <f t="shared" si="18"/>
        <v>6.3471502590673579E-2</v>
      </c>
      <c r="AJ72" s="31">
        <f t="shared" si="19"/>
        <v>1.683937823834197E-2</v>
      </c>
      <c r="AK72" s="31">
        <f t="shared" si="20"/>
        <v>0.93652849740932642</v>
      </c>
      <c r="AL72" s="29">
        <f t="shared" si="21"/>
        <v>0.21666666666666667</v>
      </c>
      <c r="AM72" s="29">
        <f t="shared" si="22"/>
        <v>611</v>
      </c>
      <c r="AN72" s="29">
        <f t="shared" si="23"/>
        <v>1.2635024549918168</v>
      </c>
      <c r="AO72" s="29">
        <f t="shared" si="24"/>
        <v>1.3333333333333333</v>
      </c>
      <c r="AP72" s="31">
        <f t="shared" si="25"/>
        <v>0.94762684124386265</v>
      </c>
      <c r="AQ72" s="31">
        <f t="shared" si="26"/>
        <v>0.93652849740932642</v>
      </c>
      <c r="AR72" s="31">
        <f t="shared" si="27"/>
        <v>0.86899038461538491</v>
      </c>
      <c r="AS72" s="29">
        <f t="shared" si="28"/>
        <v>24.931580310880829</v>
      </c>
      <c r="AT72" s="29">
        <f t="shared" si="29"/>
        <v>6.7587058545195857</v>
      </c>
      <c r="AU72" s="27" t="str">
        <f t="shared" si="30"/>
        <v>Low</v>
      </c>
      <c r="AV72" s="27" t="str">
        <f t="shared" si="31"/>
        <v>Normal</v>
      </c>
      <c r="AW72" s="27"/>
    </row>
    <row r="73" spans="1:49" x14ac:dyDescent="0.25">
      <c r="A73" s="27">
        <v>72</v>
      </c>
      <c r="B73" s="28">
        <v>46138</v>
      </c>
      <c r="C73" s="28" t="str">
        <f t="shared" si="16"/>
        <v>April</v>
      </c>
      <c r="D73" s="27" t="s">
        <v>47</v>
      </c>
      <c r="E73" s="27" t="s">
        <v>98</v>
      </c>
      <c r="F73" s="27" t="s">
        <v>105</v>
      </c>
      <c r="G73" s="27" t="s">
        <v>50</v>
      </c>
      <c r="H73" s="27" t="s">
        <v>68</v>
      </c>
      <c r="I73" s="27" t="s">
        <v>192</v>
      </c>
      <c r="J73" s="27" t="s">
        <v>107</v>
      </c>
      <c r="K73" s="27">
        <v>513</v>
      </c>
      <c r="L73" s="27">
        <v>481</v>
      </c>
      <c r="M73" s="27">
        <v>442</v>
      </c>
      <c r="N73" s="27">
        <v>39</v>
      </c>
      <c r="O73" s="27">
        <v>11</v>
      </c>
      <c r="P73" s="27">
        <v>46</v>
      </c>
      <c r="Q73" s="27" t="s">
        <v>97</v>
      </c>
      <c r="R73" s="27">
        <v>64</v>
      </c>
      <c r="S73" s="27">
        <v>68</v>
      </c>
      <c r="T73" s="29">
        <v>73.099999999999994</v>
      </c>
      <c r="U73" s="29">
        <v>2.34</v>
      </c>
      <c r="V73" s="29">
        <v>21.49</v>
      </c>
      <c r="W73" s="30">
        <v>14177.47</v>
      </c>
      <c r="X73" s="27">
        <v>7.97</v>
      </c>
      <c r="Y73" s="27" t="s">
        <v>55</v>
      </c>
      <c r="Z73" s="29">
        <v>15</v>
      </c>
      <c r="AA73" s="30">
        <v>22626.45</v>
      </c>
      <c r="AB73" s="29">
        <v>0.91891891891891897</v>
      </c>
      <c r="AC73" s="30">
        <v>17957.38</v>
      </c>
      <c r="AD73" s="30">
        <v>324.22488565488601</v>
      </c>
      <c r="AE73" s="27">
        <v>547.20000000000005</v>
      </c>
      <c r="AF73" s="29">
        <v>0.91593567251462005</v>
      </c>
      <c r="AG73" s="30">
        <v>4344.8451143451102</v>
      </c>
      <c r="AH73" s="31">
        <f t="shared" si="17"/>
        <v>0.93762183235867447</v>
      </c>
      <c r="AI73" s="31">
        <f t="shared" si="18"/>
        <v>8.1081081081081086E-2</v>
      </c>
      <c r="AJ73" s="31">
        <f t="shared" si="19"/>
        <v>2.286902286902287E-2</v>
      </c>
      <c r="AK73" s="31">
        <f t="shared" si="20"/>
        <v>0.91891891891891897</v>
      </c>
      <c r="AL73" s="29">
        <f t="shared" si="21"/>
        <v>0.76666666666666672</v>
      </c>
      <c r="AM73" s="29">
        <f t="shared" si="22"/>
        <v>501.20000000000005</v>
      </c>
      <c r="AN73" s="29">
        <f t="shared" si="23"/>
        <v>0.9596967278531523</v>
      </c>
      <c r="AO73" s="29">
        <f t="shared" si="24"/>
        <v>0.9375</v>
      </c>
      <c r="AP73" s="31">
        <f t="shared" si="25"/>
        <v>1.0236765097100291</v>
      </c>
      <c r="AQ73" s="31">
        <f t="shared" si="26"/>
        <v>0.91891891891891897</v>
      </c>
      <c r="AR73" s="31">
        <f t="shared" si="27"/>
        <v>0.86159844054580903</v>
      </c>
      <c r="AS73" s="29">
        <f t="shared" si="28"/>
        <v>37.333430353430359</v>
      </c>
      <c r="AT73" s="29">
        <f t="shared" si="29"/>
        <v>9.0329420256655091</v>
      </c>
      <c r="AU73" s="27" t="str">
        <f t="shared" si="30"/>
        <v>Medium</v>
      </c>
      <c r="AV73" s="27" t="str">
        <f t="shared" si="31"/>
        <v>Warning</v>
      </c>
      <c r="AW73" s="27"/>
    </row>
    <row r="74" spans="1:49" x14ac:dyDescent="0.25">
      <c r="A74" s="27">
        <v>73</v>
      </c>
      <c r="B74" s="28">
        <v>46172</v>
      </c>
      <c r="C74" s="28" t="str">
        <f t="shared" si="16"/>
        <v>May</v>
      </c>
      <c r="D74" s="27" t="s">
        <v>67</v>
      </c>
      <c r="E74" s="27" t="s">
        <v>48</v>
      </c>
      <c r="F74" s="27" t="s">
        <v>72</v>
      </c>
      <c r="G74" s="27" t="s">
        <v>50</v>
      </c>
      <c r="H74" s="27" t="s">
        <v>124</v>
      </c>
      <c r="I74" s="27" t="s">
        <v>193</v>
      </c>
      <c r="J74" s="27" t="s">
        <v>84</v>
      </c>
      <c r="K74" s="27">
        <v>593</v>
      </c>
      <c r="L74" s="27">
        <v>617</v>
      </c>
      <c r="M74" s="27">
        <v>599</v>
      </c>
      <c r="N74" s="27">
        <v>18</v>
      </c>
      <c r="O74" s="27">
        <v>6</v>
      </c>
      <c r="P74" s="27">
        <v>6</v>
      </c>
      <c r="Q74" s="27" t="s">
        <v>97</v>
      </c>
      <c r="R74" s="27">
        <v>57</v>
      </c>
      <c r="S74" s="27">
        <v>61</v>
      </c>
      <c r="T74" s="29">
        <v>67.2</v>
      </c>
      <c r="U74" s="29">
        <v>1.56</v>
      </c>
      <c r="V74" s="29">
        <v>18.2</v>
      </c>
      <c r="W74" s="30">
        <v>17505.849999999999</v>
      </c>
      <c r="X74" s="27">
        <v>8.4499999999999993</v>
      </c>
      <c r="Y74" s="27" t="s">
        <v>71</v>
      </c>
      <c r="Z74" s="29">
        <v>31</v>
      </c>
      <c r="AA74" s="30">
        <v>27852.240000000002</v>
      </c>
      <c r="AB74" s="29">
        <v>0.97082658022690405</v>
      </c>
      <c r="AC74" s="30">
        <v>21472.15</v>
      </c>
      <c r="AD74" s="30">
        <v>170.235170178282</v>
      </c>
      <c r="AE74" s="27">
        <v>563.35</v>
      </c>
      <c r="AF74" s="29">
        <v>0.98934942753173005</v>
      </c>
      <c r="AG74" s="30">
        <v>6209.8548298217202</v>
      </c>
      <c r="AH74" s="31">
        <f t="shared" si="17"/>
        <v>1.0404721753794266</v>
      </c>
      <c r="AI74" s="31">
        <f t="shared" si="18"/>
        <v>2.9173419773095625E-2</v>
      </c>
      <c r="AJ74" s="31">
        <f t="shared" si="19"/>
        <v>9.7244732576985422E-3</v>
      </c>
      <c r="AK74" s="31">
        <f t="shared" si="20"/>
        <v>0.97082658022690438</v>
      </c>
      <c r="AL74" s="29">
        <f t="shared" si="21"/>
        <v>0.1</v>
      </c>
      <c r="AM74" s="29">
        <f t="shared" si="22"/>
        <v>557.35</v>
      </c>
      <c r="AN74" s="29">
        <f t="shared" si="23"/>
        <v>1.1070243114739391</v>
      </c>
      <c r="AO74" s="29">
        <f t="shared" si="24"/>
        <v>1.0526315789473684</v>
      </c>
      <c r="AP74" s="31">
        <f t="shared" si="25"/>
        <v>1.0516730959002423</v>
      </c>
      <c r="AQ74" s="31">
        <f t="shared" si="26"/>
        <v>0.97082658022690438</v>
      </c>
      <c r="AR74" s="31">
        <f t="shared" si="27"/>
        <v>1.0101180438448569</v>
      </c>
      <c r="AS74" s="29">
        <f t="shared" si="28"/>
        <v>34.800891410048628</v>
      </c>
      <c r="AT74" s="29">
        <f t="shared" si="29"/>
        <v>10.064594537798573</v>
      </c>
      <c r="AU74" s="27" t="str">
        <f t="shared" si="30"/>
        <v>High</v>
      </c>
      <c r="AV74" s="27" t="str">
        <f t="shared" si="31"/>
        <v>Normal</v>
      </c>
      <c r="AW74" s="27"/>
    </row>
    <row r="75" spans="1:49" x14ac:dyDescent="0.25">
      <c r="A75" s="27">
        <v>74</v>
      </c>
      <c r="B75" s="28">
        <v>46053</v>
      </c>
      <c r="C75" s="28" t="str">
        <f t="shared" si="16"/>
        <v>January</v>
      </c>
      <c r="D75" s="27" t="s">
        <v>47</v>
      </c>
      <c r="E75" s="27" t="s">
        <v>48</v>
      </c>
      <c r="F75" s="27" t="s">
        <v>56</v>
      </c>
      <c r="G75" s="27" t="s">
        <v>50</v>
      </c>
      <c r="H75" s="27" t="s">
        <v>68</v>
      </c>
      <c r="I75" s="27" t="s">
        <v>194</v>
      </c>
      <c r="J75" s="27" t="s">
        <v>155</v>
      </c>
      <c r="K75" s="27">
        <v>643</v>
      </c>
      <c r="L75" s="27">
        <v>603</v>
      </c>
      <c r="M75" s="27">
        <v>565</v>
      </c>
      <c r="N75" s="27">
        <v>38</v>
      </c>
      <c r="O75" s="27">
        <v>8</v>
      </c>
      <c r="P75" s="27">
        <v>10</v>
      </c>
      <c r="Q75" s="27" t="s">
        <v>54</v>
      </c>
      <c r="R75" s="27">
        <v>64</v>
      </c>
      <c r="S75" s="27">
        <v>62</v>
      </c>
      <c r="T75" s="29">
        <v>70</v>
      </c>
      <c r="U75" s="29">
        <v>1.28</v>
      </c>
      <c r="V75" s="29">
        <v>24.29</v>
      </c>
      <c r="W75" s="30">
        <v>19660.63</v>
      </c>
      <c r="X75" s="27">
        <v>7.74</v>
      </c>
      <c r="Y75" s="27" t="s">
        <v>66</v>
      </c>
      <c r="Z75" s="29">
        <v>33</v>
      </c>
      <c r="AA75" s="30">
        <v>29585.37</v>
      </c>
      <c r="AB75" s="29">
        <v>0.93698175787728</v>
      </c>
      <c r="AC75" s="30">
        <v>23362.240000000002</v>
      </c>
      <c r="AD75" s="30">
        <v>260.83754560530701</v>
      </c>
      <c r="AE75" s="27">
        <v>685.86666666666702</v>
      </c>
      <c r="AF75" s="29">
        <v>0.98541990668740298</v>
      </c>
      <c r="AG75" s="30">
        <v>5962.2924543946901</v>
      </c>
      <c r="AH75" s="31">
        <f t="shared" si="17"/>
        <v>0.93779160186625199</v>
      </c>
      <c r="AI75" s="31">
        <f t="shared" si="18"/>
        <v>6.3018242122719739E-2</v>
      </c>
      <c r="AJ75" s="31">
        <f t="shared" si="19"/>
        <v>1.3266998341625208E-2</v>
      </c>
      <c r="AK75" s="31">
        <f t="shared" si="20"/>
        <v>0.93698175787728022</v>
      </c>
      <c r="AL75" s="29">
        <f t="shared" si="21"/>
        <v>0.16666666666666666</v>
      </c>
      <c r="AM75" s="29">
        <f t="shared" si="22"/>
        <v>675.86666666666702</v>
      </c>
      <c r="AN75" s="29">
        <f t="shared" si="23"/>
        <v>0.89218780824620192</v>
      </c>
      <c r="AO75" s="29">
        <f t="shared" si="24"/>
        <v>0.9375</v>
      </c>
      <c r="AP75" s="31">
        <f t="shared" si="25"/>
        <v>0.95166699546261535</v>
      </c>
      <c r="AQ75" s="31">
        <f t="shared" si="26"/>
        <v>0.93698175787728022</v>
      </c>
      <c r="AR75" s="31">
        <f t="shared" si="27"/>
        <v>0.8786936236391909</v>
      </c>
      <c r="AS75" s="29">
        <f t="shared" si="28"/>
        <v>38.743349917081261</v>
      </c>
      <c r="AT75" s="29">
        <f t="shared" si="29"/>
        <v>9.8877155130923544</v>
      </c>
      <c r="AU75" s="27" t="str">
        <f t="shared" si="30"/>
        <v>Medium</v>
      </c>
      <c r="AV75" s="27" t="str">
        <f t="shared" si="31"/>
        <v>Normal</v>
      </c>
      <c r="AW75" s="27"/>
    </row>
    <row r="76" spans="1:49" x14ac:dyDescent="0.25">
      <c r="A76" s="27">
        <v>75</v>
      </c>
      <c r="B76" s="28">
        <v>46099</v>
      </c>
      <c r="C76" s="28" t="str">
        <f t="shared" si="16"/>
        <v>March</v>
      </c>
      <c r="D76" s="27" t="s">
        <v>67</v>
      </c>
      <c r="E76" s="27" t="s">
        <v>76</v>
      </c>
      <c r="F76" s="27" t="s">
        <v>113</v>
      </c>
      <c r="G76" s="27" t="s">
        <v>63</v>
      </c>
      <c r="H76" s="27" t="s">
        <v>57</v>
      </c>
      <c r="I76" s="27" t="s">
        <v>195</v>
      </c>
      <c r="J76" s="27" t="s">
        <v>121</v>
      </c>
      <c r="K76" s="27">
        <v>923</v>
      </c>
      <c r="L76" s="27">
        <v>905</v>
      </c>
      <c r="M76" s="27">
        <v>865</v>
      </c>
      <c r="N76" s="27">
        <v>40</v>
      </c>
      <c r="O76" s="27">
        <v>16</v>
      </c>
      <c r="P76" s="27">
        <v>38</v>
      </c>
      <c r="Q76" s="27" t="s">
        <v>97</v>
      </c>
      <c r="R76" s="27">
        <v>45</v>
      </c>
      <c r="S76" s="27">
        <v>47</v>
      </c>
      <c r="T76" s="29">
        <v>64.3</v>
      </c>
      <c r="U76" s="29">
        <v>2.0099999999999998</v>
      </c>
      <c r="V76" s="29">
        <v>37.06</v>
      </c>
      <c r="W76" s="30">
        <v>18725.34</v>
      </c>
      <c r="X76" s="27">
        <v>9.39</v>
      </c>
      <c r="Y76" s="27" t="s">
        <v>66</v>
      </c>
      <c r="Z76" s="29">
        <v>11</v>
      </c>
      <c r="AA76" s="30">
        <v>29676.49</v>
      </c>
      <c r="AB76" s="29">
        <v>0.95580110497237603</v>
      </c>
      <c r="AC76" s="30">
        <v>23284.38</v>
      </c>
      <c r="AD76" s="30">
        <v>331.05573480663003</v>
      </c>
      <c r="AE76" s="27">
        <v>692.25</v>
      </c>
      <c r="AF76" s="29">
        <v>0.945106536655832</v>
      </c>
      <c r="AG76" s="30">
        <v>6061.0542651933702</v>
      </c>
      <c r="AH76" s="31">
        <f t="shared" si="17"/>
        <v>0.98049837486457203</v>
      </c>
      <c r="AI76" s="31">
        <f t="shared" si="18"/>
        <v>4.4198895027624308E-2</v>
      </c>
      <c r="AJ76" s="31">
        <f t="shared" si="19"/>
        <v>1.7679558011049725E-2</v>
      </c>
      <c r="AK76" s="31">
        <f t="shared" si="20"/>
        <v>0.95580110497237569</v>
      </c>
      <c r="AL76" s="29">
        <f t="shared" si="21"/>
        <v>0.6333333333333333</v>
      </c>
      <c r="AM76" s="29">
        <f t="shared" si="22"/>
        <v>654.25</v>
      </c>
      <c r="AN76" s="29">
        <f t="shared" si="23"/>
        <v>1.3832632785632404</v>
      </c>
      <c r="AO76" s="29">
        <f t="shared" si="24"/>
        <v>1.3333333333333333</v>
      </c>
      <c r="AP76" s="31">
        <f t="shared" si="25"/>
        <v>1.0374474589224303</v>
      </c>
      <c r="AQ76" s="31">
        <f t="shared" si="26"/>
        <v>0.95580110497237569</v>
      </c>
      <c r="AR76" s="31">
        <f t="shared" si="27"/>
        <v>0.93716143011917619</v>
      </c>
      <c r="AS76" s="29">
        <f t="shared" si="28"/>
        <v>25.728596685082874</v>
      </c>
      <c r="AT76" s="29">
        <f t="shared" si="29"/>
        <v>6.6972975306004088</v>
      </c>
      <c r="AU76" s="27" t="str">
        <f t="shared" si="30"/>
        <v>Low</v>
      </c>
      <c r="AV76" s="27" t="str">
        <f t="shared" si="31"/>
        <v>Normal</v>
      </c>
      <c r="AW76" s="27"/>
    </row>
    <row r="77" spans="1:49" x14ac:dyDescent="0.25">
      <c r="A77" s="27">
        <v>76</v>
      </c>
      <c r="B77" s="28">
        <v>46184</v>
      </c>
      <c r="C77" s="28" t="str">
        <f t="shared" si="16"/>
        <v>June</v>
      </c>
      <c r="D77" s="27" t="s">
        <v>67</v>
      </c>
      <c r="E77" s="27" t="s">
        <v>98</v>
      </c>
      <c r="F77" s="27" t="s">
        <v>126</v>
      </c>
      <c r="G77" s="27" t="s">
        <v>50</v>
      </c>
      <c r="H77" s="27" t="s">
        <v>124</v>
      </c>
      <c r="I77" s="27" t="s">
        <v>196</v>
      </c>
      <c r="J77" s="27" t="s">
        <v>197</v>
      </c>
      <c r="K77" s="27">
        <v>568</v>
      </c>
      <c r="L77" s="27">
        <v>519</v>
      </c>
      <c r="M77" s="27">
        <v>478</v>
      </c>
      <c r="N77" s="27">
        <v>41</v>
      </c>
      <c r="O77" s="27">
        <v>8</v>
      </c>
      <c r="P77" s="27">
        <v>20</v>
      </c>
      <c r="Q77" s="27" t="s">
        <v>104</v>
      </c>
      <c r="R77" s="27">
        <v>57</v>
      </c>
      <c r="S77" s="27">
        <v>61</v>
      </c>
      <c r="T77" s="29">
        <v>80.900000000000006</v>
      </c>
      <c r="U77" s="29">
        <v>1.67</v>
      </c>
      <c r="V77" s="29">
        <v>16.329999999999998</v>
      </c>
      <c r="W77" s="30">
        <v>13972.86</v>
      </c>
      <c r="X77" s="27">
        <v>8.58</v>
      </c>
      <c r="Y77" s="27" t="s">
        <v>66</v>
      </c>
      <c r="Z77" s="29">
        <v>21</v>
      </c>
      <c r="AA77" s="30">
        <v>21742.29</v>
      </c>
      <c r="AB77" s="29">
        <v>0.92100192678227399</v>
      </c>
      <c r="AC77" s="30">
        <v>17980.830000000002</v>
      </c>
      <c r="AD77" s="30">
        <v>215.381271676301</v>
      </c>
      <c r="AE77" s="27">
        <v>539.6</v>
      </c>
      <c r="AF77" s="29">
        <v>0.96293550778354298</v>
      </c>
      <c r="AG77" s="30">
        <v>3546.0787283237</v>
      </c>
      <c r="AH77" s="31">
        <f t="shared" si="17"/>
        <v>0.91373239436619713</v>
      </c>
      <c r="AI77" s="31">
        <f t="shared" si="18"/>
        <v>7.8998073217726394E-2</v>
      </c>
      <c r="AJ77" s="31">
        <f t="shared" si="19"/>
        <v>1.5414258188824663E-2</v>
      </c>
      <c r="AK77" s="31">
        <f t="shared" si="20"/>
        <v>0.92100192678227355</v>
      </c>
      <c r="AL77" s="29">
        <f t="shared" si="21"/>
        <v>0.33333333333333331</v>
      </c>
      <c r="AM77" s="29">
        <f t="shared" si="22"/>
        <v>519.6</v>
      </c>
      <c r="AN77" s="29">
        <f t="shared" si="23"/>
        <v>0.99884526558891451</v>
      </c>
      <c r="AO77" s="29">
        <f t="shared" si="24"/>
        <v>1.0526315789473684</v>
      </c>
      <c r="AP77" s="31">
        <f t="shared" si="25"/>
        <v>0.94890300230946889</v>
      </c>
      <c r="AQ77" s="31">
        <f t="shared" si="26"/>
        <v>0.92100192678227355</v>
      </c>
      <c r="AR77" s="31">
        <f t="shared" si="27"/>
        <v>0.84154929577464754</v>
      </c>
      <c r="AS77" s="29">
        <f t="shared" si="28"/>
        <v>34.645144508670526</v>
      </c>
      <c r="AT77" s="29">
        <f t="shared" si="29"/>
        <v>6.8325216345350679</v>
      </c>
      <c r="AU77" s="27" t="str">
        <f t="shared" si="30"/>
        <v>Medium</v>
      </c>
      <c r="AV77" s="27" t="str">
        <f t="shared" si="31"/>
        <v>Warning</v>
      </c>
      <c r="AW77" s="27"/>
    </row>
    <row r="78" spans="1:49" x14ac:dyDescent="0.25">
      <c r="A78" s="27">
        <v>77</v>
      </c>
      <c r="B78" s="28">
        <v>46067</v>
      </c>
      <c r="C78" s="28" t="str">
        <f t="shared" si="16"/>
        <v>February</v>
      </c>
      <c r="D78" s="27" t="s">
        <v>67</v>
      </c>
      <c r="E78" s="27" t="s">
        <v>76</v>
      </c>
      <c r="F78" s="27" t="s">
        <v>119</v>
      </c>
      <c r="G78" s="27" t="s">
        <v>63</v>
      </c>
      <c r="H78" s="27" t="s">
        <v>57</v>
      </c>
      <c r="I78" s="27" t="s">
        <v>198</v>
      </c>
      <c r="J78" s="27" t="s">
        <v>59</v>
      </c>
      <c r="K78" s="27">
        <v>927</v>
      </c>
      <c r="L78" s="27">
        <v>788</v>
      </c>
      <c r="M78" s="27">
        <v>716</v>
      </c>
      <c r="N78" s="27">
        <v>72</v>
      </c>
      <c r="O78" s="27">
        <v>29</v>
      </c>
      <c r="P78" s="27">
        <v>46</v>
      </c>
      <c r="Q78" s="27" t="s">
        <v>97</v>
      </c>
      <c r="R78" s="27">
        <v>45</v>
      </c>
      <c r="S78" s="27">
        <v>47</v>
      </c>
      <c r="T78" s="29">
        <v>75.3</v>
      </c>
      <c r="U78" s="29">
        <v>2.0299999999999998</v>
      </c>
      <c r="V78" s="29">
        <v>32.33</v>
      </c>
      <c r="W78" s="30">
        <v>15421.01</v>
      </c>
      <c r="X78" s="27">
        <v>8.02</v>
      </c>
      <c r="Y78" s="27" t="s">
        <v>66</v>
      </c>
      <c r="Z78" s="29">
        <v>24</v>
      </c>
      <c r="AA78" s="30">
        <v>25781.97</v>
      </c>
      <c r="AB78" s="29">
        <v>0.90862944162436499</v>
      </c>
      <c r="AC78" s="30">
        <v>19320.98</v>
      </c>
      <c r="AD78" s="30">
        <v>567.52447969543198</v>
      </c>
      <c r="AE78" s="27">
        <v>695.25</v>
      </c>
      <c r="AF78" s="29">
        <v>0.93383674937073002</v>
      </c>
      <c r="AG78" s="30">
        <v>5893.4655203045704</v>
      </c>
      <c r="AH78" s="31">
        <f t="shared" si="17"/>
        <v>0.85005393743257818</v>
      </c>
      <c r="AI78" s="31">
        <f t="shared" si="18"/>
        <v>9.1370558375634514E-2</v>
      </c>
      <c r="AJ78" s="31">
        <f t="shared" si="19"/>
        <v>3.6802030456852791E-2</v>
      </c>
      <c r="AK78" s="31">
        <f t="shared" si="20"/>
        <v>0.90862944162436543</v>
      </c>
      <c r="AL78" s="29">
        <f t="shared" si="21"/>
        <v>0.76666666666666672</v>
      </c>
      <c r="AM78" s="29">
        <f t="shared" si="22"/>
        <v>649.25</v>
      </c>
      <c r="AN78" s="29">
        <f t="shared" si="23"/>
        <v>1.2137081247593378</v>
      </c>
      <c r="AO78" s="29">
        <f t="shared" si="24"/>
        <v>1.3333333333333333</v>
      </c>
      <c r="AP78" s="31">
        <f t="shared" si="25"/>
        <v>0.91028109356950337</v>
      </c>
      <c r="AQ78" s="31">
        <f t="shared" si="26"/>
        <v>0.90862944162436543</v>
      </c>
      <c r="AR78" s="31">
        <f t="shared" si="27"/>
        <v>0.77238403451995696</v>
      </c>
      <c r="AS78" s="29">
        <f t="shared" si="28"/>
        <v>24.519010152284263</v>
      </c>
      <c r="AT78" s="29">
        <f t="shared" si="29"/>
        <v>7.4790171577469167</v>
      </c>
      <c r="AU78" s="27" t="str">
        <f t="shared" si="30"/>
        <v>High</v>
      </c>
      <c r="AV78" s="27" t="str">
        <f t="shared" si="31"/>
        <v>Warning</v>
      </c>
      <c r="AW78" s="27"/>
    </row>
    <row r="79" spans="1:49" x14ac:dyDescent="0.25">
      <c r="A79" s="27">
        <v>78</v>
      </c>
      <c r="B79" s="28">
        <v>46111</v>
      </c>
      <c r="C79" s="28" t="str">
        <f t="shared" si="16"/>
        <v>March</v>
      </c>
      <c r="D79" s="27" t="s">
        <v>47</v>
      </c>
      <c r="E79" s="27" t="s">
        <v>129</v>
      </c>
      <c r="F79" s="27" t="s">
        <v>167</v>
      </c>
      <c r="G79" s="27" t="s">
        <v>50</v>
      </c>
      <c r="H79" s="27" t="s">
        <v>57</v>
      </c>
      <c r="I79" s="27" t="s">
        <v>199</v>
      </c>
      <c r="J79" s="27" t="s">
        <v>170</v>
      </c>
      <c r="K79" s="27">
        <v>906</v>
      </c>
      <c r="L79" s="27">
        <v>842</v>
      </c>
      <c r="M79" s="27">
        <v>777</v>
      </c>
      <c r="N79" s="27">
        <v>65</v>
      </c>
      <c r="O79" s="27">
        <v>23</v>
      </c>
      <c r="P79" s="27">
        <v>24</v>
      </c>
      <c r="Q79" s="27" t="s">
        <v>82</v>
      </c>
      <c r="R79" s="27">
        <v>45</v>
      </c>
      <c r="S79" s="27">
        <v>45</v>
      </c>
      <c r="T79" s="29">
        <v>68.3</v>
      </c>
      <c r="U79" s="29">
        <v>1.99</v>
      </c>
      <c r="V79" s="29">
        <v>27.08</v>
      </c>
      <c r="W79" s="30">
        <v>18100.27</v>
      </c>
      <c r="X79" s="27">
        <v>7.38</v>
      </c>
      <c r="Y79" s="27" t="s">
        <v>55</v>
      </c>
      <c r="Z79" s="29">
        <v>13</v>
      </c>
      <c r="AA79" s="30">
        <v>26542.639999999999</v>
      </c>
      <c r="AB79" s="29">
        <v>0.92280285035629495</v>
      </c>
      <c r="AC79" s="30">
        <v>21664.99</v>
      </c>
      <c r="AD79" s="30">
        <v>494.42542755344402</v>
      </c>
      <c r="AE79" s="27">
        <v>679.5</v>
      </c>
      <c r="AF79" s="29">
        <v>0.96467991169977896</v>
      </c>
      <c r="AG79" s="30">
        <v>4383.2245724465502</v>
      </c>
      <c r="AH79" s="31">
        <f t="shared" si="17"/>
        <v>0.92935982339955847</v>
      </c>
      <c r="AI79" s="31">
        <f t="shared" si="18"/>
        <v>7.7197149643705457E-2</v>
      </c>
      <c r="AJ79" s="31">
        <f t="shared" si="19"/>
        <v>2.7315914489311165E-2</v>
      </c>
      <c r="AK79" s="31">
        <f t="shared" si="20"/>
        <v>0.9228028503562945</v>
      </c>
      <c r="AL79" s="29">
        <f t="shared" si="21"/>
        <v>0.4</v>
      </c>
      <c r="AM79" s="29">
        <f t="shared" si="22"/>
        <v>655.5</v>
      </c>
      <c r="AN79" s="29">
        <f t="shared" si="23"/>
        <v>1.284515636918383</v>
      </c>
      <c r="AO79" s="29">
        <f t="shared" si="24"/>
        <v>1.3333333333333333</v>
      </c>
      <c r="AP79" s="31">
        <f t="shared" si="25"/>
        <v>0.9633867276887873</v>
      </c>
      <c r="AQ79" s="31">
        <f t="shared" si="26"/>
        <v>0.9228028503562945</v>
      </c>
      <c r="AR79" s="31">
        <f t="shared" si="27"/>
        <v>0.85761589403973493</v>
      </c>
      <c r="AS79" s="29">
        <f t="shared" si="28"/>
        <v>25.730391923990499</v>
      </c>
      <c r="AT79" s="29">
        <f t="shared" si="29"/>
        <v>5.2057298960172806</v>
      </c>
      <c r="AU79" s="27" t="str">
        <f t="shared" si="30"/>
        <v>Low</v>
      </c>
      <c r="AV79" s="27" t="str">
        <f t="shared" si="31"/>
        <v>Normal</v>
      </c>
      <c r="AW79" s="27"/>
    </row>
    <row r="80" spans="1:49" x14ac:dyDescent="0.25">
      <c r="A80" s="27">
        <v>79</v>
      </c>
      <c r="B80" s="28">
        <v>46107</v>
      </c>
      <c r="C80" s="28" t="str">
        <f t="shared" si="16"/>
        <v>March</v>
      </c>
      <c r="D80" s="27" t="s">
        <v>67</v>
      </c>
      <c r="E80" s="27" t="s">
        <v>48</v>
      </c>
      <c r="F80" s="27" t="s">
        <v>49</v>
      </c>
      <c r="G80" s="27" t="s">
        <v>63</v>
      </c>
      <c r="H80" s="27" t="s">
        <v>51</v>
      </c>
      <c r="I80" s="27" t="s">
        <v>200</v>
      </c>
      <c r="J80" s="27" t="s">
        <v>65</v>
      </c>
      <c r="K80" s="27">
        <v>928</v>
      </c>
      <c r="L80" s="27">
        <v>930</v>
      </c>
      <c r="M80" s="27">
        <v>886</v>
      </c>
      <c r="N80" s="27">
        <v>44</v>
      </c>
      <c r="O80" s="27">
        <v>10</v>
      </c>
      <c r="P80" s="27">
        <v>10</v>
      </c>
      <c r="Q80" s="27" t="s">
        <v>102</v>
      </c>
      <c r="R80" s="27">
        <v>42</v>
      </c>
      <c r="S80" s="27">
        <v>45</v>
      </c>
      <c r="T80" s="29">
        <v>76</v>
      </c>
      <c r="U80" s="29">
        <v>2.77</v>
      </c>
      <c r="V80" s="29">
        <v>35.659999999999997</v>
      </c>
      <c r="W80" s="30">
        <v>16249.71</v>
      </c>
      <c r="X80" s="27">
        <v>10.26</v>
      </c>
      <c r="Y80" s="27" t="s">
        <v>66</v>
      </c>
      <c r="Z80" s="29">
        <v>33</v>
      </c>
      <c r="AA80" s="30">
        <v>28926.31</v>
      </c>
      <c r="AB80" s="29">
        <v>0.95268817204301104</v>
      </c>
      <c r="AC80" s="30">
        <v>21187.65</v>
      </c>
      <c r="AD80" s="30">
        <v>174.728064516129</v>
      </c>
      <c r="AE80" s="27">
        <v>649.6</v>
      </c>
      <c r="AF80" s="29">
        <v>0.98460591133004904</v>
      </c>
      <c r="AG80" s="30">
        <v>7563.9319354838699</v>
      </c>
      <c r="AH80" s="31">
        <f t="shared" si="17"/>
        <v>1.0021551724137931</v>
      </c>
      <c r="AI80" s="31">
        <f t="shared" si="18"/>
        <v>4.7311827956989246E-2</v>
      </c>
      <c r="AJ80" s="31">
        <f t="shared" si="19"/>
        <v>1.0752688172043012E-2</v>
      </c>
      <c r="AK80" s="31">
        <f t="shared" si="20"/>
        <v>0.95268817204301071</v>
      </c>
      <c r="AL80" s="29">
        <f t="shared" si="21"/>
        <v>0.16666666666666666</v>
      </c>
      <c r="AM80" s="29">
        <f t="shared" si="22"/>
        <v>639.6</v>
      </c>
      <c r="AN80" s="29">
        <f t="shared" si="23"/>
        <v>1.4540337711069418</v>
      </c>
      <c r="AO80" s="29">
        <f t="shared" si="24"/>
        <v>1.4285714285714286</v>
      </c>
      <c r="AP80" s="31">
        <f t="shared" si="25"/>
        <v>1.0178236397748592</v>
      </c>
      <c r="AQ80" s="31">
        <f t="shared" si="26"/>
        <v>0.95268817204301071</v>
      </c>
      <c r="AR80" s="31">
        <f t="shared" si="27"/>
        <v>0.95474137931034464</v>
      </c>
      <c r="AS80" s="29">
        <f t="shared" si="28"/>
        <v>22.782419354838712</v>
      </c>
      <c r="AT80" s="29">
        <f t="shared" si="29"/>
        <v>8.1332601456815805</v>
      </c>
      <c r="AU80" s="27" t="str">
        <f t="shared" si="30"/>
        <v>Medium</v>
      </c>
      <c r="AV80" s="27" t="str">
        <f t="shared" si="31"/>
        <v>Normal</v>
      </c>
      <c r="AW80" s="27"/>
    </row>
    <row r="81" spans="1:49" x14ac:dyDescent="0.25">
      <c r="A81" s="27">
        <v>80</v>
      </c>
      <c r="B81" s="28">
        <v>46032</v>
      </c>
      <c r="C81" s="28" t="str">
        <f t="shared" si="16"/>
        <v>January</v>
      </c>
      <c r="D81" s="27" t="s">
        <v>67</v>
      </c>
      <c r="E81" s="27" t="s">
        <v>61</v>
      </c>
      <c r="F81" s="27" t="s">
        <v>88</v>
      </c>
      <c r="G81" s="27" t="s">
        <v>78</v>
      </c>
      <c r="H81" s="27" t="s">
        <v>68</v>
      </c>
      <c r="I81" s="27" t="s">
        <v>201</v>
      </c>
      <c r="J81" s="27" t="s">
        <v>143</v>
      </c>
      <c r="K81" s="27">
        <v>674</v>
      </c>
      <c r="L81" s="27">
        <v>612</v>
      </c>
      <c r="M81" s="27">
        <v>581</v>
      </c>
      <c r="N81" s="27">
        <v>31</v>
      </c>
      <c r="O81" s="27">
        <v>12</v>
      </c>
      <c r="P81" s="27">
        <v>14</v>
      </c>
      <c r="Q81" s="27" t="s">
        <v>97</v>
      </c>
      <c r="R81" s="27">
        <v>64</v>
      </c>
      <c r="S81" s="27">
        <v>66</v>
      </c>
      <c r="T81" s="29">
        <v>65.099999999999994</v>
      </c>
      <c r="U81" s="29">
        <v>2.2200000000000002</v>
      </c>
      <c r="V81" s="29">
        <v>18.98</v>
      </c>
      <c r="W81" s="30">
        <v>18454.830000000002</v>
      </c>
      <c r="X81" s="27">
        <v>8.9600000000000009</v>
      </c>
      <c r="Y81" s="27" t="s">
        <v>55</v>
      </c>
      <c r="Z81" s="29">
        <v>31</v>
      </c>
      <c r="AA81" s="30">
        <v>30630.95</v>
      </c>
      <c r="AB81" s="29">
        <v>0.94934640522875802</v>
      </c>
      <c r="AC81" s="30">
        <v>22657.65</v>
      </c>
      <c r="AD81" s="30">
        <v>361.85941176470601</v>
      </c>
      <c r="AE81" s="27">
        <v>718.93333333333305</v>
      </c>
      <c r="AF81" s="29">
        <v>0.98052670623145399</v>
      </c>
      <c r="AG81" s="30">
        <v>7611.4405882352903</v>
      </c>
      <c r="AH81" s="31">
        <f t="shared" si="17"/>
        <v>0.90801186943620182</v>
      </c>
      <c r="AI81" s="31">
        <f t="shared" si="18"/>
        <v>5.0653594771241831E-2</v>
      </c>
      <c r="AJ81" s="31">
        <f t="shared" si="19"/>
        <v>1.9607843137254902E-2</v>
      </c>
      <c r="AK81" s="31">
        <f t="shared" si="20"/>
        <v>0.94934640522875813</v>
      </c>
      <c r="AL81" s="29">
        <f t="shared" si="21"/>
        <v>0.23333333333333334</v>
      </c>
      <c r="AM81" s="29">
        <f t="shared" si="22"/>
        <v>704.93333333333305</v>
      </c>
      <c r="AN81" s="29">
        <f t="shared" si="23"/>
        <v>0.86816720257234758</v>
      </c>
      <c r="AO81" s="29">
        <f t="shared" si="24"/>
        <v>0.9375</v>
      </c>
      <c r="AP81" s="31">
        <f t="shared" si="25"/>
        <v>0.92604501607717071</v>
      </c>
      <c r="AQ81" s="31">
        <f t="shared" si="26"/>
        <v>0.94934640522875813</v>
      </c>
      <c r="AR81" s="31">
        <f t="shared" si="27"/>
        <v>0.86201780415430285</v>
      </c>
      <c r="AS81" s="29">
        <f t="shared" si="28"/>
        <v>37.022303921568628</v>
      </c>
      <c r="AT81" s="29">
        <f t="shared" si="29"/>
        <v>12.436994425221062</v>
      </c>
      <c r="AU81" s="27" t="str">
        <f t="shared" si="30"/>
        <v>Medium</v>
      </c>
      <c r="AV81" s="27" t="str">
        <f t="shared" si="31"/>
        <v>Normal</v>
      </c>
      <c r="AW81" s="27"/>
    </row>
    <row r="82" spans="1:49" x14ac:dyDescent="0.25">
      <c r="A82" s="27">
        <v>81</v>
      </c>
      <c r="B82" s="28">
        <v>46188</v>
      </c>
      <c r="C82" s="28" t="str">
        <f t="shared" si="16"/>
        <v>June</v>
      </c>
      <c r="D82" s="27" t="s">
        <v>67</v>
      </c>
      <c r="E82" s="27" t="s">
        <v>98</v>
      </c>
      <c r="F82" s="27" t="s">
        <v>105</v>
      </c>
      <c r="G82" s="27" t="s">
        <v>63</v>
      </c>
      <c r="H82" s="27" t="s">
        <v>57</v>
      </c>
      <c r="I82" s="27" t="s">
        <v>202</v>
      </c>
      <c r="J82" s="27" t="s">
        <v>138</v>
      </c>
      <c r="K82" s="27">
        <v>769</v>
      </c>
      <c r="L82" s="27">
        <v>728</v>
      </c>
      <c r="M82" s="27">
        <v>675</v>
      </c>
      <c r="N82" s="27">
        <v>53</v>
      </c>
      <c r="O82" s="27">
        <v>10</v>
      </c>
      <c r="P82" s="27">
        <v>10</v>
      </c>
      <c r="Q82" s="27" t="s">
        <v>104</v>
      </c>
      <c r="R82" s="27">
        <v>45</v>
      </c>
      <c r="S82" s="27">
        <v>45</v>
      </c>
      <c r="T82" s="29">
        <v>73.3</v>
      </c>
      <c r="U82" s="29">
        <v>2.6</v>
      </c>
      <c r="V82" s="29">
        <v>24.54</v>
      </c>
      <c r="W82" s="30">
        <v>14506.71</v>
      </c>
      <c r="X82" s="27">
        <v>7.85</v>
      </c>
      <c r="Y82" s="27" t="s">
        <v>66</v>
      </c>
      <c r="Z82" s="29">
        <v>16</v>
      </c>
      <c r="AA82" s="30">
        <v>23728.3</v>
      </c>
      <c r="AB82" s="29">
        <v>0.92719780219780201</v>
      </c>
      <c r="AC82" s="30">
        <v>18260.07</v>
      </c>
      <c r="AD82" s="30">
        <v>199.26799450549501</v>
      </c>
      <c r="AE82" s="27">
        <v>576.75</v>
      </c>
      <c r="AF82" s="29">
        <v>0.98266146510619901</v>
      </c>
      <c r="AG82" s="30">
        <v>5268.9620054945099</v>
      </c>
      <c r="AH82" s="31">
        <f t="shared" si="17"/>
        <v>0.94668400520156049</v>
      </c>
      <c r="AI82" s="31">
        <f t="shared" si="18"/>
        <v>7.2802197802197807E-2</v>
      </c>
      <c r="AJ82" s="31">
        <f t="shared" si="19"/>
        <v>1.3736263736263736E-2</v>
      </c>
      <c r="AK82" s="31">
        <f t="shared" si="20"/>
        <v>0.92719780219780223</v>
      </c>
      <c r="AL82" s="29">
        <f t="shared" si="21"/>
        <v>0.16666666666666666</v>
      </c>
      <c r="AM82" s="29">
        <f t="shared" si="22"/>
        <v>566.75</v>
      </c>
      <c r="AN82" s="29">
        <f t="shared" si="23"/>
        <v>1.2845169827966476</v>
      </c>
      <c r="AO82" s="29">
        <f t="shared" si="24"/>
        <v>1.3333333333333333</v>
      </c>
      <c r="AP82" s="31">
        <f t="shared" si="25"/>
        <v>0.96338773709748571</v>
      </c>
      <c r="AQ82" s="31">
        <f t="shared" si="26"/>
        <v>0.92719780219780223</v>
      </c>
      <c r="AR82" s="31">
        <f t="shared" si="27"/>
        <v>0.87776332899870002</v>
      </c>
      <c r="AS82" s="29">
        <f t="shared" si="28"/>
        <v>25.082513736263735</v>
      </c>
      <c r="AT82" s="29">
        <f t="shared" si="29"/>
        <v>7.2375851723825688</v>
      </c>
      <c r="AU82" s="27" t="str">
        <f t="shared" si="30"/>
        <v>Low</v>
      </c>
      <c r="AV82" s="27" t="str">
        <f t="shared" si="31"/>
        <v>Normal</v>
      </c>
      <c r="AW82" s="27"/>
    </row>
    <row r="83" spans="1:49" x14ac:dyDescent="0.25">
      <c r="A83" s="27">
        <v>82</v>
      </c>
      <c r="B83" s="28">
        <v>46089</v>
      </c>
      <c r="C83" s="28" t="str">
        <f t="shared" si="16"/>
        <v>March</v>
      </c>
      <c r="D83" s="27" t="s">
        <v>67</v>
      </c>
      <c r="E83" s="27" t="s">
        <v>98</v>
      </c>
      <c r="F83" s="27" t="s">
        <v>105</v>
      </c>
      <c r="G83" s="27" t="s">
        <v>63</v>
      </c>
      <c r="H83" s="27" t="s">
        <v>79</v>
      </c>
      <c r="I83" s="27" t="s">
        <v>203</v>
      </c>
      <c r="J83" s="27" t="s">
        <v>65</v>
      </c>
      <c r="K83" s="27">
        <v>827</v>
      </c>
      <c r="L83" s="27">
        <v>719</v>
      </c>
      <c r="M83" s="27">
        <v>674</v>
      </c>
      <c r="N83" s="27">
        <v>45</v>
      </c>
      <c r="O83" s="27">
        <v>10</v>
      </c>
      <c r="P83" s="27">
        <v>52</v>
      </c>
      <c r="Q83" s="27" t="s">
        <v>91</v>
      </c>
      <c r="R83" s="27">
        <v>49</v>
      </c>
      <c r="S83" s="27">
        <v>52</v>
      </c>
      <c r="T83" s="29">
        <v>64.400000000000006</v>
      </c>
      <c r="U83" s="29">
        <v>1.27</v>
      </c>
      <c r="V83" s="29">
        <v>31.9</v>
      </c>
      <c r="W83" s="30">
        <v>15732.54</v>
      </c>
      <c r="X83" s="27">
        <v>9.1</v>
      </c>
      <c r="Y83" s="27" t="s">
        <v>66</v>
      </c>
      <c r="Z83" s="29">
        <v>22</v>
      </c>
      <c r="AA83" s="30">
        <v>25922.33</v>
      </c>
      <c r="AB83" s="29">
        <v>0.93741307371349103</v>
      </c>
      <c r="AC83" s="30">
        <v>20114.64</v>
      </c>
      <c r="AD83" s="30">
        <v>218.81140472879</v>
      </c>
      <c r="AE83" s="27">
        <v>675.38333333333298</v>
      </c>
      <c r="AF83" s="29">
        <v>0.92300668756015103</v>
      </c>
      <c r="AG83" s="30">
        <v>5588.8785952712096</v>
      </c>
      <c r="AH83" s="31">
        <f t="shared" si="17"/>
        <v>0.86940749697702535</v>
      </c>
      <c r="AI83" s="31">
        <f t="shared" si="18"/>
        <v>6.258692628650904E-2</v>
      </c>
      <c r="AJ83" s="31">
        <f t="shared" si="19"/>
        <v>1.3908205841446454E-2</v>
      </c>
      <c r="AK83" s="31">
        <f t="shared" si="20"/>
        <v>0.93741307371349092</v>
      </c>
      <c r="AL83" s="29">
        <f t="shared" si="21"/>
        <v>0.8666666666666667</v>
      </c>
      <c r="AM83" s="29">
        <f t="shared" si="22"/>
        <v>623.38333333333298</v>
      </c>
      <c r="AN83" s="29">
        <f t="shared" si="23"/>
        <v>1.1533834184423717</v>
      </c>
      <c r="AO83" s="29">
        <f t="shared" si="24"/>
        <v>1.2244897959183674</v>
      </c>
      <c r="AP83" s="31">
        <f t="shared" si="25"/>
        <v>0.94192979172793689</v>
      </c>
      <c r="AQ83" s="31">
        <f t="shared" si="26"/>
        <v>0.93741307371349092</v>
      </c>
      <c r="AR83" s="31">
        <f t="shared" si="27"/>
        <v>0.81499395405078656</v>
      </c>
      <c r="AS83" s="29">
        <f t="shared" si="28"/>
        <v>27.975855354659249</v>
      </c>
      <c r="AT83" s="29">
        <f t="shared" si="29"/>
        <v>7.7731273925886084</v>
      </c>
      <c r="AU83" s="27" t="str">
        <f t="shared" si="30"/>
        <v>Medium</v>
      </c>
      <c r="AV83" s="27" t="str">
        <f t="shared" si="31"/>
        <v>Warning</v>
      </c>
      <c r="AW83" s="27"/>
    </row>
    <row r="84" spans="1:49" x14ac:dyDescent="0.25">
      <c r="A84" s="27">
        <v>83</v>
      </c>
      <c r="B84" s="28">
        <v>46143</v>
      </c>
      <c r="C84" s="28" t="str">
        <f t="shared" si="16"/>
        <v>May</v>
      </c>
      <c r="D84" s="27" t="s">
        <v>47</v>
      </c>
      <c r="E84" s="27" t="s">
        <v>98</v>
      </c>
      <c r="F84" s="27" t="s">
        <v>126</v>
      </c>
      <c r="G84" s="27" t="s">
        <v>63</v>
      </c>
      <c r="H84" s="27" t="s">
        <v>68</v>
      </c>
      <c r="I84" s="27" t="s">
        <v>204</v>
      </c>
      <c r="J84" s="27" t="s">
        <v>140</v>
      </c>
      <c r="K84" s="27">
        <v>584</v>
      </c>
      <c r="L84" s="27">
        <v>503</v>
      </c>
      <c r="M84" s="27">
        <v>461</v>
      </c>
      <c r="N84" s="27">
        <v>42</v>
      </c>
      <c r="O84" s="27">
        <v>9</v>
      </c>
      <c r="P84" s="27">
        <v>17</v>
      </c>
      <c r="Q84" s="27" t="s">
        <v>54</v>
      </c>
      <c r="R84" s="27">
        <v>64</v>
      </c>
      <c r="S84" s="27">
        <v>66</v>
      </c>
      <c r="T84" s="29">
        <v>71.8</v>
      </c>
      <c r="U84" s="29">
        <v>2.34</v>
      </c>
      <c r="V84" s="29">
        <v>16.420000000000002</v>
      </c>
      <c r="W84" s="30">
        <v>14827.59</v>
      </c>
      <c r="X84" s="27">
        <v>7.65</v>
      </c>
      <c r="Y84" s="27" t="s">
        <v>110</v>
      </c>
      <c r="Z84" s="29">
        <v>22</v>
      </c>
      <c r="AA84" s="30">
        <v>23905.02</v>
      </c>
      <c r="AB84" s="29">
        <v>0.916500994035785</v>
      </c>
      <c r="AC84" s="30">
        <v>18417.87</v>
      </c>
      <c r="AD84" s="30">
        <v>265.30479125248502</v>
      </c>
      <c r="AE84" s="27">
        <v>622.93333333333305</v>
      </c>
      <c r="AF84" s="29">
        <v>0.97270976027397305</v>
      </c>
      <c r="AG84" s="30">
        <v>5221.8452087475198</v>
      </c>
      <c r="AH84" s="31">
        <f t="shared" si="17"/>
        <v>0.86130136986301364</v>
      </c>
      <c r="AI84" s="31">
        <f t="shared" si="18"/>
        <v>8.3499005964214709E-2</v>
      </c>
      <c r="AJ84" s="31">
        <f t="shared" si="19"/>
        <v>1.7892644135188866E-2</v>
      </c>
      <c r="AK84" s="31">
        <f t="shared" si="20"/>
        <v>0.91650099403578533</v>
      </c>
      <c r="AL84" s="29">
        <f t="shared" si="21"/>
        <v>0.28333333333333333</v>
      </c>
      <c r="AM84" s="29">
        <f t="shared" si="22"/>
        <v>605.93333333333305</v>
      </c>
      <c r="AN84" s="29">
        <f t="shared" si="23"/>
        <v>0.83012432610848319</v>
      </c>
      <c r="AO84" s="29">
        <f t="shared" si="24"/>
        <v>0.9375</v>
      </c>
      <c r="AP84" s="31">
        <f t="shared" si="25"/>
        <v>0.88546594784904875</v>
      </c>
      <c r="AQ84" s="31">
        <f t="shared" si="26"/>
        <v>0.91650099403578533</v>
      </c>
      <c r="AR84" s="31">
        <f t="shared" si="27"/>
        <v>0.78938356164383638</v>
      </c>
      <c r="AS84" s="29">
        <f t="shared" si="28"/>
        <v>36.61604373757455</v>
      </c>
      <c r="AT84" s="29">
        <f t="shared" si="29"/>
        <v>10.381402005462267</v>
      </c>
      <c r="AU84" s="27" t="str">
        <f t="shared" si="30"/>
        <v>High</v>
      </c>
      <c r="AV84" s="27" t="str">
        <f t="shared" si="31"/>
        <v>Warning</v>
      </c>
      <c r="AW84" s="27"/>
    </row>
    <row r="85" spans="1:49" x14ac:dyDescent="0.25">
      <c r="A85" s="27">
        <v>84</v>
      </c>
      <c r="B85" s="28">
        <v>46154</v>
      </c>
      <c r="C85" s="28" t="str">
        <f t="shared" si="16"/>
        <v>May</v>
      </c>
      <c r="D85" s="27" t="s">
        <v>67</v>
      </c>
      <c r="E85" s="27" t="s">
        <v>61</v>
      </c>
      <c r="F85" s="27" t="s">
        <v>95</v>
      </c>
      <c r="G85" s="27" t="s">
        <v>50</v>
      </c>
      <c r="H85" s="27" t="s">
        <v>79</v>
      </c>
      <c r="I85" s="27" t="s">
        <v>205</v>
      </c>
      <c r="J85" s="27" t="s">
        <v>121</v>
      </c>
      <c r="K85" s="27">
        <v>631</v>
      </c>
      <c r="L85" s="27">
        <v>588</v>
      </c>
      <c r="M85" s="27">
        <v>550</v>
      </c>
      <c r="N85" s="27">
        <v>38</v>
      </c>
      <c r="O85" s="27">
        <v>15</v>
      </c>
      <c r="P85" s="27">
        <v>33</v>
      </c>
      <c r="Q85" s="27" t="s">
        <v>94</v>
      </c>
      <c r="R85" s="27">
        <v>49</v>
      </c>
      <c r="S85" s="27">
        <v>47</v>
      </c>
      <c r="T85" s="29">
        <v>71</v>
      </c>
      <c r="U85" s="29">
        <v>2.21</v>
      </c>
      <c r="V85" s="29">
        <v>19.38</v>
      </c>
      <c r="W85" s="30">
        <v>12209.1</v>
      </c>
      <c r="X85" s="27">
        <v>7.97</v>
      </c>
      <c r="Y85" s="27" t="s">
        <v>110</v>
      </c>
      <c r="Z85" s="29">
        <v>32</v>
      </c>
      <c r="AA85" s="30">
        <v>21233.35</v>
      </c>
      <c r="AB85" s="29">
        <v>0.93537414965986398</v>
      </c>
      <c r="AC85" s="30">
        <v>15970.02</v>
      </c>
      <c r="AD85" s="30">
        <v>311.45663265306098</v>
      </c>
      <c r="AE85" s="27">
        <v>515.31666666666695</v>
      </c>
      <c r="AF85" s="29">
        <v>0.93596170639412701</v>
      </c>
      <c r="AG85" s="30">
        <v>4951.8733673469396</v>
      </c>
      <c r="AH85" s="31">
        <f t="shared" si="17"/>
        <v>0.93185419968304284</v>
      </c>
      <c r="AI85" s="31">
        <f t="shared" si="18"/>
        <v>6.4625850340136057E-2</v>
      </c>
      <c r="AJ85" s="31">
        <f t="shared" si="19"/>
        <v>2.5510204081632654E-2</v>
      </c>
      <c r="AK85" s="31">
        <f t="shared" si="20"/>
        <v>0.93537414965986398</v>
      </c>
      <c r="AL85" s="29">
        <f t="shared" si="21"/>
        <v>0.55000000000000004</v>
      </c>
      <c r="AM85" s="29">
        <f t="shared" si="22"/>
        <v>482.31666666666695</v>
      </c>
      <c r="AN85" s="29">
        <f t="shared" si="23"/>
        <v>1.2191160717371015</v>
      </c>
      <c r="AO85" s="29">
        <f t="shared" si="24"/>
        <v>1.2244897959183674</v>
      </c>
      <c r="AP85" s="31">
        <f t="shared" si="25"/>
        <v>0.99561145858529954</v>
      </c>
      <c r="AQ85" s="31">
        <f t="shared" si="26"/>
        <v>0.93537414965986398</v>
      </c>
      <c r="AR85" s="31">
        <f t="shared" si="27"/>
        <v>0.87163232963549908</v>
      </c>
      <c r="AS85" s="29">
        <f t="shared" si="28"/>
        <v>27.159897959183674</v>
      </c>
      <c r="AT85" s="29">
        <f t="shared" si="29"/>
        <v>8.4215533458281282</v>
      </c>
      <c r="AU85" s="27" t="str">
        <f t="shared" si="30"/>
        <v>Medium</v>
      </c>
      <c r="AV85" s="27" t="str">
        <f t="shared" si="31"/>
        <v>Normal</v>
      </c>
      <c r="AW85" s="27"/>
    </row>
    <row r="86" spans="1:49" x14ac:dyDescent="0.25">
      <c r="A86" s="27">
        <v>85</v>
      </c>
      <c r="B86" s="28">
        <v>46188</v>
      </c>
      <c r="C86" s="28" t="str">
        <f t="shared" si="16"/>
        <v>June</v>
      </c>
      <c r="D86" s="27" t="s">
        <v>67</v>
      </c>
      <c r="E86" s="27" t="s">
        <v>129</v>
      </c>
      <c r="F86" s="27" t="s">
        <v>151</v>
      </c>
      <c r="G86" s="27" t="s">
        <v>63</v>
      </c>
      <c r="H86" s="27" t="s">
        <v>68</v>
      </c>
      <c r="I86" s="27" t="s">
        <v>206</v>
      </c>
      <c r="J86" s="27" t="s">
        <v>90</v>
      </c>
      <c r="K86" s="27">
        <v>546</v>
      </c>
      <c r="L86" s="27">
        <v>515</v>
      </c>
      <c r="M86" s="27">
        <v>455</v>
      </c>
      <c r="N86" s="27">
        <v>60</v>
      </c>
      <c r="O86" s="27">
        <v>25</v>
      </c>
      <c r="P86" s="27">
        <v>26</v>
      </c>
      <c r="Q86" s="27" t="s">
        <v>54</v>
      </c>
      <c r="R86" s="27">
        <v>64</v>
      </c>
      <c r="S86" s="27">
        <v>69</v>
      </c>
      <c r="T86" s="29">
        <v>89.6</v>
      </c>
      <c r="U86" s="29">
        <v>2.86</v>
      </c>
      <c r="V86" s="29">
        <v>19.18</v>
      </c>
      <c r="W86" s="30">
        <v>15819.64</v>
      </c>
      <c r="X86" s="27">
        <v>7.97</v>
      </c>
      <c r="Y86" s="27" t="s">
        <v>66</v>
      </c>
      <c r="Z86" s="29">
        <v>47</v>
      </c>
      <c r="AA86" s="30">
        <v>23604.1</v>
      </c>
      <c r="AB86" s="29">
        <v>0.88349514563106801</v>
      </c>
      <c r="AC86" s="30">
        <v>19578.759999999998</v>
      </c>
      <c r="AD86" s="30">
        <v>767.94368932038799</v>
      </c>
      <c r="AE86" s="27">
        <v>582.4</v>
      </c>
      <c r="AF86" s="29">
        <v>0.95535714285714302</v>
      </c>
      <c r="AG86" s="30">
        <v>3257.39631067961</v>
      </c>
      <c r="AH86" s="31">
        <f t="shared" si="17"/>
        <v>0.9432234432234432</v>
      </c>
      <c r="AI86" s="31">
        <f t="shared" si="18"/>
        <v>0.11650485436893204</v>
      </c>
      <c r="AJ86" s="31">
        <f t="shared" si="19"/>
        <v>4.8543689320388349E-2</v>
      </c>
      <c r="AK86" s="31">
        <f t="shared" si="20"/>
        <v>0.88349514563106801</v>
      </c>
      <c r="AL86" s="29">
        <f t="shared" si="21"/>
        <v>0.43333333333333335</v>
      </c>
      <c r="AM86" s="29">
        <f t="shared" si="22"/>
        <v>556.4</v>
      </c>
      <c r="AN86" s="29">
        <f t="shared" si="23"/>
        <v>0.92559309849029481</v>
      </c>
      <c r="AO86" s="29">
        <f t="shared" si="24"/>
        <v>0.9375</v>
      </c>
      <c r="AP86" s="31">
        <f t="shared" si="25"/>
        <v>0.98729930505631447</v>
      </c>
      <c r="AQ86" s="31">
        <f t="shared" si="26"/>
        <v>0.88349514563106801</v>
      </c>
      <c r="AR86" s="31">
        <f t="shared" si="27"/>
        <v>0.83333333333333359</v>
      </c>
      <c r="AS86" s="29">
        <f t="shared" si="28"/>
        <v>38.017009708737859</v>
      </c>
      <c r="AT86" s="29">
        <f t="shared" si="29"/>
        <v>6.3250413799604077</v>
      </c>
      <c r="AU86" s="27" t="str">
        <f t="shared" si="30"/>
        <v>High</v>
      </c>
      <c r="AV86" s="27" t="str">
        <f t="shared" si="31"/>
        <v>Warning</v>
      </c>
      <c r="AW86" s="27"/>
    </row>
    <row r="87" spans="1:49" x14ac:dyDescent="0.25">
      <c r="A87" s="27">
        <v>86</v>
      </c>
      <c r="B87" s="28">
        <v>46062</v>
      </c>
      <c r="C87" s="28" t="str">
        <f t="shared" si="16"/>
        <v>February</v>
      </c>
      <c r="D87" s="27" t="s">
        <v>67</v>
      </c>
      <c r="E87" s="27" t="s">
        <v>98</v>
      </c>
      <c r="F87" s="27" t="s">
        <v>126</v>
      </c>
      <c r="G87" s="27" t="s">
        <v>63</v>
      </c>
      <c r="H87" s="27" t="s">
        <v>51</v>
      </c>
      <c r="I87" s="27" t="s">
        <v>207</v>
      </c>
      <c r="J87" s="27" t="s">
        <v>107</v>
      </c>
      <c r="K87" s="27">
        <v>728</v>
      </c>
      <c r="L87" s="27">
        <v>633</v>
      </c>
      <c r="M87" s="27">
        <v>587</v>
      </c>
      <c r="N87" s="27">
        <v>46</v>
      </c>
      <c r="O87" s="27">
        <v>14</v>
      </c>
      <c r="P87" s="27">
        <v>43</v>
      </c>
      <c r="Q87" s="27" t="s">
        <v>102</v>
      </c>
      <c r="R87" s="27">
        <v>42</v>
      </c>
      <c r="S87" s="27">
        <v>45</v>
      </c>
      <c r="T87" s="29">
        <v>72</v>
      </c>
      <c r="U87" s="29">
        <v>2.2400000000000002</v>
      </c>
      <c r="V87" s="29">
        <v>26.77</v>
      </c>
      <c r="W87" s="30">
        <v>11204.8</v>
      </c>
      <c r="X87" s="27">
        <v>9.11</v>
      </c>
      <c r="Y87" s="27" t="s">
        <v>55</v>
      </c>
      <c r="Z87" s="29">
        <v>27</v>
      </c>
      <c r="AA87" s="30">
        <v>19253.3</v>
      </c>
      <c r="AB87" s="29">
        <v>0.92733017377567095</v>
      </c>
      <c r="AC87" s="30">
        <v>15545.23</v>
      </c>
      <c r="AD87" s="30">
        <v>247.81548183254301</v>
      </c>
      <c r="AE87" s="27">
        <v>509.6</v>
      </c>
      <c r="AF87" s="29">
        <v>0.91562009419152302</v>
      </c>
      <c r="AG87" s="30">
        <v>3460.25451816746</v>
      </c>
      <c r="AH87" s="31">
        <f t="shared" si="17"/>
        <v>0.86950549450549453</v>
      </c>
      <c r="AI87" s="31">
        <f t="shared" si="18"/>
        <v>7.266982622432859E-2</v>
      </c>
      <c r="AJ87" s="31">
        <f t="shared" si="19"/>
        <v>2.2116903633491312E-2</v>
      </c>
      <c r="AK87" s="31">
        <f t="shared" si="20"/>
        <v>0.9273301737756714</v>
      </c>
      <c r="AL87" s="29">
        <f t="shared" si="21"/>
        <v>0.71666666666666667</v>
      </c>
      <c r="AM87" s="29">
        <f t="shared" si="22"/>
        <v>466.6</v>
      </c>
      <c r="AN87" s="29">
        <f t="shared" si="23"/>
        <v>1.3566223746249464</v>
      </c>
      <c r="AO87" s="29">
        <f t="shared" si="24"/>
        <v>1.4285714285714286</v>
      </c>
      <c r="AP87" s="31">
        <f t="shared" si="25"/>
        <v>0.94963566223746243</v>
      </c>
      <c r="AQ87" s="31">
        <f t="shared" si="26"/>
        <v>0.9273301737756714</v>
      </c>
      <c r="AR87" s="31">
        <f t="shared" si="27"/>
        <v>0.80631868131868145</v>
      </c>
      <c r="AS87" s="29">
        <f t="shared" si="28"/>
        <v>24.558025276461294</v>
      </c>
      <c r="AT87" s="29">
        <f t="shared" si="29"/>
        <v>5.46643683754733</v>
      </c>
      <c r="AU87" s="27" t="str">
        <f t="shared" si="30"/>
        <v>Medium</v>
      </c>
      <c r="AV87" s="27" t="str">
        <f t="shared" si="31"/>
        <v>Warning</v>
      </c>
      <c r="AW87" s="27"/>
    </row>
    <row r="88" spans="1:49" x14ac:dyDescent="0.25">
      <c r="A88" s="27">
        <v>87</v>
      </c>
      <c r="B88" s="28">
        <v>46170</v>
      </c>
      <c r="C88" s="28" t="str">
        <f t="shared" si="16"/>
        <v>May</v>
      </c>
      <c r="D88" s="27" t="s">
        <v>67</v>
      </c>
      <c r="E88" s="27" t="s">
        <v>76</v>
      </c>
      <c r="F88" s="27" t="s">
        <v>113</v>
      </c>
      <c r="G88" s="27" t="s">
        <v>63</v>
      </c>
      <c r="H88" s="27" t="s">
        <v>57</v>
      </c>
      <c r="I88" s="27" t="s">
        <v>208</v>
      </c>
      <c r="J88" s="27" t="s">
        <v>115</v>
      </c>
      <c r="K88" s="27">
        <v>834</v>
      </c>
      <c r="L88" s="27">
        <v>798</v>
      </c>
      <c r="M88" s="27">
        <v>760</v>
      </c>
      <c r="N88" s="27">
        <v>38</v>
      </c>
      <c r="O88" s="27">
        <v>12</v>
      </c>
      <c r="P88" s="27">
        <v>24</v>
      </c>
      <c r="Q88" s="27" t="s">
        <v>104</v>
      </c>
      <c r="R88" s="27">
        <v>45</v>
      </c>
      <c r="S88" s="27">
        <v>45</v>
      </c>
      <c r="T88" s="29">
        <v>69.7</v>
      </c>
      <c r="U88" s="29">
        <v>2.0299999999999998</v>
      </c>
      <c r="V88" s="29">
        <v>24</v>
      </c>
      <c r="W88" s="30">
        <v>16640.34</v>
      </c>
      <c r="X88" s="27">
        <v>8.09</v>
      </c>
      <c r="Y88" s="27" t="s">
        <v>66</v>
      </c>
      <c r="Z88" s="29">
        <v>38</v>
      </c>
      <c r="AA88" s="30">
        <v>26913.31</v>
      </c>
      <c r="AB88" s="29">
        <v>0.952380952380952</v>
      </c>
      <c r="AC88" s="30">
        <v>20496.84</v>
      </c>
      <c r="AD88" s="30">
        <v>250.230676691729</v>
      </c>
      <c r="AE88" s="27">
        <v>625.5</v>
      </c>
      <c r="AF88" s="29">
        <v>0.96163069544364499</v>
      </c>
      <c r="AG88" s="30">
        <v>6166.2393233082703</v>
      </c>
      <c r="AH88" s="31">
        <f t="shared" si="17"/>
        <v>0.95683453237410077</v>
      </c>
      <c r="AI88" s="31">
        <f t="shared" si="18"/>
        <v>4.7619047619047616E-2</v>
      </c>
      <c r="AJ88" s="31">
        <f t="shared" si="19"/>
        <v>1.5037593984962405E-2</v>
      </c>
      <c r="AK88" s="31">
        <f t="shared" si="20"/>
        <v>0.95238095238095233</v>
      </c>
      <c r="AL88" s="29">
        <f t="shared" si="21"/>
        <v>0.4</v>
      </c>
      <c r="AM88" s="29">
        <f t="shared" si="22"/>
        <v>601.5</v>
      </c>
      <c r="AN88" s="29">
        <f t="shared" si="23"/>
        <v>1.3266832917705735</v>
      </c>
      <c r="AO88" s="29">
        <f t="shared" si="24"/>
        <v>1.3333333333333333</v>
      </c>
      <c r="AP88" s="31">
        <f t="shared" si="25"/>
        <v>0.99501246882793015</v>
      </c>
      <c r="AQ88" s="31">
        <f t="shared" si="26"/>
        <v>0.95238095238095233</v>
      </c>
      <c r="AR88" s="31">
        <f t="shared" si="27"/>
        <v>0.91127098321342914</v>
      </c>
      <c r="AS88" s="29">
        <f t="shared" si="28"/>
        <v>25.685263157894738</v>
      </c>
      <c r="AT88" s="29">
        <f t="shared" si="29"/>
        <v>7.7271169465015914</v>
      </c>
      <c r="AU88" s="27" t="str">
        <f t="shared" si="30"/>
        <v>Medium</v>
      </c>
      <c r="AV88" s="27" t="str">
        <f t="shared" si="31"/>
        <v>Normal</v>
      </c>
      <c r="AW88" s="27"/>
    </row>
    <row r="89" spans="1:49" x14ac:dyDescent="0.25">
      <c r="A89" s="27">
        <v>88</v>
      </c>
      <c r="B89" s="28">
        <v>46127</v>
      </c>
      <c r="C89" s="28" t="str">
        <f t="shared" si="16"/>
        <v>April</v>
      </c>
      <c r="D89" s="27" t="s">
        <v>47</v>
      </c>
      <c r="E89" s="27" t="s">
        <v>129</v>
      </c>
      <c r="F89" s="27" t="s">
        <v>151</v>
      </c>
      <c r="G89" s="27" t="s">
        <v>50</v>
      </c>
      <c r="H89" s="27" t="s">
        <v>124</v>
      </c>
      <c r="I89" s="27" t="s">
        <v>209</v>
      </c>
      <c r="J89" s="27" t="s">
        <v>115</v>
      </c>
      <c r="K89" s="27">
        <v>737</v>
      </c>
      <c r="L89" s="27">
        <v>636</v>
      </c>
      <c r="M89" s="27">
        <v>601</v>
      </c>
      <c r="N89" s="27">
        <v>35</v>
      </c>
      <c r="O89" s="27">
        <v>10</v>
      </c>
      <c r="P89" s="27">
        <v>27</v>
      </c>
      <c r="Q89" s="27" t="s">
        <v>104</v>
      </c>
      <c r="R89" s="27">
        <v>57</v>
      </c>
      <c r="S89" s="27">
        <v>55</v>
      </c>
      <c r="T89" s="29">
        <v>67.599999999999994</v>
      </c>
      <c r="U89" s="29">
        <v>2.3199999999999998</v>
      </c>
      <c r="V89" s="29">
        <v>21.22</v>
      </c>
      <c r="W89" s="30">
        <v>16606.55</v>
      </c>
      <c r="X89" s="27">
        <v>7.49</v>
      </c>
      <c r="Y89" s="27" t="s">
        <v>55</v>
      </c>
      <c r="Z89" s="29">
        <v>16</v>
      </c>
      <c r="AA89" s="30">
        <v>27705.11</v>
      </c>
      <c r="AB89" s="29">
        <v>0.94496855345912001</v>
      </c>
      <c r="AC89" s="30">
        <v>20168.03</v>
      </c>
      <c r="AD89" s="30">
        <v>261.10927672956001</v>
      </c>
      <c r="AE89" s="27">
        <v>700.15</v>
      </c>
      <c r="AF89" s="29">
        <v>0.96143683496393595</v>
      </c>
      <c r="AG89" s="30">
        <v>7275.9707232704404</v>
      </c>
      <c r="AH89" s="31">
        <f t="shared" si="17"/>
        <v>0.86295793758480321</v>
      </c>
      <c r="AI89" s="31">
        <f t="shared" si="18"/>
        <v>5.5031446540880505E-2</v>
      </c>
      <c r="AJ89" s="31">
        <f t="shared" si="19"/>
        <v>1.5723270440251572E-2</v>
      </c>
      <c r="AK89" s="31">
        <f t="shared" si="20"/>
        <v>0.94496855345911945</v>
      </c>
      <c r="AL89" s="29">
        <f t="shared" si="21"/>
        <v>0.45</v>
      </c>
      <c r="AM89" s="29">
        <f t="shared" si="22"/>
        <v>673.15</v>
      </c>
      <c r="AN89" s="29">
        <f t="shared" si="23"/>
        <v>0.94481170615761723</v>
      </c>
      <c r="AO89" s="29">
        <f t="shared" si="24"/>
        <v>1.0526315789473684</v>
      </c>
      <c r="AP89" s="31">
        <f t="shared" si="25"/>
        <v>0.89757112084973645</v>
      </c>
      <c r="AQ89" s="31">
        <f t="shared" si="26"/>
        <v>0.94496855345911945</v>
      </c>
      <c r="AR89" s="31">
        <f t="shared" si="27"/>
        <v>0.8154681139755765</v>
      </c>
      <c r="AS89" s="29">
        <f t="shared" si="28"/>
        <v>31.710738993710692</v>
      </c>
      <c r="AT89" s="29">
        <f t="shared" si="29"/>
        <v>11.440205539733396</v>
      </c>
      <c r="AU89" s="27" t="str">
        <f t="shared" si="30"/>
        <v>Medium</v>
      </c>
      <c r="AV89" s="27" t="str">
        <f t="shared" si="31"/>
        <v>Warning</v>
      </c>
      <c r="AW89" s="27"/>
    </row>
    <row r="90" spans="1:49" x14ac:dyDescent="0.25">
      <c r="A90" s="27">
        <v>89</v>
      </c>
      <c r="B90" s="28">
        <v>46071</v>
      </c>
      <c r="C90" s="28" t="str">
        <f t="shared" si="16"/>
        <v>February</v>
      </c>
      <c r="D90" s="27" t="s">
        <v>47</v>
      </c>
      <c r="E90" s="27" t="s">
        <v>129</v>
      </c>
      <c r="F90" s="27" t="s">
        <v>151</v>
      </c>
      <c r="G90" s="27" t="s">
        <v>63</v>
      </c>
      <c r="H90" s="27" t="s">
        <v>124</v>
      </c>
      <c r="I90" s="27" t="s">
        <v>210</v>
      </c>
      <c r="J90" s="27" t="s">
        <v>93</v>
      </c>
      <c r="K90" s="27">
        <v>568</v>
      </c>
      <c r="L90" s="27">
        <v>565</v>
      </c>
      <c r="M90" s="27">
        <v>538</v>
      </c>
      <c r="N90" s="27">
        <v>27</v>
      </c>
      <c r="O90" s="27">
        <v>10</v>
      </c>
      <c r="P90" s="27">
        <v>9</v>
      </c>
      <c r="Q90" s="27" t="s">
        <v>54</v>
      </c>
      <c r="R90" s="27">
        <v>57</v>
      </c>
      <c r="S90" s="27">
        <v>56</v>
      </c>
      <c r="T90" s="29">
        <v>69.7</v>
      </c>
      <c r="U90" s="29">
        <v>2.33</v>
      </c>
      <c r="V90" s="29">
        <v>21.89</v>
      </c>
      <c r="W90" s="30">
        <v>16310.23</v>
      </c>
      <c r="X90" s="27">
        <v>9.4499999999999993</v>
      </c>
      <c r="Y90" s="27" t="s">
        <v>66</v>
      </c>
      <c r="Z90" s="29">
        <v>8</v>
      </c>
      <c r="AA90" s="30">
        <v>24594.51</v>
      </c>
      <c r="AB90" s="29">
        <v>0.95221238938053099</v>
      </c>
      <c r="AC90" s="30">
        <v>20759.740000000002</v>
      </c>
      <c r="AD90" s="30">
        <v>288.67663716814201</v>
      </c>
      <c r="AE90" s="27">
        <v>539.6</v>
      </c>
      <c r="AF90" s="29">
        <v>0.98332097850259503</v>
      </c>
      <c r="AG90" s="30">
        <v>3546.0933628318598</v>
      </c>
      <c r="AH90" s="31">
        <f t="shared" si="17"/>
        <v>0.99471830985915488</v>
      </c>
      <c r="AI90" s="31">
        <f t="shared" si="18"/>
        <v>4.7787610619469026E-2</v>
      </c>
      <c r="AJ90" s="31">
        <f t="shared" si="19"/>
        <v>1.7699115044247787E-2</v>
      </c>
      <c r="AK90" s="31">
        <f t="shared" si="20"/>
        <v>0.95221238938053099</v>
      </c>
      <c r="AL90" s="29">
        <f t="shared" si="21"/>
        <v>0.15</v>
      </c>
      <c r="AM90" s="29">
        <f t="shared" si="22"/>
        <v>530.6</v>
      </c>
      <c r="AN90" s="29">
        <f t="shared" si="23"/>
        <v>1.0648322653599698</v>
      </c>
      <c r="AO90" s="29">
        <f t="shared" si="24"/>
        <v>1.0526315789473684</v>
      </c>
      <c r="AP90" s="31">
        <f t="shared" si="25"/>
        <v>1.0115906520919713</v>
      </c>
      <c r="AQ90" s="31">
        <f t="shared" si="26"/>
        <v>0.95221238938053099</v>
      </c>
      <c r="AR90" s="31">
        <f t="shared" si="27"/>
        <v>0.94718309859154981</v>
      </c>
      <c r="AS90" s="29">
        <f t="shared" si="28"/>
        <v>36.742902654867258</v>
      </c>
      <c r="AT90" s="29">
        <f t="shared" si="29"/>
        <v>6.2762714386404603</v>
      </c>
      <c r="AU90" s="27" t="str">
        <f t="shared" si="30"/>
        <v>Low</v>
      </c>
      <c r="AV90" s="27" t="str">
        <f t="shared" si="31"/>
        <v>Normal</v>
      </c>
      <c r="AW90" s="27"/>
    </row>
    <row r="91" spans="1:49" x14ac:dyDescent="0.25">
      <c r="A91" s="27">
        <v>90</v>
      </c>
      <c r="B91" s="28">
        <v>46084</v>
      </c>
      <c r="C91" s="28" t="str">
        <f t="shared" si="16"/>
        <v>March</v>
      </c>
      <c r="D91" s="27" t="s">
        <v>67</v>
      </c>
      <c r="E91" s="27" t="s">
        <v>129</v>
      </c>
      <c r="F91" s="27" t="s">
        <v>151</v>
      </c>
      <c r="G91" s="27" t="s">
        <v>63</v>
      </c>
      <c r="H91" s="27" t="s">
        <v>124</v>
      </c>
      <c r="I91" s="27" t="s">
        <v>211</v>
      </c>
      <c r="J91" s="27" t="s">
        <v>121</v>
      </c>
      <c r="K91" s="27">
        <v>586</v>
      </c>
      <c r="L91" s="27">
        <v>477</v>
      </c>
      <c r="M91" s="27">
        <v>454</v>
      </c>
      <c r="N91" s="27">
        <v>23</v>
      </c>
      <c r="O91" s="27">
        <v>6</v>
      </c>
      <c r="P91" s="27">
        <v>35</v>
      </c>
      <c r="Q91" s="27" t="s">
        <v>82</v>
      </c>
      <c r="R91" s="27">
        <v>57</v>
      </c>
      <c r="S91" s="27">
        <v>60</v>
      </c>
      <c r="T91" s="29">
        <v>72.3</v>
      </c>
      <c r="U91" s="29">
        <v>1.68</v>
      </c>
      <c r="V91" s="29">
        <v>16.07</v>
      </c>
      <c r="W91" s="30">
        <v>13497.26</v>
      </c>
      <c r="X91" s="27">
        <v>5.9</v>
      </c>
      <c r="Y91" s="27" t="s">
        <v>66</v>
      </c>
      <c r="Z91" s="29">
        <v>19</v>
      </c>
      <c r="AA91" s="30">
        <v>20989.3</v>
      </c>
      <c r="AB91" s="29">
        <v>0.951781970649895</v>
      </c>
      <c r="AC91" s="30">
        <v>16296.89</v>
      </c>
      <c r="AD91" s="30">
        <v>169.776855345912</v>
      </c>
      <c r="AE91" s="27">
        <v>556.70000000000005</v>
      </c>
      <c r="AF91" s="29">
        <v>0.93712951320280202</v>
      </c>
      <c r="AG91" s="30">
        <v>4522.6331446540898</v>
      </c>
      <c r="AH91" s="31">
        <f t="shared" si="17"/>
        <v>0.81399317406143346</v>
      </c>
      <c r="AI91" s="31">
        <f t="shared" si="18"/>
        <v>4.8218029350104823E-2</v>
      </c>
      <c r="AJ91" s="31">
        <f t="shared" si="19"/>
        <v>1.2578616352201259E-2</v>
      </c>
      <c r="AK91" s="31">
        <f t="shared" si="20"/>
        <v>0.95178197064989523</v>
      </c>
      <c r="AL91" s="29">
        <f t="shared" si="21"/>
        <v>0.58333333333333337</v>
      </c>
      <c r="AM91" s="29">
        <f t="shared" si="22"/>
        <v>521.70000000000005</v>
      </c>
      <c r="AN91" s="29">
        <f t="shared" si="23"/>
        <v>0.91431857389304194</v>
      </c>
      <c r="AO91" s="29">
        <f t="shared" si="24"/>
        <v>1.0526315789473684</v>
      </c>
      <c r="AP91" s="31">
        <f t="shared" si="25"/>
        <v>0.86860264519838992</v>
      </c>
      <c r="AQ91" s="31">
        <f t="shared" si="26"/>
        <v>0.95178197064989523</v>
      </c>
      <c r="AR91" s="31">
        <f t="shared" si="27"/>
        <v>0.77474402730375425</v>
      </c>
      <c r="AS91" s="29">
        <f t="shared" si="28"/>
        <v>34.16538784067086</v>
      </c>
      <c r="AT91" s="29">
        <f t="shared" si="29"/>
        <v>9.4814112047255552</v>
      </c>
      <c r="AU91" s="27" t="str">
        <f t="shared" si="30"/>
        <v>High</v>
      </c>
      <c r="AV91" s="27" t="str">
        <f t="shared" si="31"/>
        <v>Warning</v>
      </c>
      <c r="AW91" s="27"/>
    </row>
    <row r="92" spans="1:49" x14ac:dyDescent="0.25">
      <c r="A92" s="27">
        <v>91</v>
      </c>
      <c r="B92" s="28">
        <v>46129</v>
      </c>
      <c r="C92" s="28" t="str">
        <f t="shared" si="16"/>
        <v>April</v>
      </c>
      <c r="D92" s="27" t="s">
        <v>67</v>
      </c>
      <c r="E92" s="27" t="s">
        <v>98</v>
      </c>
      <c r="F92" s="27" t="s">
        <v>105</v>
      </c>
      <c r="G92" s="27" t="s">
        <v>50</v>
      </c>
      <c r="H92" s="27" t="s">
        <v>79</v>
      </c>
      <c r="I92" s="27" t="s">
        <v>212</v>
      </c>
      <c r="J92" s="27" t="s">
        <v>115</v>
      </c>
      <c r="K92" s="27">
        <v>875</v>
      </c>
      <c r="L92" s="27">
        <v>844</v>
      </c>
      <c r="M92" s="27">
        <v>792</v>
      </c>
      <c r="N92" s="27">
        <v>52</v>
      </c>
      <c r="O92" s="27">
        <v>11</v>
      </c>
      <c r="P92" s="27">
        <v>20</v>
      </c>
      <c r="Q92" s="27" t="s">
        <v>91</v>
      </c>
      <c r="R92" s="27">
        <v>49</v>
      </c>
      <c r="S92" s="27">
        <v>50</v>
      </c>
      <c r="T92" s="29">
        <v>63.9</v>
      </c>
      <c r="U92" s="29">
        <v>1.38</v>
      </c>
      <c r="V92" s="29">
        <v>30.48</v>
      </c>
      <c r="W92" s="30">
        <v>19435.57</v>
      </c>
      <c r="X92" s="27">
        <v>10.1</v>
      </c>
      <c r="Y92" s="27" t="s">
        <v>71</v>
      </c>
      <c r="Z92" s="29">
        <v>34</v>
      </c>
      <c r="AA92" s="30">
        <v>30139.24</v>
      </c>
      <c r="AB92" s="29">
        <v>0.93838862559241698</v>
      </c>
      <c r="AC92" s="30">
        <v>24254.89</v>
      </c>
      <c r="AD92" s="30">
        <v>253.307191943128</v>
      </c>
      <c r="AE92" s="27">
        <v>714.58333333333303</v>
      </c>
      <c r="AF92" s="29">
        <v>0.97201166180758003</v>
      </c>
      <c r="AG92" s="30">
        <v>5631.0428080568699</v>
      </c>
      <c r="AH92" s="31">
        <f t="shared" si="17"/>
        <v>0.96457142857142852</v>
      </c>
      <c r="AI92" s="31">
        <f t="shared" si="18"/>
        <v>6.1611374407582936E-2</v>
      </c>
      <c r="AJ92" s="31">
        <f t="shared" si="19"/>
        <v>1.3033175355450236E-2</v>
      </c>
      <c r="AK92" s="31">
        <f t="shared" si="20"/>
        <v>0.93838862559241709</v>
      </c>
      <c r="AL92" s="29">
        <f t="shared" si="21"/>
        <v>0.33333333333333331</v>
      </c>
      <c r="AM92" s="29">
        <f t="shared" si="22"/>
        <v>694.58333333333303</v>
      </c>
      <c r="AN92" s="29">
        <f t="shared" si="23"/>
        <v>1.2151169766046797</v>
      </c>
      <c r="AO92" s="29">
        <f t="shared" si="24"/>
        <v>1.2244897959183674</v>
      </c>
      <c r="AP92" s="31">
        <f t="shared" si="25"/>
        <v>0.99234553089382171</v>
      </c>
      <c r="AQ92" s="31">
        <f t="shared" si="26"/>
        <v>0.93838862559241709</v>
      </c>
      <c r="AR92" s="31">
        <f t="shared" si="27"/>
        <v>0.90514285714285747</v>
      </c>
      <c r="AS92" s="29">
        <f t="shared" si="28"/>
        <v>28.738021327014216</v>
      </c>
      <c r="AT92" s="29">
        <f t="shared" si="29"/>
        <v>6.6718516683138267</v>
      </c>
      <c r="AU92" s="27" t="str">
        <f t="shared" si="30"/>
        <v>High</v>
      </c>
      <c r="AV92" s="27" t="str">
        <f t="shared" si="31"/>
        <v>Normal</v>
      </c>
      <c r="AW92" s="27"/>
    </row>
    <row r="93" spans="1:49" x14ac:dyDescent="0.25">
      <c r="A93" s="27">
        <v>92</v>
      </c>
      <c r="B93" s="28">
        <v>46042</v>
      </c>
      <c r="C93" s="28" t="str">
        <f t="shared" si="16"/>
        <v>January</v>
      </c>
      <c r="D93" s="27" t="s">
        <v>47</v>
      </c>
      <c r="E93" s="27" t="s">
        <v>48</v>
      </c>
      <c r="F93" s="27" t="s">
        <v>56</v>
      </c>
      <c r="G93" s="27" t="s">
        <v>50</v>
      </c>
      <c r="H93" s="27" t="s">
        <v>124</v>
      </c>
      <c r="I93" s="27" t="s">
        <v>213</v>
      </c>
      <c r="J93" s="27" t="s">
        <v>93</v>
      </c>
      <c r="K93" s="27">
        <v>701</v>
      </c>
      <c r="L93" s="27">
        <v>689</v>
      </c>
      <c r="M93" s="27">
        <v>649</v>
      </c>
      <c r="N93" s="27">
        <v>40</v>
      </c>
      <c r="O93" s="27">
        <v>7</v>
      </c>
      <c r="P93" s="27">
        <v>25</v>
      </c>
      <c r="Q93" s="27" t="s">
        <v>54</v>
      </c>
      <c r="R93" s="27">
        <v>57</v>
      </c>
      <c r="S93" s="27">
        <v>60</v>
      </c>
      <c r="T93" s="29">
        <v>82.1</v>
      </c>
      <c r="U93" s="29">
        <v>1.67</v>
      </c>
      <c r="V93" s="29">
        <v>25.35</v>
      </c>
      <c r="W93" s="30">
        <v>17848.68</v>
      </c>
      <c r="X93" s="27">
        <v>9.42</v>
      </c>
      <c r="Y93" s="27" t="s">
        <v>66</v>
      </c>
      <c r="Z93" s="29">
        <v>28</v>
      </c>
      <c r="AA93" s="30">
        <v>29471.91</v>
      </c>
      <c r="AB93" s="29">
        <v>0.94194484760522501</v>
      </c>
      <c r="AC93" s="30">
        <v>22315.83</v>
      </c>
      <c r="AD93" s="30">
        <v>181.33637155297501</v>
      </c>
      <c r="AE93" s="27">
        <v>665.95</v>
      </c>
      <c r="AF93" s="29">
        <v>0.96245964411742602</v>
      </c>
      <c r="AG93" s="30">
        <v>6974.7436284470195</v>
      </c>
      <c r="AH93" s="31">
        <f t="shared" si="17"/>
        <v>0.98288159771754635</v>
      </c>
      <c r="AI93" s="31">
        <f t="shared" si="18"/>
        <v>5.8055152394775038E-2</v>
      </c>
      <c r="AJ93" s="31">
        <f t="shared" si="19"/>
        <v>1.0159651669085631E-2</v>
      </c>
      <c r="AK93" s="31">
        <f t="shared" si="20"/>
        <v>0.94194484760522501</v>
      </c>
      <c r="AL93" s="29">
        <f t="shared" si="21"/>
        <v>0.41666666666666669</v>
      </c>
      <c r="AM93" s="29">
        <f t="shared" si="22"/>
        <v>640.95000000000005</v>
      </c>
      <c r="AN93" s="29">
        <f t="shared" si="23"/>
        <v>1.0749668460878383</v>
      </c>
      <c r="AO93" s="29">
        <f t="shared" si="24"/>
        <v>1.0526315789473684</v>
      </c>
      <c r="AP93" s="31">
        <f t="shared" si="25"/>
        <v>1.0212185037834465</v>
      </c>
      <c r="AQ93" s="31">
        <f t="shared" si="26"/>
        <v>0.94194484760522501</v>
      </c>
      <c r="AR93" s="31">
        <f t="shared" si="27"/>
        <v>0.92582025677603408</v>
      </c>
      <c r="AS93" s="29">
        <f t="shared" si="28"/>
        <v>32.388722786647314</v>
      </c>
      <c r="AT93" s="29">
        <f t="shared" si="29"/>
        <v>10.122995106599447</v>
      </c>
      <c r="AU93" s="27" t="str">
        <f t="shared" si="30"/>
        <v>Medium</v>
      </c>
      <c r="AV93" s="27" t="str">
        <f t="shared" si="31"/>
        <v>Warning</v>
      </c>
      <c r="AW93" s="27"/>
    </row>
    <row r="94" spans="1:49" x14ac:dyDescent="0.25">
      <c r="A94" s="27">
        <v>93</v>
      </c>
      <c r="B94" s="28">
        <v>46151</v>
      </c>
      <c r="C94" s="28" t="str">
        <f t="shared" si="16"/>
        <v>May</v>
      </c>
      <c r="D94" s="27" t="s">
        <v>67</v>
      </c>
      <c r="E94" s="27" t="s">
        <v>98</v>
      </c>
      <c r="F94" s="27" t="s">
        <v>105</v>
      </c>
      <c r="G94" s="27" t="s">
        <v>78</v>
      </c>
      <c r="H94" s="27" t="s">
        <v>124</v>
      </c>
      <c r="I94" s="27" t="s">
        <v>214</v>
      </c>
      <c r="J94" s="27" t="s">
        <v>115</v>
      </c>
      <c r="K94" s="27">
        <v>569</v>
      </c>
      <c r="L94" s="27">
        <v>507</v>
      </c>
      <c r="M94" s="27">
        <v>472</v>
      </c>
      <c r="N94" s="27">
        <v>35</v>
      </c>
      <c r="O94" s="27">
        <v>13</v>
      </c>
      <c r="P94" s="27">
        <v>37</v>
      </c>
      <c r="Q94" s="27" t="s">
        <v>82</v>
      </c>
      <c r="R94" s="27">
        <v>57</v>
      </c>
      <c r="S94" s="27">
        <v>57</v>
      </c>
      <c r="T94" s="29">
        <v>70.599999999999994</v>
      </c>
      <c r="U94" s="29">
        <v>2.12</v>
      </c>
      <c r="V94" s="29">
        <v>17.489999999999998</v>
      </c>
      <c r="W94" s="30">
        <v>14193.29</v>
      </c>
      <c r="X94" s="27">
        <v>6.51</v>
      </c>
      <c r="Y94" s="27" t="s">
        <v>66</v>
      </c>
      <c r="Z94" s="29">
        <v>23</v>
      </c>
      <c r="AA94" s="30">
        <v>21551.99</v>
      </c>
      <c r="AB94" s="29">
        <v>0.93096646942800798</v>
      </c>
      <c r="AC94" s="30">
        <v>17280.2</v>
      </c>
      <c r="AD94" s="30">
        <v>363.930512820513</v>
      </c>
      <c r="AE94" s="27">
        <v>540.54999999999995</v>
      </c>
      <c r="AF94" s="29">
        <v>0.93155119785403795</v>
      </c>
      <c r="AG94" s="30">
        <v>3907.8594871794899</v>
      </c>
      <c r="AH94" s="31">
        <f t="shared" si="17"/>
        <v>0.89103690685413006</v>
      </c>
      <c r="AI94" s="31">
        <f t="shared" si="18"/>
        <v>6.9033530571992116E-2</v>
      </c>
      <c r="AJ94" s="31">
        <f t="shared" si="19"/>
        <v>2.564102564102564E-2</v>
      </c>
      <c r="AK94" s="31">
        <f t="shared" si="20"/>
        <v>0.93096646942800787</v>
      </c>
      <c r="AL94" s="29">
        <f t="shared" si="21"/>
        <v>0.6166666666666667</v>
      </c>
      <c r="AM94" s="29">
        <f t="shared" si="22"/>
        <v>503.54999999999995</v>
      </c>
      <c r="AN94" s="29">
        <f t="shared" si="23"/>
        <v>1.0068513553768246</v>
      </c>
      <c r="AO94" s="29">
        <f t="shared" si="24"/>
        <v>1.0526315789473684</v>
      </c>
      <c r="AP94" s="31">
        <f t="shared" si="25"/>
        <v>0.95650878760798341</v>
      </c>
      <c r="AQ94" s="31">
        <f t="shared" si="26"/>
        <v>0.93096646942800787</v>
      </c>
      <c r="AR94" s="31">
        <f t="shared" si="27"/>
        <v>0.82952548330404263</v>
      </c>
      <c r="AS94" s="29">
        <f t="shared" si="28"/>
        <v>34.083234714003943</v>
      </c>
      <c r="AT94" s="29">
        <f t="shared" si="29"/>
        <v>7.7078096394072775</v>
      </c>
      <c r="AU94" s="27" t="str">
        <f t="shared" si="30"/>
        <v>Medium</v>
      </c>
      <c r="AV94" s="27" t="str">
        <f t="shared" si="31"/>
        <v>Warning</v>
      </c>
      <c r="AW94" s="27"/>
    </row>
    <row r="95" spans="1:49" x14ac:dyDescent="0.25">
      <c r="A95" s="27">
        <v>94</v>
      </c>
      <c r="B95" s="28">
        <v>46144</v>
      </c>
      <c r="C95" s="28" t="str">
        <f t="shared" si="16"/>
        <v>May</v>
      </c>
      <c r="D95" s="27" t="s">
        <v>47</v>
      </c>
      <c r="E95" s="27" t="s">
        <v>48</v>
      </c>
      <c r="F95" s="27" t="s">
        <v>49</v>
      </c>
      <c r="G95" s="27" t="s">
        <v>50</v>
      </c>
      <c r="H95" s="27" t="s">
        <v>124</v>
      </c>
      <c r="I95" s="27" t="s">
        <v>215</v>
      </c>
      <c r="J95" s="27" t="s">
        <v>74</v>
      </c>
      <c r="K95" s="27">
        <v>685</v>
      </c>
      <c r="L95" s="27">
        <v>723</v>
      </c>
      <c r="M95" s="27">
        <v>695</v>
      </c>
      <c r="N95" s="27">
        <v>28</v>
      </c>
      <c r="O95" s="27">
        <v>11</v>
      </c>
      <c r="P95" s="27">
        <v>0</v>
      </c>
      <c r="Q95" s="27" t="s">
        <v>60</v>
      </c>
      <c r="R95" s="27">
        <v>57</v>
      </c>
      <c r="S95" s="27">
        <v>55</v>
      </c>
      <c r="T95" s="29">
        <v>70.5</v>
      </c>
      <c r="U95" s="29">
        <v>2.0299999999999998</v>
      </c>
      <c r="V95" s="29">
        <v>28.59</v>
      </c>
      <c r="W95" s="30">
        <v>18800.64</v>
      </c>
      <c r="X95" s="27">
        <v>7.86</v>
      </c>
      <c r="Y95" s="27" t="s">
        <v>71</v>
      </c>
      <c r="Z95" s="29">
        <v>42</v>
      </c>
      <c r="AA95" s="30">
        <v>32735.96</v>
      </c>
      <c r="AB95" s="29">
        <v>0.96127247579529695</v>
      </c>
      <c r="AC95" s="30">
        <v>22594.95</v>
      </c>
      <c r="AD95" s="30">
        <v>286.040165975104</v>
      </c>
      <c r="AE95" s="27">
        <v>650.75</v>
      </c>
      <c r="AF95" s="29">
        <v>1</v>
      </c>
      <c r="AG95" s="30">
        <v>9854.9698340248906</v>
      </c>
      <c r="AH95" s="31">
        <f t="shared" si="17"/>
        <v>1.0554744525547446</v>
      </c>
      <c r="AI95" s="31">
        <f t="shared" si="18"/>
        <v>3.8727524204702629E-2</v>
      </c>
      <c r="AJ95" s="31">
        <f t="shared" si="19"/>
        <v>1.5214384508990318E-2</v>
      </c>
      <c r="AK95" s="31">
        <f t="shared" si="20"/>
        <v>0.9612724757952974</v>
      </c>
      <c r="AL95" s="29">
        <f t="shared" si="21"/>
        <v>0</v>
      </c>
      <c r="AM95" s="29">
        <f t="shared" si="22"/>
        <v>650.75</v>
      </c>
      <c r="AN95" s="29">
        <f t="shared" si="23"/>
        <v>1.1110257395313101</v>
      </c>
      <c r="AO95" s="29">
        <f t="shared" si="24"/>
        <v>1.0526315789473684</v>
      </c>
      <c r="AP95" s="31">
        <f t="shared" si="25"/>
        <v>1.0554744525547446</v>
      </c>
      <c r="AQ95" s="31">
        <f t="shared" si="26"/>
        <v>0.9612724757952974</v>
      </c>
      <c r="AR95" s="31">
        <f t="shared" si="27"/>
        <v>1.0145985401459854</v>
      </c>
      <c r="AS95" s="29">
        <f t="shared" si="28"/>
        <v>31.251659751037344</v>
      </c>
      <c r="AT95" s="29">
        <f t="shared" si="29"/>
        <v>13.63066367085047</v>
      </c>
      <c r="AU95" s="27" t="str">
        <f t="shared" si="30"/>
        <v>High</v>
      </c>
      <c r="AV95" s="27" t="str">
        <f t="shared" si="31"/>
        <v>Normal</v>
      </c>
      <c r="AW95" s="27"/>
    </row>
    <row r="96" spans="1:49" x14ac:dyDescent="0.25">
      <c r="A96" s="27">
        <v>95</v>
      </c>
      <c r="B96" s="28">
        <v>46167</v>
      </c>
      <c r="C96" s="28" t="str">
        <f t="shared" si="16"/>
        <v>May</v>
      </c>
      <c r="D96" s="27" t="s">
        <v>47</v>
      </c>
      <c r="E96" s="27" t="s">
        <v>98</v>
      </c>
      <c r="F96" s="27" t="s">
        <v>99</v>
      </c>
      <c r="G96" s="27" t="s">
        <v>50</v>
      </c>
      <c r="H96" s="27" t="s">
        <v>51</v>
      </c>
      <c r="I96" s="27" t="s">
        <v>216</v>
      </c>
      <c r="J96" s="27" t="s">
        <v>101</v>
      </c>
      <c r="K96" s="27">
        <v>923</v>
      </c>
      <c r="L96" s="27">
        <v>908</v>
      </c>
      <c r="M96" s="27">
        <v>863</v>
      </c>
      <c r="N96" s="27">
        <v>45</v>
      </c>
      <c r="O96" s="27">
        <v>16</v>
      </c>
      <c r="P96" s="27">
        <v>40</v>
      </c>
      <c r="Q96" s="27" t="s">
        <v>94</v>
      </c>
      <c r="R96" s="27">
        <v>42</v>
      </c>
      <c r="S96" s="27">
        <v>45</v>
      </c>
      <c r="T96" s="29">
        <v>66.400000000000006</v>
      </c>
      <c r="U96" s="29">
        <v>1.5</v>
      </c>
      <c r="V96" s="29">
        <v>28.94</v>
      </c>
      <c r="W96" s="30">
        <v>16487.29</v>
      </c>
      <c r="X96" s="27">
        <v>7.4</v>
      </c>
      <c r="Y96" s="27" t="s">
        <v>55</v>
      </c>
      <c r="Z96" s="29">
        <v>19</v>
      </c>
      <c r="AA96" s="30">
        <v>26913.48</v>
      </c>
      <c r="AB96" s="29">
        <v>0.95044052863436101</v>
      </c>
      <c r="AC96" s="30">
        <v>20077.75</v>
      </c>
      <c r="AD96" s="30">
        <v>290.524933920705</v>
      </c>
      <c r="AE96" s="27">
        <v>646.1</v>
      </c>
      <c r="AF96" s="29">
        <v>0.93809007893514895</v>
      </c>
      <c r="AG96" s="30">
        <v>6545.2050660793002</v>
      </c>
      <c r="AH96" s="31">
        <f t="shared" si="17"/>
        <v>0.98374864572047671</v>
      </c>
      <c r="AI96" s="31">
        <f t="shared" si="18"/>
        <v>4.9559471365638763E-2</v>
      </c>
      <c r="AJ96" s="31">
        <f t="shared" si="19"/>
        <v>1.7621145374449341E-2</v>
      </c>
      <c r="AK96" s="31">
        <f t="shared" si="20"/>
        <v>0.95044052863436124</v>
      </c>
      <c r="AL96" s="29">
        <f t="shared" si="21"/>
        <v>0.66666666666666663</v>
      </c>
      <c r="AM96" s="29">
        <f t="shared" si="22"/>
        <v>606.1</v>
      </c>
      <c r="AN96" s="29">
        <f t="shared" si="23"/>
        <v>1.4981026233294836</v>
      </c>
      <c r="AO96" s="29">
        <f t="shared" si="24"/>
        <v>1.4285714285714286</v>
      </c>
      <c r="AP96" s="31">
        <f t="shared" si="25"/>
        <v>1.0486718363306384</v>
      </c>
      <c r="AQ96" s="31">
        <f t="shared" si="26"/>
        <v>0.95044052863436124</v>
      </c>
      <c r="AR96" s="31">
        <f t="shared" si="27"/>
        <v>0.93499458288190629</v>
      </c>
      <c r="AS96" s="29">
        <f t="shared" si="28"/>
        <v>22.11205947136564</v>
      </c>
      <c r="AT96" s="29">
        <f t="shared" si="29"/>
        <v>7.2083756234353524</v>
      </c>
      <c r="AU96" s="27" t="str">
        <f t="shared" si="30"/>
        <v>Low</v>
      </c>
      <c r="AV96" s="27" t="str">
        <f t="shared" si="31"/>
        <v>Normal</v>
      </c>
      <c r="AW96" s="27"/>
    </row>
    <row r="97" spans="1:49" x14ac:dyDescent="0.25">
      <c r="A97" s="27">
        <v>96</v>
      </c>
      <c r="B97" s="28">
        <v>46177</v>
      </c>
      <c r="C97" s="28" t="str">
        <f t="shared" si="16"/>
        <v>June</v>
      </c>
      <c r="D97" s="27" t="s">
        <v>67</v>
      </c>
      <c r="E97" s="27" t="s">
        <v>129</v>
      </c>
      <c r="F97" s="27" t="s">
        <v>167</v>
      </c>
      <c r="G97" s="27" t="s">
        <v>63</v>
      </c>
      <c r="H97" s="27" t="s">
        <v>57</v>
      </c>
      <c r="I97" s="27" t="s">
        <v>217</v>
      </c>
      <c r="J97" s="27" t="s">
        <v>218</v>
      </c>
      <c r="K97" s="27">
        <v>931</v>
      </c>
      <c r="L97" s="27">
        <v>798</v>
      </c>
      <c r="M97" s="27">
        <v>734</v>
      </c>
      <c r="N97" s="27">
        <v>64</v>
      </c>
      <c r="O97" s="27">
        <v>15</v>
      </c>
      <c r="P97" s="27">
        <v>14</v>
      </c>
      <c r="Q97" s="27" t="s">
        <v>54</v>
      </c>
      <c r="R97" s="27">
        <v>45</v>
      </c>
      <c r="S97" s="27">
        <v>47</v>
      </c>
      <c r="T97" s="29">
        <v>65.7</v>
      </c>
      <c r="U97" s="29">
        <v>2.66</v>
      </c>
      <c r="V97" s="29">
        <v>23.75</v>
      </c>
      <c r="W97" s="30">
        <v>16123.43</v>
      </c>
      <c r="X97" s="27">
        <v>8.39</v>
      </c>
      <c r="Y97" s="27" t="s">
        <v>55</v>
      </c>
      <c r="Z97" s="29">
        <v>37</v>
      </c>
      <c r="AA97" s="30">
        <v>25519.86</v>
      </c>
      <c r="AB97" s="29">
        <v>0.91979949874686695</v>
      </c>
      <c r="AC97" s="30">
        <v>20112.68</v>
      </c>
      <c r="AD97" s="30">
        <v>303.07199248120298</v>
      </c>
      <c r="AE97" s="27">
        <v>698.25</v>
      </c>
      <c r="AF97" s="29">
        <v>0.97994987468671702</v>
      </c>
      <c r="AG97" s="30">
        <v>5104.1080075188002</v>
      </c>
      <c r="AH97" s="31">
        <f t="shared" si="17"/>
        <v>0.8571428571428571</v>
      </c>
      <c r="AI97" s="31">
        <f t="shared" si="18"/>
        <v>8.0200501253132828E-2</v>
      </c>
      <c r="AJ97" s="31">
        <f t="shared" si="19"/>
        <v>1.8796992481203006E-2</v>
      </c>
      <c r="AK97" s="31">
        <f t="shared" si="20"/>
        <v>0.91979949874686717</v>
      </c>
      <c r="AL97" s="29">
        <f t="shared" si="21"/>
        <v>0.23333333333333334</v>
      </c>
      <c r="AM97" s="29">
        <f t="shared" si="22"/>
        <v>684.25</v>
      </c>
      <c r="AN97" s="29">
        <f t="shared" si="23"/>
        <v>1.1662404092071612</v>
      </c>
      <c r="AO97" s="29">
        <f t="shared" si="24"/>
        <v>1.3333333333333333</v>
      </c>
      <c r="AP97" s="31">
        <f t="shared" si="25"/>
        <v>0.87468030690537091</v>
      </c>
      <c r="AQ97" s="31">
        <f t="shared" si="26"/>
        <v>0.91979949874686717</v>
      </c>
      <c r="AR97" s="31">
        <f t="shared" si="27"/>
        <v>0.78839957035445785</v>
      </c>
      <c r="AS97" s="29">
        <f t="shared" si="28"/>
        <v>25.203859649122808</v>
      </c>
      <c r="AT97" s="29">
        <f t="shared" si="29"/>
        <v>6.396125322705263</v>
      </c>
      <c r="AU97" s="27" t="str">
        <f t="shared" si="30"/>
        <v>High</v>
      </c>
      <c r="AV97" s="27" t="str">
        <f t="shared" si="31"/>
        <v>Warning</v>
      </c>
      <c r="AW97" s="27"/>
    </row>
    <row r="98" spans="1:49" x14ac:dyDescent="0.25">
      <c r="A98" s="27">
        <v>97</v>
      </c>
      <c r="B98" s="28">
        <v>46115</v>
      </c>
      <c r="C98" s="28" t="str">
        <f t="shared" si="16"/>
        <v>April</v>
      </c>
      <c r="D98" s="27" t="s">
        <v>47</v>
      </c>
      <c r="E98" s="27" t="s">
        <v>48</v>
      </c>
      <c r="F98" s="27" t="s">
        <v>72</v>
      </c>
      <c r="G98" s="27" t="s">
        <v>78</v>
      </c>
      <c r="H98" s="27" t="s">
        <v>79</v>
      </c>
      <c r="I98" s="27" t="s">
        <v>219</v>
      </c>
      <c r="J98" s="27" t="s">
        <v>109</v>
      </c>
      <c r="K98" s="27">
        <v>672</v>
      </c>
      <c r="L98" s="27">
        <v>567</v>
      </c>
      <c r="M98" s="27">
        <v>545</v>
      </c>
      <c r="N98" s="27">
        <v>22</v>
      </c>
      <c r="O98" s="27">
        <v>6</v>
      </c>
      <c r="P98" s="27">
        <v>36</v>
      </c>
      <c r="Q98" s="27" t="s">
        <v>94</v>
      </c>
      <c r="R98" s="27">
        <v>49</v>
      </c>
      <c r="S98" s="27">
        <v>51</v>
      </c>
      <c r="T98" s="29">
        <v>72.8</v>
      </c>
      <c r="U98" s="29">
        <v>2.54</v>
      </c>
      <c r="V98" s="29">
        <v>19.850000000000001</v>
      </c>
      <c r="W98" s="30">
        <v>11852.35</v>
      </c>
      <c r="X98" s="27">
        <v>8.58</v>
      </c>
      <c r="Y98" s="27" t="s">
        <v>71</v>
      </c>
      <c r="Z98" s="29">
        <v>29</v>
      </c>
      <c r="AA98" s="30">
        <v>21304.18</v>
      </c>
      <c r="AB98" s="29">
        <v>0.96119929453262798</v>
      </c>
      <c r="AC98" s="30">
        <v>15892</v>
      </c>
      <c r="AD98" s="30">
        <v>125.421693121693</v>
      </c>
      <c r="AE98" s="27">
        <v>548.79999999999995</v>
      </c>
      <c r="AF98" s="29">
        <v>0.93440233236151604</v>
      </c>
      <c r="AG98" s="30">
        <v>5286.7583068783097</v>
      </c>
      <c r="AH98" s="31">
        <f t="shared" si="17"/>
        <v>0.84375</v>
      </c>
      <c r="AI98" s="31">
        <f t="shared" si="18"/>
        <v>3.8800705467372132E-2</v>
      </c>
      <c r="AJ98" s="31">
        <f t="shared" si="19"/>
        <v>1.0582010582010581E-2</v>
      </c>
      <c r="AK98" s="31">
        <f t="shared" si="20"/>
        <v>0.96119929453262787</v>
      </c>
      <c r="AL98" s="29">
        <f t="shared" si="21"/>
        <v>0.6</v>
      </c>
      <c r="AM98" s="29">
        <f t="shared" si="22"/>
        <v>512.79999999999995</v>
      </c>
      <c r="AN98" s="29">
        <f t="shared" si="23"/>
        <v>1.1056942277691109</v>
      </c>
      <c r="AO98" s="29">
        <f t="shared" si="24"/>
        <v>1.2244897959183674</v>
      </c>
      <c r="AP98" s="31">
        <f t="shared" si="25"/>
        <v>0.90298361934477389</v>
      </c>
      <c r="AQ98" s="31">
        <f t="shared" si="26"/>
        <v>0.96119929453262787</v>
      </c>
      <c r="AR98" s="31">
        <f t="shared" si="27"/>
        <v>0.81101190476190488</v>
      </c>
      <c r="AS98" s="29">
        <f t="shared" si="28"/>
        <v>28.028218694885361</v>
      </c>
      <c r="AT98" s="29">
        <f t="shared" si="29"/>
        <v>9.3240887246531035</v>
      </c>
      <c r="AU98" s="27" t="str">
        <f t="shared" si="30"/>
        <v>High</v>
      </c>
      <c r="AV98" s="27" t="str">
        <f t="shared" si="31"/>
        <v>Warning</v>
      </c>
      <c r="AW98" s="27"/>
    </row>
    <row r="99" spans="1:49" x14ac:dyDescent="0.25">
      <c r="A99" s="27">
        <v>98</v>
      </c>
      <c r="B99" s="28">
        <v>46169</v>
      </c>
      <c r="C99" s="28" t="str">
        <f t="shared" si="16"/>
        <v>May</v>
      </c>
      <c r="D99" s="27" t="s">
        <v>47</v>
      </c>
      <c r="E99" s="27" t="s">
        <v>61</v>
      </c>
      <c r="F99" s="27" t="s">
        <v>88</v>
      </c>
      <c r="G99" s="27" t="s">
        <v>50</v>
      </c>
      <c r="H99" s="27" t="s">
        <v>79</v>
      </c>
      <c r="I99" s="27" t="s">
        <v>220</v>
      </c>
      <c r="J99" s="27" t="s">
        <v>186</v>
      </c>
      <c r="K99" s="27">
        <v>694</v>
      </c>
      <c r="L99" s="27">
        <v>697</v>
      </c>
      <c r="M99" s="27">
        <v>671</v>
      </c>
      <c r="N99" s="27">
        <v>26</v>
      </c>
      <c r="O99" s="27">
        <v>8</v>
      </c>
      <c r="P99" s="27">
        <v>5</v>
      </c>
      <c r="Q99" s="27" t="s">
        <v>94</v>
      </c>
      <c r="R99" s="27">
        <v>49</v>
      </c>
      <c r="S99" s="27">
        <v>48</v>
      </c>
      <c r="T99" s="29">
        <v>72</v>
      </c>
      <c r="U99" s="29">
        <v>2.37</v>
      </c>
      <c r="V99" s="29">
        <v>21.48</v>
      </c>
      <c r="W99" s="30">
        <v>14974.56</v>
      </c>
      <c r="X99" s="27">
        <v>10.38</v>
      </c>
      <c r="Y99" s="27" t="s">
        <v>55</v>
      </c>
      <c r="Z99" s="29">
        <v>32</v>
      </c>
      <c r="AA99" s="30">
        <v>25681.88</v>
      </c>
      <c r="AB99" s="29">
        <v>0.96269727403156402</v>
      </c>
      <c r="AC99" s="30">
        <v>19838.88</v>
      </c>
      <c r="AD99" s="30">
        <v>171.87443328550901</v>
      </c>
      <c r="AE99" s="27">
        <v>566.76666666666699</v>
      </c>
      <c r="AF99" s="29">
        <v>0.99117802740692795</v>
      </c>
      <c r="AG99" s="30">
        <v>5671.1255667144897</v>
      </c>
      <c r="AH99" s="31">
        <f t="shared" si="17"/>
        <v>1.0043227665706052</v>
      </c>
      <c r="AI99" s="31">
        <f t="shared" si="18"/>
        <v>3.7302725968436153E-2</v>
      </c>
      <c r="AJ99" s="31">
        <f t="shared" si="19"/>
        <v>1.1477761836441894E-2</v>
      </c>
      <c r="AK99" s="31">
        <f t="shared" si="20"/>
        <v>0.9626972740315638</v>
      </c>
      <c r="AL99" s="29">
        <f t="shared" si="21"/>
        <v>8.3333333333333329E-2</v>
      </c>
      <c r="AM99" s="29">
        <f t="shared" si="22"/>
        <v>561.76666666666699</v>
      </c>
      <c r="AN99" s="29">
        <f t="shared" si="23"/>
        <v>1.240728653652168</v>
      </c>
      <c r="AO99" s="29">
        <f t="shared" si="24"/>
        <v>1.2244897959183674</v>
      </c>
      <c r="AP99" s="31">
        <f t="shared" si="25"/>
        <v>1.0132617338159371</v>
      </c>
      <c r="AQ99" s="31">
        <f t="shared" si="26"/>
        <v>0.9626972740315638</v>
      </c>
      <c r="AR99" s="31">
        <f t="shared" si="27"/>
        <v>0.96685878962535932</v>
      </c>
      <c r="AS99" s="29">
        <f t="shared" si="28"/>
        <v>28.463242467718796</v>
      </c>
      <c r="AT99" s="29">
        <f t="shared" si="29"/>
        <v>8.136478574913184</v>
      </c>
      <c r="AU99" s="27" t="str">
        <f t="shared" si="30"/>
        <v>Medium</v>
      </c>
      <c r="AV99" s="27" t="str">
        <f t="shared" si="31"/>
        <v>Normal</v>
      </c>
      <c r="AW99" s="27"/>
    </row>
    <row r="100" spans="1:49" x14ac:dyDescent="0.25">
      <c r="A100" s="27">
        <v>99</v>
      </c>
      <c r="B100" s="28">
        <v>46107</v>
      </c>
      <c r="C100" s="28" t="str">
        <f t="shared" si="16"/>
        <v>March</v>
      </c>
      <c r="D100" s="27" t="s">
        <v>67</v>
      </c>
      <c r="E100" s="27" t="s">
        <v>129</v>
      </c>
      <c r="F100" s="27" t="s">
        <v>151</v>
      </c>
      <c r="G100" s="27" t="s">
        <v>78</v>
      </c>
      <c r="H100" s="27" t="s">
        <v>68</v>
      </c>
      <c r="I100" s="27" t="s">
        <v>221</v>
      </c>
      <c r="J100" s="27" t="s">
        <v>153</v>
      </c>
      <c r="K100" s="27">
        <v>526</v>
      </c>
      <c r="L100" s="27">
        <v>443</v>
      </c>
      <c r="M100" s="27">
        <v>411</v>
      </c>
      <c r="N100" s="27">
        <v>32</v>
      </c>
      <c r="O100" s="27">
        <v>8</v>
      </c>
      <c r="P100" s="27">
        <v>19</v>
      </c>
      <c r="Q100" s="27" t="s">
        <v>75</v>
      </c>
      <c r="R100" s="27">
        <v>64</v>
      </c>
      <c r="S100" s="27">
        <v>72</v>
      </c>
      <c r="T100" s="29">
        <v>71.2</v>
      </c>
      <c r="U100" s="29">
        <v>1.89</v>
      </c>
      <c r="V100" s="29">
        <v>15.86</v>
      </c>
      <c r="W100" s="30">
        <v>13556.56</v>
      </c>
      <c r="X100" s="27">
        <v>6.38</v>
      </c>
      <c r="Y100" s="27" t="s">
        <v>66</v>
      </c>
      <c r="Z100" s="29">
        <v>31</v>
      </c>
      <c r="AA100" s="30">
        <v>21490.26</v>
      </c>
      <c r="AB100" s="29">
        <v>0.92776523702031599</v>
      </c>
      <c r="AC100" s="30">
        <v>16570.3</v>
      </c>
      <c r="AD100" s="30">
        <v>244.81372460496601</v>
      </c>
      <c r="AE100" s="27">
        <v>561.06666666666695</v>
      </c>
      <c r="AF100" s="29">
        <v>0.96613593155893496</v>
      </c>
      <c r="AG100" s="30">
        <v>4675.14627539503</v>
      </c>
      <c r="AH100" s="31">
        <f t="shared" si="17"/>
        <v>0.84220532319391639</v>
      </c>
      <c r="AI100" s="31">
        <f t="shared" si="18"/>
        <v>7.2234762979683967E-2</v>
      </c>
      <c r="AJ100" s="31">
        <f t="shared" si="19"/>
        <v>1.8058690744920992E-2</v>
      </c>
      <c r="AK100" s="31">
        <f t="shared" si="20"/>
        <v>0.92776523702031599</v>
      </c>
      <c r="AL100" s="29">
        <f t="shared" si="21"/>
        <v>0.31666666666666665</v>
      </c>
      <c r="AM100" s="29">
        <f t="shared" si="22"/>
        <v>542.06666666666695</v>
      </c>
      <c r="AN100" s="29">
        <f t="shared" si="23"/>
        <v>0.81724265158037102</v>
      </c>
      <c r="AO100" s="29">
        <f t="shared" si="24"/>
        <v>0.9375</v>
      </c>
      <c r="AP100" s="31">
        <f t="shared" si="25"/>
        <v>0.87172549501906238</v>
      </c>
      <c r="AQ100" s="31">
        <f t="shared" si="26"/>
        <v>0.92776523702031599</v>
      </c>
      <c r="AR100" s="31">
        <f t="shared" si="27"/>
        <v>0.78136882129277485</v>
      </c>
      <c r="AS100" s="29">
        <f t="shared" si="28"/>
        <v>37.404740406320542</v>
      </c>
      <c r="AT100" s="29">
        <f t="shared" si="29"/>
        <v>10.55337759682851</v>
      </c>
      <c r="AU100" s="27" t="str">
        <f t="shared" si="30"/>
        <v>High</v>
      </c>
      <c r="AV100" s="27" t="str">
        <f t="shared" si="31"/>
        <v>Warning</v>
      </c>
      <c r="AW100" s="27"/>
    </row>
    <row r="101" spans="1:49" x14ac:dyDescent="0.25">
      <c r="A101" s="27">
        <v>100</v>
      </c>
      <c r="B101" s="28">
        <v>46162</v>
      </c>
      <c r="C101" s="28" t="str">
        <f t="shared" si="16"/>
        <v>May</v>
      </c>
      <c r="D101" s="27" t="s">
        <v>47</v>
      </c>
      <c r="E101" s="27" t="s">
        <v>76</v>
      </c>
      <c r="F101" s="27" t="s">
        <v>77</v>
      </c>
      <c r="G101" s="27" t="s">
        <v>78</v>
      </c>
      <c r="H101" s="27" t="s">
        <v>79</v>
      </c>
      <c r="I101" s="27" t="s">
        <v>222</v>
      </c>
      <c r="J101" s="27" t="s">
        <v>161</v>
      </c>
      <c r="K101" s="27">
        <v>844</v>
      </c>
      <c r="L101" s="27">
        <v>753</v>
      </c>
      <c r="M101" s="27">
        <v>701</v>
      </c>
      <c r="N101" s="27">
        <v>52</v>
      </c>
      <c r="O101" s="27">
        <v>13</v>
      </c>
      <c r="P101" s="27">
        <v>25</v>
      </c>
      <c r="Q101" s="27" t="s">
        <v>82</v>
      </c>
      <c r="R101" s="27">
        <v>49</v>
      </c>
      <c r="S101" s="27">
        <v>54</v>
      </c>
      <c r="T101" s="29">
        <v>70.7</v>
      </c>
      <c r="U101" s="29">
        <v>1.87</v>
      </c>
      <c r="V101" s="29">
        <v>23.89</v>
      </c>
      <c r="W101" s="30">
        <v>16321.47</v>
      </c>
      <c r="X101" s="27">
        <v>7.75</v>
      </c>
      <c r="Y101" s="27" t="s">
        <v>66</v>
      </c>
      <c r="Z101" s="29">
        <v>10</v>
      </c>
      <c r="AA101" s="30">
        <v>26769.45</v>
      </c>
      <c r="AB101" s="29">
        <v>0.930942895086321</v>
      </c>
      <c r="AC101" s="30">
        <v>20023.98</v>
      </c>
      <c r="AD101" s="30">
        <v>281.77836653386498</v>
      </c>
      <c r="AE101" s="27">
        <v>689.26666666666699</v>
      </c>
      <c r="AF101" s="29">
        <v>0.96372956765644702</v>
      </c>
      <c r="AG101" s="30">
        <v>6463.69163346614</v>
      </c>
      <c r="AH101" s="31">
        <f t="shared" si="17"/>
        <v>0.89218009478672988</v>
      </c>
      <c r="AI101" s="31">
        <f t="shared" si="18"/>
        <v>6.9057104913678613E-2</v>
      </c>
      <c r="AJ101" s="31">
        <f t="shared" si="19"/>
        <v>1.7264276228419653E-2</v>
      </c>
      <c r="AK101" s="31">
        <f t="shared" si="20"/>
        <v>0.93094289508632133</v>
      </c>
      <c r="AL101" s="29">
        <f t="shared" si="21"/>
        <v>0.41666666666666669</v>
      </c>
      <c r="AM101" s="29">
        <f t="shared" si="22"/>
        <v>664.26666666666699</v>
      </c>
      <c r="AN101" s="29">
        <f t="shared" si="23"/>
        <v>1.1335808912083496</v>
      </c>
      <c r="AO101" s="29">
        <f t="shared" si="24"/>
        <v>1.2244897959183674</v>
      </c>
      <c r="AP101" s="31">
        <f t="shared" si="25"/>
        <v>0.9257577278201522</v>
      </c>
      <c r="AQ101" s="31">
        <f t="shared" si="26"/>
        <v>0.93094289508632133</v>
      </c>
      <c r="AR101" s="31">
        <f t="shared" si="27"/>
        <v>0.83056872037914697</v>
      </c>
      <c r="AS101" s="29">
        <f t="shared" si="28"/>
        <v>26.592270916334662</v>
      </c>
      <c r="AT101" s="29">
        <f t="shared" si="29"/>
        <v>8.5839198319603458</v>
      </c>
      <c r="AU101" s="27" t="str">
        <f t="shared" si="30"/>
        <v>Medium</v>
      </c>
      <c r="AV101" s="27" t="str">
        <f t="shared" si="31"/>
        <v>Warning</v>
      </c>
      <c r="AW101" s="27"/>
    </row>
    <row r="102" spans="1:49" x14ac:dyDescent="0.25">
      <c r="A102" s="27">
        <v>101</v>
      </c>
      <c r="B102" s="28">
        <v>46159</v>
      </c>
      <c r="C102" s="28" t="str">
        <f t="shared" si="16"/>
        <v>May</v>
      </c>
      <c r="D102" s="27" t="s">
        <v>67</v>
      </c>
      <c r="E102" s="27" t="s">
        <v>76</v>
      </c>
      <c r="F102" s="27" t="s">
        <v>77</v>
      </c>
      <c r="G102" s="27" t="s">
        <v>78</v>
      </c>
      <c r="H102" s="27" t="s">
        <v>79</v>
      </c>
      <c r="I102" s="27" t="s">
        <v>223</v>
      </c>
      <c r="J102" s="27" t="s">
        <v>128</v>
      </c>
      <c r="K102" s="27">
        <v>663</v>
      </c>
      <c r="L102" s="27">
        <v>472</v>
      </c>
      <c r="M102" s="27">
        <v>439</v>
      </c>
      <c r="N102" s="27">
        <v>33</v>
      </c>
      <c r="O102" s="27">
        <v>12</v>
      </c>
      <c r="P102" s="27">
        <v>46</v>
      </c>
      <c r="Q102" s="27" t="s">
        <v>54</v>
      </c>
      <c r="R102" s="27">
        <v>49</v>
      </c>
      <c r="S102" s="27">
        <v>53</v>
      </c>
      <c r="T102" s="29">
        <v>69.2</v>
      </c>
      <c r="U102" s="29">
        <v>1.38</v>
      </c>
      <c r="V102" s="29">
        <v>15.66</v>
      </c>
      <c r="W102" s="30">
        <v>10037.59</v>
      </c>
      <c r="X102" s="27">
        <v>6.88</v>
      </c>
      <c r="Y102" s="27" t="s">
        <v>66</v>
      </c>
      <c r="Z102" s="29">
        <v>24</v>
      </c>
      <c r="AA102" s="30">
        <v>16869.84</v>
      </c>
      <c r="AB102" s="29">
        <v>0.93008474576271205</v>
      </c>
      <c r="AC102" s="30">
        <v>13274.53</v>
      </c>
      <c r="AD102" s="30">
        <v>255.19296610169499</v>
      </c>
      <c r="AE102" s="27">
        <v>541.45000000000005</v>
      </c>
      <c r="AF102" s="29">
        <v>0.91504294025302402</v>
      </c>
      <c r="AG102" s="30">
        <v>3340.1170338983002</v>
      </c>
      <c r="AH102" s="31">
        <f t="shared" si="17"/>
        <v>0.71191553544494723</v>
      </c>
      <c r="AI102" s="31">
        <f t="shared" si="18"/>
        <v>6.991525423728813E-2</v>
      </c>
      <c r="AJ102" s="31">
        <f t="shared" si="19"/>
        <v>2.5423728813559324E-2</v>
      </c>
      <c r="AK102" s="31">
        <f t="shared" si="20"/>
        <v>0.93008474576271183</v>
      </c>
      <c r="AL102" s="29">
        <f t="shared" si="21"/>
        <v>0.76666666666666672</v>
      </c>
      <c r="AM102" s="29">
        <f t="shared" si="22"/>
        <v>495.45000000000005</v>
      </c>
      <c r="AN102" s="29">
        <f t="shared" si="23"/>
        <v>0.95266929054394989</v>
      </c>
      <c r="AO102" s="29">
        <f t="shared" si="24"/>
        <v>1.2244897959183674</v>
      </c>
      <c r="AP102" s="31">
        <f t="shared" si="25"/>
        <v>0.77801325394422571</v>
      </c>
      <c r="AQ102" s="31">
        <f t="shared" si="26"/>
        <v>0.93008474576271183</v>
      </c>
      <c r="AR102" s="31">
        <f t="shared" si="27"/>
        <v>0.66214177978883826</v>
      </c>
      <c r="AS102" s="29">
        <f t="shared" si="28"/>
        <v>28.124004237288137</v>
      </c>
      <c r="AT102" s="29">
        <f t="shared" si="29"/>
        <v>7.0765191396150424</v>
      </c>
      <c r="AU102" s="27" t="str">
        <f t="shared" si="30"/>
        <v>High</v>
      </c>
      <c r="AV102" s="27" t="str">
        <f t="shared" si="31"/>
        <v>Critical</v>
      </c>
      <c r="AW102" s="27"/>
    </row>
    <row r="103" spans="1:49" x14ac:dyDescent="0.25">
      <c r="A103" s="27">
        <v>102</v>
      </c>
      <c r="B103" s="28">
        <v>46079</v>
      </c>
      <c r="C103" s="28" t="str">
        <f t="shared" si="16"/>
        <v>February</v>
      </c>
      <c r="D103" s="27" t="s">
        <v>67</v>
      </c>
      <c r="E103" s="27" t="s">
        <v>129</v>
      </c>
      <c r="F103" s="27" t="s">
        <v>151</v>
      </c>
      <c r="G103" s="27" t="s">
        <v>63</v>
      </c>
      <c r="H103" s="27" t="s">
        <v>57</v>
      </c>
      <c r="I103" s="27" t="s">
        <v>224</v>
      </c>
      <c r="J103" s="27" t="s">
        <v>81</v>
      </c>
      <c r="K103" s="27">
        <v>757</v>
      </c>
      <c r="L103" s="27">
        <v>652</v>
      </c>
      <c r="M103" s="27">
        <v>621</v>
      </c>
      <c r="N103" s="27">
        <v>31</v>
      </c>
      <c r="O103" s="27">
        <v>8</v>
      </c>
      <c r="P103" s="27">
        <v>29</v>
      </c>
      <c r="Q103" s="27" t="s">
        <v>104</v>
      </c>
      <c r="R103" s="27">
        <v>45</v>
      </c>
      <c r="S103" s="27">
        <v>49</v>
      </c>
      <c r="T103" s="29">
        <v>80.900000000000006</v>
      </c>
      <c r="U103" s="29">
        <v>2.78</v>
      </c>
      <c r="V103" s="29">
        <v>23.37</v>
      </c>
      <c r="W103" s="30">
        <v>13338.61</v>
      </c>
      <c r="X103" s="27">
        <v>7.55</v>
      </c>
      <c r="Y103" s="27" t="s">
        <v>55</v>
      </c>
      <c r="Z103" s="29">
        <v>1</v>
      </c>
      <c r="AA103" s="30">
        <v>21991.599999999999</v>
      </c>
      <c r="AB103" s="29">
        <v>0.95245398773006096</v>
      </c>
      <c r="AC103" s="30">
        <v>16946.439999999999</v>
      </c>
      <c r="AD103" s="30">
        <v>163.663926380368</v>
      </c>
      <c r="AE103" s="27">
        <v>567.75</v>
      </c>
      <c r="AF103" s="29">
        <v>0.94892118009687398</v>
      </c>
      <c r="AG103" s="30">
        <v>4881.4960736196299</v>
      </c>
      <c r="AH103" s="31">
        <f t="shared" si="17"/>
        <v>0.86129458388375169</v>
      </c>
      <c r="AI103" s="31">
        <f t="shared" si="18"/>
        <v>4.7546012269938653E-2</v>
      </c>
      <c r="AJ103" s="31">
        <f t="shared" si="19"/>
        <v>1.2269938650306749E-2</v>
      </c>
      <c r="AK103" s="31">
        <f t="shared" si="20"/>
        <v>0.9524539877300614</v>
      </c>
      <c r="AL103" s="29">
        <f t="shared" si="21"/>
        <v>0.48333333333333334</v>
      </c>
      <c r="AM103" s="29">
        <f t="shared" si="22"/>
        <v>538.75</v>
      </c>
      <c r="AN103" s="29">
        <f t="shared" si="23"/>
        <v>1.2102088167053364</v>
      </c>
      <c r="AO103" s="29">
        <f t="shared" si="24"/>
        <v>1.3333333333333333</v>
      </c>
      <c r="AP103" s="31">
        <f t="shared" si="25"/>
        <v>0.90765661252900232</v>
      </c>
      <c r="AQ103" s="31">
        <f t="shared" si="26"/>
        <v>0.9524539877300614</v>
      </c>
      <c r="AR103" s="31">
        <f t="shared" si="27"/>
        <v>0.82034346103038347</v>
      </c>
      <c r="AS103" s="29">
        <f t="shared" si="28"/>
        <v>25.991472392638034</v>
      </c>
      <c r="AT103" s="29">
        <f t="shared" si="29"/>
        <v>7.4869571681282663</v>
      </c>
      <c r="AU103" s="27" t="str">
        <f t="shared" si="30"/>
        <v>Medium</v>
      </c>
      <c r="AV103" s="27" t="str">
        <f t="shared" si="31"/>
        <v>Warning</v>
      </c>
      <c r="AW103" s="27"/>
    </row>
    <row r="104" spans="1:49" x14ac:dyDescent="0.25">
      <c r="A104" s="27">
        <v>103</v>
      </c>
      <c r="B104" s="28">
        <v>46104</v>
      </c>
      <c r="C104" s="28" t="str">
        <f t="shared" si="16"/>
        <v>March</v>
      </c>
      <c r="D104" s="27" t="s">
        <v>47</v>
      </c>
      <c r="E104" s="27" t="s">
        <v>129</v>
      </c>
      <c r="F104" s="27" t="s">
        <v>167</v>
      </c>
      <c r="G104" s="27" t="s">
        <v>78</v>
      </c>
      <c r="H104" s="27" t="s">
        <v>51</v>
      </c>
      <c r="I104" s="27" t="s">
        <v>225</v>
      </c>
      <c r="J104" s="27" t="s">
        <v>226</v>
      </c>
      <c r="K104" s="27">
        <v>775</v>
      </c>
      <c r="L104" s="27">
        <v>609</v>
      </c>
      <c r="M104" s="27">
        <v>554</v>
      </c>
      <c r="N104" s="27">
        <v>55</v>
      </c>
      <c r="O104" s="27">
        <v>12</v>
      </c>
      <c r="P104" s="27">
        <v>71</v>
      </c>
      <c r="Q104" s="27" t="s">
        <v>75</v>
      </c>
      <c r="R104" s="27">
        <v>42</v>
      </c>
      <c r="S104" s="27">
        <v>43</v>
      </c>
      <c r="T104" s="29">
        <v>77.400000000000006</v>
      </c>
      <c r="U104" s="29">
        <v>2.44</v>
      </c>
      <c r="V104" s="29">
        <v>25.83</v>
      </c>
      <c r="W104" s="30">
        <v>10629.98</v>
      </c>
      <c r="X104" s="27">
        <v>7.25</v>
      </c>
      <c r="Y104" s="27" t="s">
        <v>66</v>
      </c>
      <c r="Z104" s="29">
        <v>41</v>
      </c>
      <c r="AA104" s="30">
        <v>17826.07</v>
      </c>
      <c r="AB104" s="29">
        <v>0.909688013136289</v>
      </c>
      <c r="AC104" s="30">
        <v>14124.95</v>
      </c>
      <c r="AD104" s="30">
        <v>209.457733990148</v>
      </c>
      <c r="AE104" s="27">
        <v>542.5</v>
      </c>
      <c r="AF104" s="29">
        <v>0.86912442396313405</v>
      </c>
      <c r="AG104" s="30">
        <v>3491.6622660098501</v>
      </c>
      <c r="AH104" s="31">
        <f t="shared" si="17"/>
        <v>0.78580645161290319</v>
      </c>
      <c r="AI104" s="31">
        <f t="shared" si="18"/>
        <v>9.0311986863711002E-2</v>
      </c>
      <c r="AJ104" s="31">
        <f t="shared" si="19"/>
        <v>1.9704433497536946E-2</v>
      </c>
      <c r="AK104" s="31">
        <f t="shared" si="20"/>
        <v>0.909688013136289</v>
      </c>
      <c r="AL104" s="29">
        <f t="shared" si="21"/>
        <v>1.1833333333333333</v>
      </c>
      <c r="AM104" s="29">
        <f t="shared" si="22"/>
        <v>471.5</v>
      </c>
      <c r="AN104" s="29">
        <f t="shared" si="23"/>
        <v>1.2916224814422057</v>
      </c>
      <c r="AO104" s="29">
        <f t="shared" si="24"/>
        <v>1.4285714285714286</v>
      </c>
      <c r="AP104" s="31">
        <f t="shared" si="25"/>
        <v>0.90413573700954397</v>
      </c>
      <c r="AQ104" s="31">
        <f t="shared" si="26"/>
        <v>0.909688013136289</v>
      </c>
      <c r="AR104" s="31">
        <f t="shared" si="27"/>
        <v>0.71483870967741958</v>
      </c>
      <c r="AS104" s="29">
        <f t="shared" si="28"/>
        <v>23.193678160919543</v>
      </c>
      <c r="AT104" s="29">
        <f t="shared" si="29"/>
        <v>5.7334355763708542</v>
      </c>
      <c r="AU104" s="27" t="str">
        <f t="shared" si="30"/>
        <v>High</v>
      </c>
      <c r="AV104" s="27" t="str">
        <f t="shared" si="31"/>
        <v>Critical</v>
      </c>
      <c r="AW104" s="27"/>
    </row>
    <row r="105" spans="1:49" x14ac:dyDescent="0.25">
      <c r="A105" s="27">
        <v>104</v>
      </c>
      <c r="B105" s="28">
        <v>46122</v>
      </c>
      <c r="C105" s="28" t="str">
        <f t="shared" si="16"/>
        <v>April</v>
      </c>
      <c r="D105" s="27" t="s">
        <v>47</v>
      </c>
      <c r="E105" s="27" t="s">
        <v>98</v>
      </c>
      <c r="F105" s="27" t="s">
        <v>105</v>
      </c>
      <c r="G105" s="27" t="s">
        <v>50</v>
      </c>
      <c r="H105" s="27" t="s">
        <v>57</v>
      </c>
      <c r="I105" s="27" t="s">
        <v>227</v>
      </c>
      <c r="J105" s="27" t="s">
        <v>93</v>
      </c>
      <c r="K105" s="27">
        <v>732</v>
      </c>
      <c r="L105" s="27">
        <v>751</v>
      </c>
      <c r="M105" s="27">
        <v>696</v>
      </c>
      <c r="N105" s="27">
        <v>55</v>
      </c>
      <c r="O105" s="27">
        <v>14</v>
      </c>
      <c r="P105" s="27">
        <v>7</v>
      </c>
      <c r="Q105" s="27" t="s">
        <v>54</v>
      </c>
      <c r="R105" s="27">
        <v>45</v>
      </c>
      <c r="S105" s="27">
        <v>44</v>
      </c>
      <c r="T105" s="29">
        <v>69.2</v>
      </c>
      <c r="U105" s="29">
        <v>1.63</v>
      </c>
      <c r="V105" s="29">
        <v>25.18</v>
      </c>
      <c r="W105" s="30">
        <v>14682.81</v>
      </c>
      <c r="X105" s="27">
        <v>8.58</v>
      </c>
      <c r="Y105" s="27" t="s">
        <v>66</v>
      </c>
      <c r="Z105" s="29">
        <v>21</v>
      </c>
      <c r="AA105" s="30">
        <v>23881.37</v>
      </c>
      <c r="AB105" s="29">
        <v>0.92676431424767003</v>
      </c>
      <c r="AC105" s="30">
        <v>18770.43</v>
      </c>
      <c r="AD105" s="30">
        <v>273.71416777629798</v>
      </c>
      <c r="AE105" s="27">
        <v>549</v>
      </c>
      <c r="AF105" s="29">
        <v>0.98724954462659398</v>
      </c>
      <c r="AG105" s="30">
        <v>4837.2258322237003</v>
      </c>
      <c r="AH105" s="31">
        <f t="shared" si="17"/>
        <v>1.0259562841530054</v>
      </c>
      <c r="AI105" s="31">
        <f t="shared" si="18"/>
        <v>7.3235685752330221E-2</v>
      </c>
      <c r="AJ105" s="31">
        <f t="shared" si="19"/>
        <v>1.8641810918774968E-2</v>
      </c>
      <c r="AK105" s="31">
        <f t="shared" si="20"/>
        <v>0.92676431424766981</v>
      </c>
      <c r="AL105" s="29">
        <f t="shared" si="21"/>
        <v>0.11666666666666667</v>
      </c>
      <c r="AM105" s="29">
        <f t="shared" si="22"/>
        <v>542</v>
      </c>
      <c r="AN105" s="29">
        <f t="shared" si="23"/>
        <v>1.3856088560885609</v>
      </c>
      <c r="AO105" s="29">
        <f t="shared" si="24"/>
        <v>1.3333333333333333</v>
      </c>
      <c r="AP105" s="31">
        <f t="shared" si="25"/>
        <v>1.0392066420664208</v>
      </c>
      <c r="AQ105" s="31">
        <f t="shared" si="26"/>
        <v>0.92676431424766981</v>
      </c>
      <c r="AR105" s="31">
        <f t="shared" si="27"/>
        <v>0.95081967213114771</v>
      </c>
      <c r="AS105" s="29">
        <f t="shared" si="28"/>
        <v>24.993914780292943</v>
      </c>
      <c r="AT105" s="29">
        <f t="shared" si="29"/>
        <v>6.441046381123436</v>
      </c>
      <c r="AU105" s="27" t="str">
        <f t="shared" si="30"/>
        <v>Low</v>
      </c>
      <c r="AV105" s="27" t="str">
        <f t="shared" si="31"/>
        <v>Normal</v>
      </c>
      <c r="AW105" s="27"/>
    </row>
    <row r="106" spans="1:49" x14ac:dyDescent="0.25">
      <c r="A106" s="27">
        <v>105</v>
      </c>
      <c r="B106" s="28">
        <v>46195</v>
      </c>
      <c r="C106" s="28" t="str">
        <f t="shared" si="16"/>
        <v>June</v>
      </c>
      <c r="D106" s="27" t="s">
        <v>67</v>
      </c>
      <c r="E106" s="27" t="s">
        <v>76</v>
      </c>
      <c r="F106" s="27" t="s">
        <v>113</v>
      </c>
      <c r="G106" s="27" t="s">
        <v>50</v>
      </c>
      <c r="H106" s="27" t="s">
        <v>51</v>
      </c>
      <c r="I106" s="27" t="s">
        <v>228</v>
      </c>
      <c r="J106" s="27" t="s">
        <v>197</v>
      </c>
      <c r="K106" s="27">
        <v>842</v>
      </c>
      <c r="L106" s="27">
        <v>788</v>
      </c>
      <c r="M106" s="27">
        <v>750</v>
      </c>
      <c r="N106" s="27">
        <v>38</v>
      </c>
      <c r="O106" s="27">
        <v>13</v>
      </c>
      <c r="P106" s="27">
        <v>44</v>
      </c>
      <c r="Q106" s="27" t="s">
        <v>94</v>
      </c>
      <c r="R106" s="27">
        <v>42</v>
      </c>
      <c r="S106" s="27">
        <v>43</v>
      </c>
      <c r="T106" s="29">
        <v>75.7</v>
      </c>
      <c r="U106" s="29">
        <v>2.31</v>
      </c>
      <c r="V106" s="29">
        <v>34.82</v>
      </c>
      <c r="W106" s="30">
        <v>14559.88</v>
      </c>
      <c r="X106" s="27">
        <v>7.17</v>
      </c>
      <c r="Y106" s="27" t="s">
        <v>55</v>
      </c>
      <c r="Z106" s="29">
        <v>31</v>
      </c>
      <c r="AA106" s="30">
        <v>23929.439999999999</v>
      </c>
      <c r="AB106" s="29">
        <v>0.95177664974619303</v>
      </c>
      <c r="AC106" s="30">
        <v>18099.759999999998</v>
      </c>
      <c r="AD106" s="30">
        <v>240.20106598984799</v>
      </c>
      <c r="AE106" s="27">
        <v>589.4</v>
      </c>
      <c r="AF106" s="29">
        <v>0.92534781133356003</v>
      </c>
      <c r="AG106" s="30">
        <v>5589.4789340101497</v>
      </c>
      <c r="AH106" s="31">
        <f t="shared" si="17"/>
        <v>0.93586698337292162</v>
      </c>
      <c r="AI106" s="31">
        <f t="shared" si="18"/>
        <v>4.8223350253807105E-2</v>
      </c>
      <c r="AJ106" s="31">
        <f t="shared" si="19"/>
        <v>1.6497461928934011E-2</v>
      </c>
      <c r="AK106" s="31">
        <f t="shared" si="20"/>
        <v>0.95177664974619292</v>
      </c>
      <c r="AL106" s="29">
        <f t="shared" si="21"/>
        <v>0.73333333333333328</v>
      </c>
      <c r="AM106" s="29">
        <f t="shared" si="22"/>
        <v>545.4</v>
      </c>
      <c r="AN106" s="29">
        <f t="shared" si="23"/>
        <v>1.4448111477814449</v>
      </c>
      <c r="AO106" s="29">
        <f t="shared" si="24"/>
        <v>1.4285714285714286</v>
      </c>
      <c r="AP106" s="31">
        <f t="shared" si="25"/>
        <v>1.0113678034470115</v>
      </c>
      <c r="AQ106" s="31">
        <f t="shared" si="26"/>
        <v>0.95177664974619292</v>
      </c>
      <c r="AR106" s="31">
        <f t="shared" si="27"/>
        <v>0.89073634204275587</v>
      </c>
      <c r="AS106" s="29">
        <f t="shared" si="28"/>
        <v>22.969238578680201</v>
      </c>
      <c r="AT106" s="29">
        <f t="shared" si="29"/>
        <v>7.0932473781854695</v>
      </c>
      <c r="AU106" s="27" t="str">
        <f t="shared" si="30"/>
        <v>Medium</v>
      </c>
      <c r="AV106" s="27" t="str">
        <f t="shared" si="31"/>
        <v>Normal</v>
      </c>
      <c r="AW106" s="27"/>
    </row>
    <row r="107" spans="1:49" x14ac:dyDescent="0.25">
      <c r="A107" s="27">
        <v>106</v>
      </c>
      <c r="B107" s="28">
        <v>46036</v>
      </c>
      <c r="C107" s="28" t="str">
        <f t="shared" si="16"/>
        <v>January</v>
      </c>
      <c r="D107" s="27" t="s">
        <v>67</v>
      </c>
      <c r="E107" s="27" t="s">
        <v>48</v>
      </c>
      <c r="F107" s="27" t="s">
        <v>56</v>
      </c>
      <c r="G107" s="27" t="s">
        <v>50</v>
      </c>
      <c r="H107" s="27" t="s">
        <v>57</v>
      </c>
      <c r="I107" s="27" t="s">
        <v>229</v>
      </c>
      <c r="J107" s="27" t="s">
        <v>81</v>
      </c>
      <c r="K107" s="27">
        <v>933</v>
      </c>
      <c r="L107" s="27">
        <v>959</v>
      </c>
      <c r="M107" s="27">
        <v>901</v>
      </c>
      <c r="N107" s="27">
        <v>58</v>
      </c>
      <c r="O107" s="27">
        <v>14</v>
      </c>
      <c r="P107" s="27">
        <v>0</v>
      </c>
      <c r="Q107" s="27" t="s">
        <v>60</v>
      </c>
      <c r="R107" s="27">
        <v>45</v>
      </c>
      <c r="S107" s="27">
        <v>46</v>
      </c>
      <c r="T107" s="29">
        <v>75.2</v>
      </c>
      <c r="U107" s="29">
        <v>2.58</v>
      </c>
      <c r="V107" s="29">
        <v>27.26</v>
      </c>
      <c r="W107" s="30">
        <v>19160.939999999999</v>
      </c>
      <c r="X107" s="27">
        <v>10.050000000000001</v>
      </c>
      <c r="Y107" s="27" t="s">
        <v>66</v>
      </c>
      <c r="Z107" s="29">
        <v>39</v>
      </c>
      <c r="AA107" s="30">
        <v>32050.69</v>
      </c>
      <c r="AB107" s="29">
        <v>0.93952033368091803</v>
      </c>
      <c r="AC107" s="30">
        <v>23928.78</v>
      </c>
      <c r="AD107" s="30">
        <v>279.721751824818</v>
      </c>
      <c r="AE107" s="27">
        <v>699.75</v>
      </c>
      <c r="AF107" s="29">
        <v>1</v>
      </c>
      <c r="AG107" s="30">
        <v>7842.18824817518</v>
      </c>
      <c r="AH107" s="31">
        <f t="shared" si="17"/>
        <v>1.0278670953912112</v>
      </c>
      <c r="AI107" s="31">
        <f t="shared" si="18"/>
        <v>6.047966631908238E-2</v>
      </c>
      <c r="AJ107" s="31">
        <f t="shared" si="19"/>
        <v>1.4598540145985401E-2</v>
      </c>
      <c r="AK107" s="31">
        <f t="shared" si="20"/>
        <v>0.93952033368091759</v>
      </c>
      <c r="AL107" s="29">
        <f t="shared" si="21"/>
        <v>0</v>
      </c>
      <c r="AM107" s="29">
        <f t="shared" si="22"/>
        <v>699.75</v>
      </c>
      <c r="AN107" s="29">
        <f t="shared" si="23"/>
        <v>1.3704894605216149</v>
      </c>
      <c r="AO107" s="29">
        <f t="shared" si="24"/>
        <v>1.3333333333333333</v>
      </c>
      <c r="AP107" s="31">
        <f t="shared" si="25"/>
        <v>1.0278670953912112</v>
      </c>
      <c r="AQ107" s="31">
        <f t="shared" si="26"/>
        <v>0.93952033368091759</v>
      </c>
      <c r="AR107" s="31">
        <f t="shared" si="27"/>
        <v>0.96570203644158636</v>
      </c>
      <c r="AS107" s="29">
        <f t="shared" si="28"/>
        <v>24.951803962460897</v>
      </c>
      <c r="AT107" s="29">
        <f t="shared" si="29"/>
        <v>8.1774642838114495</v>
      </c>
      <c r="AU107" s="27" t="str">
        <f t="shared" si="30"/>
        <v>Medium</v>
      </c>
      <c r="AV107" s="27" t="str">
        <f t="shared" si="31"/>
        <v>Normal</v>
      </c>
      <c r="AW107" s="27"/>
    </row>
    <row r="108" spans="1:49" x14ac:dyDescent="0.25">
      <c r="A108" s="27">
        <v>107</v>
      </c>
      <c r="B108" s="28">
        <v>46149</v>
      </c>
      <c r="C108" s="28" t="str">
        <f t="shared" si="16"/>
        <v>May</v>
      </c>
      <c r="D108" s="27" t="s">
        <v>47</v>
      </c>
      <c r="E108" s="27" t="s">
        <v>76</v>
      </c>
      <c r="F108" s="27" t="s">
        <v>77</v>
      </c>
      <c r="G108" s="27" t="s">
        <v>50</v>
      </c>
      <c r="H108" s="27" t="s">
        <v>124</v>
      </c>
      <c r="I108" s="27" t="s">
        <v>230</v>
      </c>
      <c r="J108" s="27" t="s">
        <v>155</v>
      </c>
      <c r="K108" s="27">
        <v>658</v>
      </c>
      <c r="L108" s="27">
        <v>707</v>
      </c>
      <c r="M108" s="27">
        <v>655</v>
      </c>
      <c r="N108" s="27">
        <v>52</v>
      </c>
      <c r="O108" s="27">
        <v>15</v>
      </c>
      <c r="P108" s="27">
        <v>37</v>
      </c>
      <c r="Q108" s="27" t="s">
        <v>94</v>
      </c>
      <c r="R108" s="27">
        <v>57</v>
      </c>
      <c r="S108" s="27">
        <v>63</v>
      </c>
      <c r="T108" s="29">
        <v>77.599999999999994</v>
      </c>
      <c r="U108" s="29">
        <v>2.09</v>
      </c>
      <c r="V108" s="29">
        <v>25.5</v>
      </c>
      <c r="W108" s="30">
        <v>19300.34</v>
      </c>
      <c r="X108" s="27">
        <v>11.26</v>
      </c>
      <c r="Y108" s="27" t="s">
        <v>71</v>
      </c>
      <c r="Z108" s="29">
        <v>42</v>
      </c>
      <c r="AA108" s="30">
        <v>29654.45</v>
      </c>
      <c r="AB108" s="29">
        <v>0.92644978783592702</v>
      </c>
      <c r="AC108" s="30">
        <v>24596.84</v>
      </c>
      <c r="AD108" s="30">
        <v>409.48387553040999</v>
      </c>
      <c r="AE108" s="27">
        <v>625.1</v>
      </c>
      <c r="AF108" s="29">
        <v>0.94080947048472197</v>
      </c>
      <c r="AG108" s="30">
        <v>4648.1261244695897</v>
      </c>
      <c r="AH108" s="31">
        <f t="shared" si="17"/>
        <v>1.074468085106383</v>
      </c>
      <c r="AI108" s="31">
        <f t="shared" si="18"/>
        <v>7.355021216407355E-2</v>
      </c>
      <c r="AJ108" s="31">
        <f t="shared" si="19"/>
        <v>2.1216407355021217E-2</v>
      </c>
      <c r="AK108" s="31">
        <f t="shared" si="20"/>
        <v>0.92644978783592646</v>
      </c>
      <c r="AL108" s="29">
        <f t="shared" si="21"/>
        <v>0.6166666666666667</v>
      </c>
      <c r="AM108" s="29">
        <f t="shared" si="22"/>
        <v>588.1</v>
      </c>
      <c r="AN108" s="29">
        <f t="shared" si="23"/>
        <v>1.2021765005951368</v>
      </c>
      <c r="AO108" s="29">
        <f t="shared" si="24"/>
        <v>1.0526315789473684</v>
      </c>
      <c r="AP108" s="31">
        <f t="shared" si="25"/>
        <v>1.14206767556538</v>
      </c>
      <c r="AQ108" s="31">
        <f t="shared" si="26"/>
        <v>0.92644978783592646</v>
      </c>
      <c r="AR108" s="31">
        <f t="shared" si="27"/>
        <v>0.99544072948328211</v>
      </c>
      <c r="AS108" s="29">
        <f t="shared" si="28"/>
        <v>34.790438472418671</v>
      </c>
      <c r="AT108" s="29">
        <f t="shared" si="29"/>
        <v>6.5744358196175243</v>
      </c>
      <c r="AU108" s="27" t="str">
        <f t="shared" si="30"/>
        <v>High</v>
      </c>
      <c r="AV108" s="27" t="str">
        <f t="shared" si="31"/>
        <v>Normal</v>
      </c>
      <c r="AW108" s="27"/>
    </row>
    <row r="109" spans="1:49" x14ac:dyDescent="0.25">
      <c r="A109" s="27">
        <v>108</v>
      </c>
      <c r="B109" s="28">
        <v>46173</v>
      </c>
      <c r="C109" s="28" t="str">
        <f t="shared" si="16"/>
        <v>May</v>
      </c>
      <c r="D109" s="27" t="s">
        <v>67</v>
      </c>
      <c r="E109" s="27" t="s">
        <v>76</v>
      </c>
      <c r="F109" s="27" t="s">
        <v>113</v>
      </c>
      <c r="G109" s="27" t="s">
        <v>63</v>
      </c>
      <c r="H109" s="27" t="s">
        <v>124</v>
      </c>
      <c r="I109" s="27" t="s">
        <v>231</v>
      </c>
      <c r="J109" s="27" t="s">
        <v>161</v>
      </c>
      <c r="K109" s="27">
        <v>728</v>
      </c>
      <c r="L109" s="27">
        <v>648</v>
      </c>
      <c r="M109" s="27">
        <v>622</v>
      </c>
      <c r="N109" s="27">
        <v>26</v>
      </c>
      <c r="O109" s="27">
        <v>6</v>
      </c>
      <c r="P109" s="27">
        <v>34</v>
      </c>
      <c r="Q109" s="27" t="s">
        <v>75</v>
      </c>
      <c r="R109" s="27">
        <v>57</v>
      </c>
      <c r="S109" s="27">
        <v>59</v>
      </c>
      <c r="T109" s="29">
        <v>68.5</v>
      </c>
      <c r="U109" s="29">
        <v>2.68</v>
      </c>
      <c r="V109" s="29">
        <v>27.9</v>
      </c>
      <c r="W109" s="30">
        <v>18203.41</v>
      </c>
      <c r="X109" s="27">
        <v>6.69</v>
      </c>
      <c r="Y109" s="27" t="s">
        <v>71</v>
      </c>
      <c r="Z109" s="29">
        <v>13</v>
      </c>
      <c r="AA109" s="30">
        <v>29102.45</v>
      </c>
      <c r="AB109" s="29">
        <v>0.95987654320987703</v>
      </c>
      <c r="AC109" s="30">
        <v>21465.01</v>
      </c>
      <c r="AD109" s="30">
        <v>168.55009259259299</v>
      </c>
      <c r="AE109" s="27">
        <v>691.6</v>
      </c>
      <c r="AF109" s="29">
        <v>0.950838635049161</v>
      </c>
      <c r="AG109" s="30">
        <v>7468.8899074074097</v>
      </c>
      <c r="AH109" s="31">
        <f t="shared" si="17"/>
        <v>0.89010989010989006</v>
      </c>
      <c r="AI109" s="31">
        <f t="shared" si="18"/>
        <v>4.0123456790123455E-2</v>
      </c>
      <c r="AJ109" s="31">
        <f t="shared" si="19"/>
        <v>9.2592592592592587E-3</v>
      </c>
      <c r="AK109" s="31">
        <f t="shared" si="20"/>
        <v>0.95987654320987659</v>
      </c>
      <c r="AL109" s="29">
        <f t="shared" si="21"/>
        <v>0.56666666666666665</v>
      </c>
      <c r="AM109" s="29">
        <f t="shared" si="22"/>
        <v>657.6</v>
      </c>
      <c r="AN109" s="29">
        <f t="shared" si="23"/>
        <v>0.98540145985401462</v>
      </c>
      <c r="AO109" s="29">
        <f t="shared" si="24"/>
        <v>1.0526315789473684</v>
      </c>
      <c r="AP109" s="31">
        <f t="shared" si="25"/>
        <v>0.93613138686131392</v>
      </c>
      <c r="AQ109" s="31">
        <f t="shared" si="26"/>
        <v>0.95987654320987659</v>
      </c>
      <c r="AR109" s="31">
        <f t="shared" si="27"/>
        <v>0.85439560439560414</v>
      </c>
      <c r="AS109" s="29">
        <f t="shared" si="28"/>
        <v>33.125015432098763</v>
      </c>
      <c r="AT109" s="29">
        <f t="shared" si="29"/>
        <v>11.526064671925015</v>
      </c>
      <c r="AU109" s="27" t="str">
        <f t="shared" si="30"/>
        <v>High</v>
      </c>
      <c r="AV109" s="27" t="str">
        <f t="shared" si="31"/>
        <v>Normal</v>
      </c>
      <c r="AW109" s="27"/>
    </row>
    <row r="110" spans="1:49" x14ac:dyDescent="0.25">
      <c r="A110" s="27">
        <v>109</v>
      </c>
      <c r="B110" s="28">
        <v>46038</v>
      </c>
      <c r="C110" s="28" t="str">
        <f t="shared" si="16"/>
        <v>January</v>
      </c>
      <c r="D110" s="27" t="s">
        <v>67</v>
      </c>
      <c r="E110" s="27" t="s">
        <v>98</v>
      </c>
      <c r="F110" s="27" t="s">
        <v>126</v>
      </c>
      <c r="G110" s="27" t="s">
        <v>78</v>
      </c>
      <c r="H110" s="27" t="s">
        <v>51</v>
      </c>
      <c r="I110" s="27" t="s">
        <v>232</v>
      </c>
      <c r="J110" s="27" t="s">
        <v>70</v>
      </c>
      <c r="K110" s="27">
        <v>846</v>
      </c>
      <c r="L110" s="27">
        <v>731</v>
      </c>
      <c r="M110" s="27">
        <v>670</v>
      </c>
      <c r="N110" s="27">
        <v>61</v>
      </c>
      <c r="O110" s="27">
        <v>15</v>
      </c>
      <c r="P110" s="27">
        <v>7</v>
      </c>
      <c r="Q110" s="27" t="s">
        <v>75</v>
      </c>
      <c r="R110" s="27">
        <v>42</v>
      </c>
      <c r="S110" s="27">
        <v>44</v>
      </c>
      <c r="T110" s="29">
        <v>74.099999999999994</v>
      </c>
      <c r="U110" s="29">
        <v>2.25</v>
      </c>
      <c r="V110" s="29">
        <v>29.71</v>
      </c>
      <c r="W110" s="30">
        <v>14254.18</v>
      </c>
      <c r="X110" s="27">
        <v>7.15</v>
      </c>
      <c r="Y110" s="27" t="s">
        <v>55</v>
      </c>
      <c r="Z110" s="29">
        <v>17</v>
      </c>
      <c r="AA110" s="30">
        <v>21792.65</v>
      </c>
      <c r="AB110" s="29">
        <v>0.91655266757865905</v>
      </c>
      <c r="AC110" s="30">
        <v>17739.07</v>
      </c>
      <c r="AD110" s="30">
        <v>292.493433652531</v>
      </c>
      <c r="AE110" s="27">
        <v>592.20000000000005</v>
      </c>
      <c r="AF110" s="29">
        <v>0.98817966903073295</v>
      </c>
      <c r="AG110" s="30">
        <v>3761.0865663474701</v>
      </c>
      <c r="AH110" s="31">
        <f t="shared" si="17"/>
        <v>0.86406619385342787</v>
      </c>
      <c r="AI110" s="31">
        <f t="shared" si="18"/>
        <v>8.3447332421340628E-2</v>
      </c>
      <c r="AJ110" s="31">
        <f t="shared" si="19"/>
        <v>2.0519835841313269E-2</v>
      </c>
      <c r="AK110" s="31">
        <f t="shared" si="20"/>
        <v>0.91655266757865939</v>
      </c>
      <c r="AL110" s="29">
        <f t="shared" si="21"/>
        <v>0.11666666666666667</v>
      </c>
      <c r="AM110" s="29">
        <f t="shared" si="22"/>
        <v>585.20000000000005</v>
      </c>
      <c r="AN110" s="29">
        <f t="shared" si="23"/>
        <v>1.2491455912508542</v>
      </c>
      <c r="AO110" s="29">
        <f t="shared" si="24"/>
        <v>1.4285714285714286</v>
      </c>
      <c r="AP110" s="31">
        <f t="shared" si="25"/>
        <v>0.87440191387559796</v>
      </c>
      <c r="AQ110" s="31">
        <f t="shared" si="26"/>
        <v>0.91655266757865939</v>
      </c>
      <c r="AR110" s="31">
        <f t="shared" si="27"/>
        <v>0.79196217494089838</v>
      </c>
      <c r="AS110" s="29">
        <f t="shared" si="28"/>
        <v>24.266853625170999</v>
      </c>
      <c r="AT110" s="29">
        <f t="shared" si="29"/>
        <v>5.1451252617612449</v>
      </c>
      <c r="AU110" s="27" t="str">
        <f t="shared" si="30"/>
        <v>High</v>
      </c>
      <c r="AV110" s="27" t="str">
        <f t="shared" si="31"/>
        <v>Warning</v>
      </c>
      <c r="AW110" s="27"/>
    </row>
    <row r="111" spans="1:49" x14ac:dyDescent="0.25">
      <c r="A111" s="27">
        <v>110</v>
      </c>
      <c r="B111" s="28">
        <v>46046</v>
      </c>
      <c r="C111" s="28" t="str">
        <f t="shared" si="16"/>
        <v>January</v>
      </c>
      <c r="D111" s="27" t="s">
        <v>67</v>
      </c>
      <c r="E111" s="27" t="s">
        <v>129</v>
      </c>
      <c r="F111" s="27" t="s">
        <v>167</v>
      </c>
      <c r="G111" s="27" t="s">
        <v>78</v>
      </c>
      <c r="H111" s="27" t="s">
        <v>79</v>
      </c>
      <c r="I111" s="27" t="s">
        <v>233</v>
      </c>
      <c r="J111" s="27" t="s">
        <v>74</v>
      </c>
      <c r="K111" s="27">
        <v>728</v>
      </c>
      <c r="L111" s="27">
        <v>621</v>
      </c>
      <c r="M111" s="27">
        <v>559</v>
      </c>
      <c r="N111" s="27">
        <v>62</v>
      </c>
      <c r="O111" s="27">
        <v>23</v>
      </c>
      <c r="P111" s="27">
        <v>18</v>
      </c>
      <c r="Q111" s="27" t="s">
        <v>94</v>
      </c>
      <c r="R111" s="27">
        <v>49</v>
      </c>
      <c r="S111" s="27">
        <v>49</v>
      </c>
      <c r="T111" s="29">
        <v>77.3</v>
      </c>
      <c r="U111" s="29">
        <v>1.49</v>
      </c>
      <c r="V111" s="29">
        <v>18.84</v>
      </c>
      <c r="W111" s="30">
        <v>14214</v>
      </c>
      <c r="X111" s="27">
        <v>6.19</v>
      </c>
      <c r="Y111" s="27" t="s">
        <v>110</v>
      </c>
      <c r="Z111" s="29">
        <v>20</v>
      </c>
      <c r="AA111" s="30">
        <v>20806.09</v>
      </c>
      <c r="AB111" s="29">
        <v>0.90016103059581298</v>
      </c>
      <c r="AC111" s="30">
        <v>17169.060000000001</v>
      </c>
      <c r="AD111" s="30">
        <v>526.44444444444503</v>
      </c>
      <c r="AE111" s="27">
        <v>594.53333333333296</v>
      </c>
      <c r="AF111" s="29">
        <v>0.96972415339762297</v>
      </c>
      <c r="AG111" s="30">
        <v>3110.5855555555499</v>
      </c>
      <c r="AH111" s="31">
        <f t="shared" si="17"/>
        <v>0.85302197802197799</v>
      </c>
      <c r="AI111" s="31">
        <f t="shared" si="18"/>
        <v>9.9838969404186795E-2</v>
      </c>
      <c r="AJ111" s="31">
        <f t="shared" si="19"/>
        <v>3.7037037037037035E-2</v>
      </c>
      <c r="AK111" s="31">
        <f t="shared" si="20"/>
        <v>0.90016103059581321</v>
      </c>
      <c r="AL111" s="29">
        <f t="shared" si="21"/>
        <v>0.3</v>
      </c>
      <c r="AM111" s="29">
        <f t="shared" si="22"/>
        <v>576.53333333333296</v>
      </c>
      <c r="AN111" s="29">
        <f t="shared" si="23"/>
        <v>1.0771276595744688</v>
      </c>
      <c r="AO111" s="29">
        <f t="shared" si="24"/>
        <v>1.2244897959183674</v>
      </c>
      <c r="AP111" s="31">
        <f t="shared" si="25"/>
        <v>0.87965425531914943</v>
      </c>
      <c r="AQ111" s="31">
        <f t="shared" si="26"/>
        <v>0.90016103059581321</v>
      </c>
      <c r="AR111" s="31">
        <f t="shared" si="27"/>
        <v>0.76785714285714346</v>
      </c>
      <c r="AS111" s="29">
        <f t="shared" si="28"/>
        <v>27.647439613526572</v>
      </c>
      <c r="AT111" s="29">
        <f t="shared" si="29"/>
        <v>5.0089944533905797</v>
      </c>
      <c r="AU111" s="27" t="str">
        <f t="shared" si="30"/>
        <v>High</v>
      </c>
      <c r="AV111" s="27" t="str">
        <f t="shared" si="31"/>
        <v>Warning</v>
      </c>
      <c r="AW111" s="27"/>
    </row>
    <row r="112" spans="1:49" x14ac:dyDescent="0.25">
      <c r="A112" s="27">
        <v>111</v>
      </c>
      <c r="B112" s="28">
        <v>46139</v>
      </c>
      <c r="C112" s="28" t="str">
        <f t="shared" si="16"/>
        <v>April</v>
      </c>
      <c r="D112" s="27" t="s">
        <v>47</v>
      </c>
      <c r="E112" s="27" t="s">
        <v>61</v>
      </c>
      <c r="F112" s="27" t="s">
        <v>88</v>
      </c>
      <c r="G112" s="27" t="s">
        <v>78</v>
      </c>
      <c r="H112" s="27" t="s">
        <v>68</v>
      </c>
      <c r="I112" s="27" t="s">
        <v>234</v>
      </c>
      <c r="J112" s="27" t="s">
        <v>121</v>
      </c>
      <c r="K112" s="27">
        <v>490</v>
      </c>
      <c r="L112" s="27">
        <v>460</v>
      </c>
      <c r="M112" s="27">
        <v>435</v>
      </c>
      <c r="N112" s="27">
        <v>25</v>
      </c>
      <c r="O112" s="27">
        <v>9</v>
      </c>
      <c r="P112" s="27">
        <v>14</v>
      </c>
      <c r="Q112" s="27" t="s">
        <v>75</v>
      </c>
      <c r="R112" s="27">
        <v>64</v>
      </c>
      <c r="S112" s="27">
        <v>64</v>
      </c>
      <c r="T112" s="29">
        <v>65.8</v>
      </c>
      <c r="U112" s="29">
        <v>2.63</v>
      </c>
      <c r="V112" s="29">
        <v>15.99</v>
      </c>
      <c r="W112" s="30">
        <v>13567.28</v>
      </c>
      <c r="X112" s="27">
        <v>7.42</v>
      </c>
      <c r="Y112" s="27" t="s">
        <v>55</v>
      </c>
      <c r="Z112" s="29">
        <v>27</v>
      </c>
      <c r="AA112" s="30">
        <v>22747.14</v>
      </c>
      <c r="AB112" s="29">
        <v>0.94565217391304401</v>
      </c>
      <c r="AC112" s="30">
        <v>17050.189999999999</v>
      </c>
      <c r="AD112" s="30">
        <v>265.44678260869603</v>
      </c>
      <c r="AE112" s="27">
        <v>522.66666666666697</v>
      </c>
      <c r="AF112" s="29">
        <v>0.97321428571428603</v>
      </c>
      <c r="AG112" s="30">
        <v>5431.5032173913096</v>
      </c>
      <c r="AH112" s="31">
        <f t="shared" si="17"/>
        <v>0.93877551020408168</v>
      </c>
      <c r="AI112" s="31">
        <f t="shared" si="18"/>
        <v>5.434782608695652E-2</v>
      </c>
      <c r="AJ112" s="31">
        <f t="shared" si="19"/>
        <v>1.9565217391304349E-2</v>
      </c>
      <c r="AK112" s="31">
        <f t="shared" si="20"/>
        <v>0.94565217391304346</v>
      </c>
      <c r="AL112" s="29">
        <f t="shared" si="21"/>
        <v>0.23333333333333334</v>
      </c>
      <c r="AM112" s="29">
        <f t="shared" si="22"/>
        <v>508.66666666666697</v>
      </c>
      <c r="AN112" s="29">
        <f t="shared" si="23"/>
        <v>0.90432503276539922</v>
      </c>
      <c r="AO112" s="29">
        <f t="shared" si="24"/>
        <v>0.9375</v>
      </c>
      <c r="AP112" s="31">
        <f t="shared" si="25"/>
        <v>0.96461336828309252</v>
      </c>
      <c r="AQ112" s="31">
        <f t="shared" si="26"/>
        <v>0.94565217391304346</v>
      </c>
      <c r="AR112" s="31">
        <f t="shared" si="27"/>
        <v>0.88775510204081609</v>
      </c>
      <c r="AS112" s="29">
        <f t="shared" si="28"/>
        <v>37.065630434782605</v>
      </c>
      <c r="AT112" s="29">
        <f t="shared" si="29"/>
        <v>11.807615689981107</v>
      </c>
      <c r="AU112" s="27" t="str">
        <f t="shared" si="30"/>
        <v>Low</v>
      </c>
      <c r="AV112" s="27" t="str">
        <f t="shared" si="31"/>
        <v>Normal</v>
      </c>
      <c r="AW112" s="27"/>
    </row>
    <row r="113" spans="1:49" x14ac:dyDescent="0.25">
      <c r="A113" s="27">
        <v>112</v>
      </c>
      <c r="B113" s="28">
        <v>46155</v>
      </c>
      <c r="C113" s="28" t="str">
        <f t="shared" si="16"/>
        <v>May</v>
      </c>
      <c r="D113" s="27" t="s">
        <v>67</v>
      </c>
      <c r="E113" s="27" t="s">
        <v>48</v>
      </c>
      <c r="F113" s="27" t="s">
        <v>72</v>
      </c>
      <c r="G113" s="27" t="s">
        <v>63</v>
      </c>
      <c r="H113" s="27" t="s">
        <v>57</v>
      </c>
      <c r="I113" s="27" t="s">
        <v>235</v>
      </c>
      <c r="J113" s="27" t="s">
        <v>74</v>
      </c>
      <c r="K113" s="27">
        <v>747</v>
      </c>
      <c r="L113" s="27">
        <v>731</v>
      </c>
      <c r="M113" s="27">
        <v>707</v>
      </c>
      <c r="N113" s="27">
        <v>24</v>
      </c>
      <c r="O113" s="27">
        <v>9</v>
      </c>
      <c r="P113" s="27">
        <v>20</v>
      </c>
      <c r="Q113" s="27" t="s">
        <v>82</v>
      </c>
      <c r="R113" s="27">
        <v>45</v>
      </c>
      <c r="S113" s="27">
        <v>44</v>
      </c>
      <c r="T113" s="29">
        <v>69.2</v>
      </c>
      <c r="U113" s="29">
        <v>2.3199999999999998</v>
      </c>
      <c r="V113" s="29">
        <v>29.99</v>
      </c>
      <c r="W113" s="30">
        <v>15304.04</v>
      </c>
      <c r="X113" s="27">
        <v>7.27</v>
      </c>
      <c r="Y113" s="27" t="s">
        <v>66</v>
      </c>
      <c r="Z113" s="29">
        <v>29</v>
      </c>
      <c r="AA113" s="30">
        <v>24908.79</v>
      </c>
      <c r="AB113" s="29">
        <v>0.96716826265389899</v>
      </c>
      <c r="AC113" s="30">
        <v>18845.45</v>
      </c>
      <c r="AD113" s="30">
        <v>188.421833105335</v>
      </c>
      <c r="AE113" s="27">
        <v>560.25</v>
      </c>
      <c r="AF113" s="29">
        <v>0.96430165104863896</v>
      </c>
      <c r="AG113" s="30">
        <v>5874.9181668946703</v>
      </c>
      <c r="AH113" s="31">
        <f t="shared" si="17"/>
        <v>0.97858099062918336</v>
      </c>
      <c r="AI113" s="31">
        <f t="shared" si="18"/>
        <v>3.2831737346101231E-2</v>
      </c>
      <c r="AJ113" s="31">
        <f t="shared" si="19"/>
        <v>1.2311901504787962E-2</v>
      </c>
      <c r="AK113" s="31">
        <f t="shared" si="20"/>
        <v>0.96716826265389877</v>
      </c>
      <c r="AL113" s="29">
        <f t="shared" si="21"/>
        <v>0.33333333333333331</v>
      </c>
      <c r="AM113" s="29">
        <f t="shared" si="22"/>
        <v>540.25</v>
      </c>
      <c r="AN113" s="29">
        <f t="shared" si="23"/>
        <v>1.3530772790374825</v>
      </c>
      <c r="AO113" s="29">
        <f t="shared" si="24"/>
        <v>1.3333333333333333</v>
      </c>
      <c r="AP113" s="31">
        <f t="shared" si="25"/>
        <v>1.0148079592781121</v>
      </c>
      <c r="AQ113" s="31">
        <f t="shared" si="26"/>
        <v>0.96716826265389877</v>
      </c>
      <c r="AR113" s="31">
        <f t="shared" si="27"/>
        <v>0.94645247657295861</v>
      </c>
      <c r="AS113" s="29">
        <f t="shared" si="28"/>
        <v>25.780369357045146</v>
      </c>
      <c r="AT113" s="29">
        <f t="shared" si="29"/>
        <v>8.036823757721848</v>
      </c>
      <c r="AU113" s="27" t="str">
        <f t="shared" si="30"/>
        <v>Low</v>
      </c>
      <c r="AV113" s="27" t="str">
        <f t="shared" si="31"/>
        <v>Normal</v>
      </c>
      <c r="AW113" s="27"/>
    </row>
    <row r="114" spans="1:49" x14ac:dyDescent="0.25">
      <c r="A114" s="27">
        <v>113</v>
      </c>
      <c r="B114" s="28">
        <v>46065</v>
      </c>
      <c r="C114" s="28" t="str">
        <f t="shared" si="16"/>
        <v>February</v>
      </c>
      <c r="D114" s="27" t="s">
        <v>67</v>
      </c>
      <c r="E114" s="27" t="s">
        <v>129</v>
      </c>
      <c r="F114" s="27" t="s">
        <v>130</v>
      </c>
      <c r="G114" s="27" t="s">
        <v>50</v>
      </c>
      <c r="H114" s="27" t="s">
        <v>57</v>
      </c>
      <c r="I114" s="27" t="s">
        <v>236</v>
      </c>
      <c r="J114" s="27" t="s">
        <v>107</v>
      </c>
      <c r="K114" s="27">
        <v>906</v>
      </c>
      <c r="L114" s="27">
        <v>868</v>
      </c>
      <c r="M114" s="27">
        <v>761</v>
      </c>
      <c r="N114" s="27">
        <v>107</v>
      </c>
      <c r="O114" s="27">
        <v>39</v>
      </c>
      <c r="P114" s="27">
        <v>35</v>
      </c>
      <c r="Q114" s="27" t="s">
        <v>75</v>
      </c>
      <c r="R114" s="27">
        <v>45</v>
      </c>
      <c r="S114" s="27">
        <v>51</v>
      </c>
      <c r="T114" s="29">
        <v>80.3</v>
      </c>
      <c r="U114" s="29">
        <v>3.19</v>
      </c>
      <c r="V114" s="29">
        <v>34.51</v>
      </c>
      <c r="W114" s="30">
        <v>18132.240000000002</v>
      </c>
      <c r="X114" s="27">
        <v>7.85</v>
      </c>
      <c r="Y114" s="27" t="s">
        <v>66</v>
      </c>
      <c r="Z114" s="29">
        <v>36</v>
      </c>
      <c r="AA114" s="30">
        <v>26650.22</v>
      </c>
      <c r="AB114" s="29">
        <v>0.87672811059907796</v>
      </c>
      <c r="AC114" s="30">
        <v>21975.33</v>
      </c>
      <c r="AD114" s="30">
        <v>814.69741935483898</v>
      </c>
      <c r="AE114" s="27">
        <v>679.5</v>
      </c>
      <c r="AF114" s="29">
        <v>0.94849153789551099</v>
      </c>
      <c r="AG114" s="30">
        <v>3860.19258064516</v>
      </c>
      <c r="AH114" s="31">
        <f t="shared" si="17"/>
        <v>0.95805739514348787</v>
      </c>
      <c r="AI114" s="31">
        <f t="shared" si="18"/>
        <v>0.12327188940092165</v>
      </c>
      <c r="AJ114" s="31">
        <f t="shared" si="19"/>
        <v>4.4930875576036866E-2</v>
      </c>
      <c r="AK114" s="31">
        <f t="shared" si="20"/>
        <v>0.87672811059907829</v>
      </c>
      <c r="AL114" s="29">
        <f t="shared" si="21"/>
        <v>0.58333333333333337</v>
      </c>
      <c r="AM114" s="29">
        <f t="shared" si="22"/>
        <v>644.5</v>
      </c>
      <c r="AN114" s="29">
        <f t="shared" si="23"/>
        <v>1.3467804499612102</v>
      </c>
      <c r="AO114" s="29">
        <f t="shared" si="24"/>
        <v>1.3333333333333333</v>
      </c>
      <c r="AP114" s="31">
        <f t="shared" si="25"/>
        <v>1.0100853374709078</v>
      </c>
      <c r="AQ114" s="31">
        <f t="shared" si="26"/>
        <v>0.87672811059907829</v>
      </c>
      <c r="AR114" s="31">
        <f t="shared" si="27"/>
        <v>0.83995584988962435</v>
      </c>
      <c r="AS114" s="29">
        <f t="shared" si="28"/>
        <v>25.317200460829493</v>
      </c>
      <c r="AT114" s="29">
        <f t="shared" si="29"/>
        <v>4.4472264753976498</v>
      </c>
      <c r="AU114" s="27" t="str">
        <f t="shared" si="30"/>
        <v>High</v>
      </c>
      <c r="AV114" s="27" t="str">
        <f t="shared" si="31"/>
        <v>Warning</v>
      </c>
      <c r="AW114" s="27"/>
    </row>
    <row r="115" spans="1:49" x14ac:dyDescent="0.25">
      <c r="A115" s="27">
        <v>114</v>
      </c>
      <c r="B115" s="28">
        <v>46123</v>
      </c>
      <c r="C115" s="28" t="str">
        <f t="shared" si="16"/>
        <v>April</v>
      </c>
      <c r="D115" s="27" t="s">
        <v>67</v>
      </c>
      <c r="E115" s="27" t="s">
        <v>48</v>
      </c>
      <c r="F115" s="27" t="s">
        <v>72</v>
      </c>
      <c r="G115" s="27" t="s">
        <v>63</v>
      </c>
      <c r="H115" s="27" t="s">
        <v>51</v>
      </c>
      <c r="I115" s="27" t="s">
        <v>237</v>
      </c>
      <c r="J115" s="27" t="s">
        <v>186</v>
      </c>
      <c r="K115" s="27">
        <v>756</v>
      </c>
      <c r="L115" s="27">
        <v>665</v>
      </c>
      <c r="M115" s="27">
        <v>644</v>
      </c>
      <c r="N115" s="27">
        <v>21</v>
      </c>
      <c r="O115" s="27">
        <v>7</v>
      </c>
      <c r="P115" s="27">
        <v>66</v>
      </c>
      <c r="Q115" s="27" t="s">
        <v>97</v>
      </c>
      <c r="R115" s="27">
        <v>42</v>
      </c>
      <c r="S115" s="27">
        <v>41</v>
      </c>
      <c r="T115" s="29">
        <v>76.2</v>
      </c>
      <c r="U115" s="29">
        <v>1.59</v>
      </c>
      <c r="V115" s="29">
        <v>30.04</v>
      </c>
      <c r="W115" s="30">
        <v>12701.64</v>
      </c>
      <c r="X115" s="27">
        <v>6.38</v>
      </c>
      <c r="Y115" s="27" t="s">
        <v>55</v>
      </c>
      <c r="Z115" s="29">
        <v>28</v>
      </c>
      <c r="AA115" s="30">
        <v>20313.95</v>
      </c>
      <c r="AB115" s="29">
        <v>0.96842105263157896</v>
      </c>
      <c r="AC115" s="30">
        <v>15843</v>
      </c>
      <c r="AD115" s="30">
        <v>133.70147368421101</v>
      </c>
      <c r="AE115" s="27">
        <v>529.20000000000005</v>
      </c>
      <c r="AF115" s="29">
        <v>0.87528344671201797</v>
      </c>
      <c r="AG115" s="30">
        <v>4337.2485263157896</v>
      </c>
      <c r="AH115" s="31">
        <f t="shared" si="17"/>
        <v>0.87962962962962965</v>
      </c>
      <c r="AI115" s="31">
        <f t="shared" si="18"/>
        <v>3.1578947368421054E-2</v>
      </c>
      <c r="AJ115" s="31">
        <f t="shared" si="19"/>
        <v>1.0526315789473684E-2</v>
      </c>
      <c r="AK115" s="31">
        <f t="shared" si="20"/>
        <v>0.96842105263157896</v>
      </c>
      <c r="AL115" s="29">
        <f t="shared" si="21"/>
        <v>1.1000000000000001</v>
      </c>
      <c r="AM115" s="29">
        <f t="shared" si="22"/>
        <v>463.20000000000005</v>
      </c>
      <c r="AN115" s="29">
        <f t="shared" si="23"/>
        <v>1.4356649395509498</v>
      </c>
      <c r="AO115" s="29">
        <f t="shared" si="24"/>
        <v>1.4285714285714286</v>
      </c>
      <c r="AP115" s="31">
        <f t="shared" si="25"/>
        <v>1.0049654576856648</v>
      </c>
      <c r="AQ115" s="31">
        <f t="shared" si="26"/>
        <v>0.96842105263157896</v>
      </c>
      <c r="AR115" s="31">
        <f t="shared" si="27"/>
        <v>0.85185185185185153</v>
      </c>
      <c r="AS115" s="29">
        <f t="shared" si="28"/>
        <v>23.824060150375939</v>
      </c>
      <c r="AT115" s="29">
        <f t="shared" si="29"/>
        <v>6.5221782350613378</v>
      </c>
      <c r="AU115" s="27" t="str">
        <f t="shared" si="30"/>
        <v>Medium</v>
      </c>
      <c r="AV115" s="27" t="str">
        <f t="shared" si="31"/>
        <v>Warning</v>
      </c>
      <c r="AW115" s="27"/>
    </row>
    <row r="116" spans="1:49" x14ac:dyDescent="0.25">
      <c r="A116" s="27">
        <v>115</v>
      </c>
      <c r="B116" s="28">
        <v>46033</v>
      </c>
      <c r="C116" s="28" t="str">
        <f t="shared" si="16"/>
        <v>January</v>
      </c>
      <c r="D116" s="27" t="s">
        <v>47</v>
      </c>
      <c r="E116" s="27" t="s">
        <v>61</v>
      </c>
      <c r="F116" s="27" t="s">
        <v>95</v>
      </c>
      <c r="G116" s="27" t="s">
        <v>50</v>
      </c>
      <c r="H116" s="27" t="s">
        <v>57</v>
      </c>
      <c r="I116" s="27" t="s">
        <v>238</v>
      </c>
      <c r="J116" s="27" t="s">
        <v>107</v>
      </c>
      <c r="K116" s="27">
        <v>896</v>
      </c>
      <c r="L116" s="27">
        <v>926</v>
      </c>
      <c r="M116" s="27">
        <v>875</v>
      </c>
      <c r="N116" s="27">
        <v>51</v>
      </c>
      <c r="O116" s="27">
        <v>14</v>
      </c>
      <c r="P116" s="27">
        <v>35</v>
      </c>
      <c r="Q116" s="27" t="s">
        <v>102</v>
      </c>
      <c r="R116" s="27">
        <v>45</v>
      </c>
      <c r="S116" s="27">
        <v>45</v>
      </c>
      <c r="T116" s="29">
        <v>77.599999999999994</v>
      </c>
      <c r="U116" s="29">
        <v>2.31</v>
      </c>
      <c r="V116" s="29">
        <v>35.96</v>
      </c>
      <c r="W116" s="30">
        <v>19395.439999999999</v>
      </c>
      <c r="X116" s="27">
        <v>7.67</v>
      </c>
      <c r="Y116" s="27" t="s">
        <v>110</v>
      </c>
      <c r="Z116" s="29">
        <v>36</v>
      </c>
      <c r="AA116" s="30">
        <v>31047.55</v>
      </c>
      <c r="AB116" s="29">
        <v>0.94492440604751604</v>
      </c>
      <c r="AC116" s="30">
        <v>23170.58</v>
      </c>
      <c r="AD116" s="30">
        <v>293.23559395248401</v>
      </c>
      <c r="AE116" s="27">
        <v>672</v>
      </c>
      <c r="AF116" s="29">
        <v>0.94791666666666696</v>
      </c>
      <c r="AG116" s="30">
        <v>7583.7344060475198</v>
      </c>
      <c r="AH116" s="31">
        <f t="shared" si="17"/>
        <v>1.0334821428571428</v>
      </c>
      <c r="AI116" s="31">
        <f t="shared" si="18"/>
        <v>5.5075593952483799E-2</v>
      </c>
      <c r="AJ116" s="31">
        <f t="shared" si="19"/>
        <v>1.511879049676026E-2</v>
      </c>
      <c r="AK116" s="31">
        <f t="shared" si="20"/>
        <v>0.94492440604751615</v>
      </c>
      <c r="AL116" s="29">
        <f t="shared" si="21"/>
        <v>0.58333333333333337</v>
      </c>
      <c r="AM116" s="29">
        <f t="shared" si="22"/>
        <v>637</v>
      </c>
      <c r="AN116" s="29">
        <f t="shared" si="23"/>
        <v>1.4536891679748822</v>
      </c>
      <c r="AO116" s="29">
        <f t="shared" si="24"/>
        <v>1.3333333333333333</v>
      </c>
      <c r="AP116" s="31">
        <f t="shared" si="25"/>
        <v>1.0902668759811618</v>
      </c>
      <c r="AQ116" s="31">
        <f t="shared" si="26"/>
        <v>0.94492440604751615</v>
      </c>
      <c r="AR116" s="31">
        <f t="shared" si="27"/>
        <v>0.97656250000000033</v>
      </c>
      <c r="AS116" s="29">
        <f t="shared" si="28"/>
        <v>25.02222462203024</v>
      </c>
      <c r="AT116" s="29">
        <f t="shared" si="29"/>
        <v>8.1897779762932181</v>
      </c>
      <c r="AU116" s="27" t="str">
        <f t="shared" si="30"/>
        <v>Medium</v>
      </c>
      <c r="AV116" s="27" t="str">
        <f t="shared" si="31"/>
        <v>Normal</v>
      </c>
      <c r="AW116" s="27"/>
    </row>
    <row r="117" spans="1:49" x14ac:dyDescent="0.25">
      <c r="A117" s="27">
        <v>116</v>
      </c>
      <c r="B117" s="28">
        <v>46084</v>
      </c>
      <c r="C117" s="28" t="str">
        <f t="shared" si="16"/>
        <v>March</v>
      </c>
      <c r="D117" s="27" t="s">
        <v>47</v>
      </c>
      <c r="E117" s="27" t="s">
        <v>98</v>
      </c>
      <c r="F117" s="27" t="s">
        <v>105</v>
      </c>
      <c r="G117" s="27" t="s">
        <v>78</v>
      </c>
      <c r="H117" s="27" t="s">
        <v>51</v>
      </c>
      <c r="I117" s="27" t="s">
        <v>239</v>
      </c>
      <c r="J117" s="27" t="s">
        <v>150</v>
      </c>
      <c r="K117" s="27">
        <v>878</v>
      </c>
      <c r="L117" s="27">
        <v>742</v>
      </c>
      <c r="M117" s="27">
        <v>690</v>
      </c>
      <c r="N117" s="27">
        <v>52</v>
      </c>
      <c r="O117" s="27">
        <v>16</v>
      </c>
      <c r="P117" s="27">
        <v>27</v>
      </c>
      <c r="Q117" s="27" t="s">
        <v>54</v>
      </c>
      <c r="R117" s="27">
        <v>42</v>
      </c>
      <c r="S117" s="27">
        <v>42</v>
      </c>
      <c r="T117" s="29">
        <v>77.8</v>
      </c>
      <c r="U117" s="29">
        <v>2.13</v>
      </c>
      <c r="V117" s="29">
        <v>29.93</v>
      </c>
      <c r="W117" s="30">
        <v>13515.94</v>
      </c>
      <c r="X117" s="27">
        <v>8.18</v>
      </c>
      <c r="Y117" s="27" t="s">
        <v>71</v>
      </c>
      <c r="Z117" s="29">
        <v>44</v>
      </c>
      <c r="AA117" s="30">
        <v>22388.59</v>
      </c>
      <c r="AB117" s="29">
        <v>0.92991913746630706</v>
      </c>
      <c r="AC117" s="30">
        <v>17466.310000000001</v>
      </c>
      <c r="AD117" s="30">
        <v>291.44884097034998</v>
      </c>
      <c r="AE117" s="27">
        <v>614.6</v>
      </c>
      <c r="AF117" s="29">
        <v>0.95606898795964901</v>
      </c>
      <c r="AG117" s="30">
        <v>4630.8311590296498</v>
      </c>
      <c r="AH117" s="31">
        <f t="shared" si="17"/>
        <v>0.84510250569476086</v>
      </c>
      <c r="AI117" s="31">
        <f t="shared" si="18"/>
        <v>7.0080862533692723E-2</v>
      </c>
      <c r="AJ117" s="31">
        <f t="shared" si="19"/>
        <v>2.15633423180593E-2</v>
      </c>
      <c r="AK117" s="31">
        <f t="shared" si="20"/>
        <v>0.92991913746630728</v>
      </c>
      <c r="AL117" s="29">
        <f t="shared" si="21"/>
        <v>0.45</v>
      </c>
      <c r="AM117" s="29">
        <f t="shared" si="22"/>
        <v>587.6</v>
      </c>
      <c r="AN117" s="29">
        <f t="shared" si="23"/>
        <v>1.2627637848876787</v>
      </c>
      <c r="AO117" s="29">
        <f t="shared" si="24"/>
        <v>1.4285714285714286</v>
      </c>
      <c r="AP117" s="31">
        <f t="shared" si="25"/>
        <v>0.88393464942137512</v>
      </c>
      <c r="AQ117" s="31">
        <f t="shared" si="26"/>
        <v>0.92991913746630728</v>
      </c>
      <c r="AR117" s="31">
        <f t="shared" si="27"/>
        <v>0.78587699316628745</v>
      </c>
      <c r="AS117" s="29">
        <f t="shared" si="28"/>
        <v>23.539501347708896</v>
      </c>
      <c r="AT117" s="29">
        <f t="shared" si="29"/>
        <v>6.2410123437057274</v>
      </c>
      <c r="AU117" s="27" t="str">
        <f t="shared" si="30"/>
        <v>High</v>
      </c>
      <c r="AV117" s="27" t="str">
        <f t="shared" si="31"/>
        <v>Warning</v>
      </c>
      <c r="AW117" s="27"/>
    </row>
    <row r="118" spans="1:49" x14ac:dyDescent="0.25">
      <c r="A118" s="27">
        <v>117</v>
      </c>
      <c r="B118" s="28">
        <v>46053</v>
      </c>
      <c r="C118" s="28" t="str">
        <f t="shared" si="16"/>
        <v>January</v>
      </c>
      <c r="D118" s="27" t="s">
        <v>47</v>
      </c>
      <c r="E118" s="27" t="s">
        <v>129</v>
      </c>
      <c r="F118" s="27" t="s">
        <v>151</v>
      </c>
      <c r="G118" s="27" t="s">
        <v>50</v>
      </c>
      <c r="H118" s="27" t="s">
        <v>51</v>
      </c>
      <c r="I118" s="27" t="s">
        <v>240</v>
      </c>
      <c r="J118" s="27" t="s">
        <v>93</v>
      </c>
      <c r="K118" s="27">
        <v>974</v>
      </c>
      <c r="L118" s="27">
        <v>876</v>
      </c>
      <c r="M118" s="27">
        <v>833</v>
      </c>
      <c r="N118" s="27">
        <v>43</v>
      </c>
      <c r="O118" s="27">
        <v>13</v>
      </c>
      <c r="P118" s="27">
        <v>36</v>
      </c>
      <c r="Q118" s="27" t="s">
        <v>94</v>
      </c>
      <c r="R118" s="27">
        <v>42</v>
      </c>
      <c r="S118" s="27">
        <v>42</v>
      </c>
      <c r="T118" s="29">
        <v>74.3</v>
      </c>
      <c r="U118" s="29">
        <v>1.43</v>
      </c>
      <c r="V118" s="29">
        <v>27.53</v>
      </c>
      <c r="W118" s="30">
        <v>15709.22</v>
      </c>
      <c r="X118" s="27">
        <v>7.88</v>
      </c>
      <c r="Y118" s="27" t="s">
        <v>55</v>
      </c>
      <c r="Z118" s="29">
        <v>14</v>
      </c>
      <c r="AA118" s="30">
        <v>26096.36</v>
      </c>
      <c r="AB118" s="29">
        <v>0.95091324200913196</v>
      </c>
      <c r="AC118" s="30">
        <v>19502.990000000002</v>
      </c>
      <c r="AD118" s="30">
        <v>233.12769406392701</v>
      </c>
      <c r="AE118" s="27">
        <v>681.8</v>
      </c>
      <c r="AF118" s="29">
        <v>0.94719859196245204</v>
      </c>
      <c r="AG118" s="30">
        <v>6360.2423059360699</v>
      </c>
      <c r="AH118" s="31">
        <f t="shared" si="17"/>
        <v>0.89938398357289528</v>
      </c>
      <c r="AI118" s="31">
        <f t="shared" si="18"/>
        <v>4.9086757990867577E-2</v>
      </c>
      <c r="AJ118" s="31">
        <f t="shared" si="19"/>
        <v>1.4840182648401826E-2</v>
      </c>
      <c r="AK118" s="31">
        <f t="shared" si="20"/>
        <v>0.95091324200913241</v>
      </c>
      <c r="AL118" s="29">
        <f t="shared" si="21"/>
        <v>0.6</v>
      </c>
      <c r="AM118" s="29">
        <f t="shared" si="22"/>
        <v>645.79999999999995</v>
      </c>
      <c r="AN118" s="29">
        <f t="shared" si="23"/>
        <v>1.3564571074636111</v>
      </c>
      <c r="AO118" s="29">
        <f t="shared" si="24"/>
        <v>1.4285714285714286</v>
      </c>
      <c r="AP118" s="31">
        <f t="shared" si="25"/>
        <v>0.9495199752245278</v>
      </c>
      <c r="AQ118" s="31">
        <f t="shared" si="26"/>
        <v>0.95091324200913241</v>
      </c>
      <c r="AR118" s="31">
        <f t="shared" si="27"/>
        <v>0.85523613963038991</v>
      </c>
      <c r="AS118" s="29">
        <f t="shared" si="28"/>
        <v>22.263687214611874</v>
      </c>
      <c r="AT118" s="29">
        <f t="shared" si="29"/>
        <v>7.2605505775525909</v>
      </c>
      <c r="AU118" s="27" t="str">
        <f t="shared" si="30"/>
        <v>Low</v>
      </c>
      <c r="AV118" s="27" t="str">
        <f t="shared" si="31"/>
        <v>Normal</v>
      </c>
      <c r="AW118" s="27"/>
    </row>
    <row r="119" spans="1:49" x14ac:dyDescent="0.25">
      <c r="A119" s="27">
        <v>118</v>
      </c>
      <c r="B119" s="28">
        <v>46032</v>
      </c>
      <c r="C119" s="28" t="str">
        <f t="shared" si="16"/>
        <v>January</v>
      </c>
      <c r="D119" s="27" t="s">
        <v>67</v>
      </c>
      <c r="E119" s="27" t="s">
        <v>98</v>
      </c>
      <c r="F119" s="27" t="s">
        <v>99</v>
      </c>
      <c r="G119" s="27" t="s">
        <v>50</v>
      </c>
      <c r="H119" s="27" t="s">
        <v>68</v>
      </c>
      <c r="I119" s="27" t="s">
        <v>241</v>
      </c>
      <c r="J119" s="27" t="s">
        <v>70</v>
      </c>
      <c r="K119" s="27">
        <v>519</v>
      </c>
      <c r="L119" s="27">
        <v>528</v>
      </c>
      <c r="M119" s="27">
        <v>505</v>
      </c>
      <c r="N119" s="27">
        <v>23</v>
      </c>
      <c r="O119" s="27">
        <v>6</v>
      </c>
      <c r="P119" s="27">
        <v>13</v>
      </c>
      <c r="Q119" s="27" t="s">
        <v>102</v>
      </c>
      <c r="R119" s="27">
        <v>64</v>
      </c>
      <c r="S119" s="27">
        <v>62</v>
      </c>
      <c r="T119" s="29">
        <v>73</v>
      </c>
      <c r="U119" s="29">
        <v>2.59</v>
      </c>
      <c r="V119" s="29">
        <v>21.71</v>
      </c>
      <c r="W119" s="30">
        <v>16905.25</v>
      </c>
      <c r="X119" s="27">
        <v>8.3699999999999992</v>
      </c>
      <c r="Y119" s="27" t="s">
        <v>55</v>
      </c>
      <c r="Z119" s="29">
        <v>15</v>
      </c>
      <c r="AA119" s="30">
        <v>26191.85</v>
      </c>
      <c r="AB119" s="29">
        <v>0.95643939393939403</v>
      </c>
      <c r="AC119" s="30">
        <v>20867.14</v>
      </c>
      <c r="AD119" s="30">
        <v>192.105113636364</v>
      </c>
      <c r="AE119" s="27">
        <v>553.6</v>
      </c>
      <c r="AF119" s="29">
        <v>0.97651734104046195</v>
      </c>
      <c r="AG119" s="30">
        <v>5132.6048863636397</v>
      </c>
      <c r="AH119" s="31">
        <f t="shared" si="17"/>
        <v>1.0173410404624277</v>
      </c>
      <c r="AI119" s="31">
        <f t="shared" si="18"/>
        <v>4.3560606060606064E-2</v>
      </c>
      <c r="AJ119" s="31">
        <f t="shared" si="19"/>
        <v>1.1363636363636364E-2</v>
      </c>
      <c r="AK119" s="31">
        <f t="shared" si="20"/>
        <v>0.95643939393939392</v>
      </c>
      <c r="AL119" s="29">
        <f t="shared" si="21"/>
        <v>0.21666666666666667</v>
      </c>
      <c r="AM119" s="29">
        <f t="shared" si="22"/>
        <v>540.6</v>
      </c>
      <c r="AN119" s="29">
        <f t="shared" si="23"/>
        <v>0.97669256381797998</v>
      </c>
      <c r="AO119" s="29">
        <f t="shared" si="24"/>
        <v>0.9375</v>
      </c>
      <c r="AP119" s="31">
        <f t="shared" si="25"/>
        <v>1.0418054014058453</v>
      </c>
      <c r="AQ119" s="31">
        <f t="shared" si="26"/>
        <v>0.95643939393939392</v>
      </c>
      <c r="AR119" s="31">
        <f t="shared" si="27"/>
        <v>0.97302504816955637</v>
      </c>
      <c r="AS119" s="29">
        <f t="shared" si="28"/>
        <v>39.521098484848487</v>
      </c>
      <c r="AT119" s="29">
        <f t="shared" si="29"/>
        <v>9.7208425878099245</v>
      </c>
      <c r="AU119" s="27" t="str">
        <f t="shared" si="30"/>
        <v>Low</v>
      </c>
      <c r="AV119" s="27" t="str">
        <f t="shared" si="31"/>
        <v>Normal</v>
      </c>
      <c r="AW119" s="27"/>
    </row>
    <row r="120" spans="1:49" x14ac:dyDescent="0.25">
      <c r="A120" s="27">
        <v>119</v>
      </c>
      <c r="B120" s="28">
        <v>46117</v>
      </c>
      <c r="C120" s="28" t="str">
        <f t="shared" si="16"/>
        <v>April</v>
      </c>
      <c r="D120" s="27" t="s">
        <v>47</v>
      </c>
      <c r="E120" s="27" t="s">
        <v>129</v>
      </c>
      <c r="F120" s="27" t="s">
        <v>130</v>
      </c>
      <c r="G120" s="27" t="s">
        <v>78</v>
      </c>
      <c r="H120" s="27" t="s">
        <v>57</v>
      </c>
      <c r="I120" s="27" t="s">
        <v>242</v>
      </c>
      <c r="J120" s="27" t="s">
        <v>115</v>
      </c>
      <c r="K120" s="27">
        <v>917</v>
      </c>
      <c r="L120" s="27">
        <v>731</v>
      </c>
      <c r="M120" s="27">
        <v>599</v>
      </c>
      <c r="N120" s="27">
        <v>132</v>
      </c>
      <c r="O120" s="27">
        <v>36</v>
      </c>
      <c r="P120" s="27">
        <v>49</v>
      </c>
      <c r="Q120" s="27" t="s">
        <v>94</v>
      </c>
      <c r="R120" s="27">
        <v>45</v>
      </c>
      <c r="S120" s="27">
        <v>51</v>
      </c>
      <c r="T120" s="29">
        <v>89.6</v>
      </c>
      <c r="U120" s="29">
        <v>4.3899999999999997</v>
      </c>
      <c r="V120" s="29">
        <v>29.8</v>
      </c>
      <c r="W120" s="30">
        <v>14455.36</v>
      </c>
      <c r="X120" s="27">
        <v>8.33</v>
      </c>
      <c r="Y120" s="27" t="s">
        <v>110</v>
      </c>
      <c r="Z120" s="29">
        <v>76</v>
      </c>
      <c r="AA120" s="30">
        <v>21545.119999999999</v>
      </c>
      <c r="AB120" s="29">
        <v>0.81942544459644295</v>
      </c>
      <c r="AC120" s="30">
        <v>18472.060000000001</v>
      </c>
      <c r="AD120" s="30">
        <v>711.89187414500702</v>
      </c>
      <c r="AE120" s="27">
        <v>687.75</v>
      </c>
      <c r="AF120" s="29">
        <v>0.92875318066157797</v>
      </c>
      <c r="AG120" s="30">
        <v>2361.1681258549902</v>
      </c>
      <c r="AH120" s="31">
        <f t="shared" si="17"/>
        <v>0.79716466739367497</v>
      </c>
      <c r="AI120" s="31">
        <f t="shared" si="18"/>
        <v>0.18057455540355677</v>
      </c>
      <c r="AJ120" s="31">
        <f t="shared" si="19"/>
        <v>4.9247606019151846E-2</v>
      </c>
      <c r="AK120" s="31">
        <f t="shared" si="20"/>
        <v>0.81942544459644318</v>
      </c>
      <c r="AL120" s="29">
        <f t="shared" si="21"/>
        <v>0.81666666666666665</v>
      </c>
      <c r="AM120" s="29">
        <f t="shared" si="22"/>
        <v>638.75</v>
      </c>
      <c r="AN120" s="29">
        <f t="shared" si="23"/>
        <v>1.1444227005870842</v>
      </c>
      <c r="AO120" s="29">
        <f t="shared" si="24"/>
        <v>1.3333333333333333</v>
      </c>
      <c r="AP120" s="31">
        <f t="shared" si="25"/>
        <v>0.85831702544031319</v>
      </c>
      <c r="AQ120" s="31">
        <f t="shared" si="26"/>
        <v>0.81942544459644318</v>
      </c>
      <c r="AR120" s="31">
        <f t="shared" si="27"/>
        <v>0.6532170119956382</v>
      </c>
      <c r="AS120" s="29">
        <f t="shared" si="28"/>
        <v>25.269575923392615</v>
      </c>
      <c r="AT120" s="29">
        <f t="shared" si="29"/>
        <v>3.2300521557523805</v>
      </c>
      <c r="AU120" s="27" t="str">
        <f t="shared" si="30"/>
        <v>High</v>
      </c>
      <c r="AV120" s="27" t="str">
        <f t="shared" si="31"/>
        <v>Critical</v>
      </c>
      <c r="AW120" s="27"/>
    </row>
    <row r="121" spans="1:49" x14ac:dyDescent="0.25">
      <c r="A121" s="27">
        <v>120</v>
      </c>
      <c r="B121" s="28">
        <v>46059</v>
      </c>
      <c r="C121" s="28" t="str">
        <f t="shared" si="16"/>
        <v>February</v>
      </c>
      <c r="D121" s="27" t="s">
        <v>67</v>
      </c>
      <c r="E121" s="27" t="s">
        <v>48</v>
      </c>
      <c r="F121" s="27" t="s">
        <v>72</v>
      </c>
      <c r="G121" s="27" t="s">
        <v>78</v>
      </c>
      <c r="H121" s="27" t="s">
        <v>68</v>
      </c>
      <c r="I121" s="27" t="s">
        <v>243</v>
      </c>
      <c r="J121" s="27" t="s">
        <v>175</v>
      </c>
      <c r="K121" s="27">
        <v>555</v>
      </c>
      <c r="L121" s="27">
        <v>581</v>
      </c>
      <c r="M121" s="27">
        <v>548</v>
      </c>
      <c r="N121" s="27">
        <v>33</v>
      </c>
      <c r="O121" s="27">
        <v>7</v>
      </c>
      <c r="P121" s="27">
        <v>0</v>
      </c>
      <c r="Q121" s="27" t="s">
        <v>60</v>
      </c>
      <c r="R121" s="27">
        <v>64</v>
      </c>
      <c r="S121" s="27">
        <v>64</v>
      </c>
      <c r="T121" s="29">
        <v>74.2</v>
      </c>
      <c r="U121" s="29">
        <v>2.17</v>
      </c>
      <c r="V121" s="29">
        <v>20.56</v>
      </c>
      <c r="W121" s="30">
        <v>19014.32</v>
      </c>
      <c r="X121" s="27">
        <v>8.36</v>
      </c>
      <c r="Y121" s="27" t="s">
        <v>55</v>
      </c>
      <c r="Z121" s="29">
        <v>26</v>
      </c>
      <c r="AA121" s="30">
        <v>28179.71</v>
      </c>
      <c r="AB121" s="29">
        <v>0.943201376936317</v>
      </c>
      <c r="AC121" s="30">
        <v>22961.360000000001</v>
      </c>
      <c r="AD121" s="30">
        <v>229.08819277108401</v>
      </c>
      <c r="AE121" s="27">
        <v>592</v>
      </c>
      <c r="AF121" s="29">
        <v>1</v>
      </c>
      <c r="AG121" s="30">
        <v>4989.2618072289097</v>
      </c>
      <c r="AH121" s="31">
        <f t="shared" si="17"/>
        <v>1.0468468468468468</v>
      </c>
      <c r="AI121" s="31">
        <f t="shared" si="18"/>
        <v>5.6798623063683308E-2</v>
      </c>
      <c r="AJ121" s="31">
        <f t="shared" si="19"/>
        <v>1.2048192771084338E-2</v>
      </c>
      <c r="AK121" s="31">
        <f t="shared" si="20"/>
        <v>0.94320137693631667</v>
      </c>
      <c r="AL121" s="29">
        <f t="shared" si="21"/>
        <v>0</v>
      </c>
      <c r="AM121" s="29">
        <f t="shared" si="22"/>
        <v>592</v>
      </c>
      <c r="AN121" s="29">
        <f t="shared" si="23"/>
        <v>0.98141891891891897</v>
      </c>
      <c r="AO121" s="29">
        <f t="shared" si="24"/>
        <v>0.9375</v>
      </c>
      <c r="AP121" s="31">
        <f t="shared" si="25"/>
        <v>1.0468468468468468</v>
      </c>
      <c r="AQ121" s="31">
        <f t="shared" si="26"/>
        <v>0.94320137693631667</v>
      </c>
      <c r="AR121" s="31">
        <f t="shared" si="27"/>
        <v>0.98738738738738729</v>
      </c>
      <c r="AS121" s="29">
        <f t="shared" si="28"/>
        <v>39.520413080895011</v>
      </c>
      <c r="AT121" s="29">
        <f t="shared" si="29"/>
        <v>8.5873697198432186</v>
      </c>
      <c r="AU121" s="27" t="str">
        <f t="shared" si="30"/>
        <v>Low</v>
      </c>
      <c r="AV121" s="27" t="str">
        <f t="shared" si="31"/>
        <v>Normal</v>
      </c>
      <c r="AW121" s="27"/>
    </row>
    <row r="122" spans="1:49" x14ac:dyDescent="0.25">
      <c r="A122" s="27">
        <v>121</v>
      </c>
      <c r="B122" s="28">
        <v>46123</v>
      </c>
      <c r="C122" s="28" t="str">
        <f t="shared" si="16"/>
        <v>April</v>
      </c>
      <c r="D122" s="27" t="s">
        <v>67</v>
      </c>
      <c r="E122" s="27" t="s">
        <v>129</v>
      </c>
      <c r="F122" s="27" t="s">
        <v>151</v>
      </c>
      <c r="G122" s="27" t="s">
        <v>50</v>
      </c>
      <c r="H122" s="27" t="s">
        <v>51</v>
      </c>
      <c r="I122" s="27" t="s">
        <v>244</v>
      </c>
      <c r="J122" s="27" t="s">
        <v>138</v>
      </c>
      <c r="K122" s="27">
        <v>789</v>
      </c>
      <c r="L122" s="27">
        <v>746</v>
      </c>
      <c r="M122" s="27">
        <v>708</v>
      </c>
      <c r="N122" s="27">
        <v>38</v>
      </c>
      <c r="O122" s="27">
        <v>9</v>
      </c>
      <c r="P122" s="27">
        <v>17</v>
      </c>
      <c r="Q122" s="27" t="s">
        <v>54</v>
      </c>
      <c r="R122" s="27">
        <v>42</v>
      </c>
      <c r="S122" s="27">
        <v>43</v>
      </c>
      <c r="T122" s="29">
        <v>75.400000000000006</v>
      </c>
      <c r="U122" s="29">
        <v>2.37</v>
      </c>
      <c r="V122" s="29">
        <v>22.75</v>
      </c>
      <c r="W122" s="30">
        <v>14109.13</v>
      </c>
      <c r="X122" s="27">
        <v>9.39</v>
      </c>
      <c r="Y122" s="27" t="s">
        <v>66</v>
      </c>
      <c r="Z122" s="29">
        <v>17</v>
      </c>
      <c r="AA122" s="30">
        <v>22031.14</v>
      </c>
      <c r="AB122" s="29">
        <v>0.94906166219839105</v>
      </c>
      <c r="AC122" s="30">
        <v>18539.38</v>
      </c>
      <c r="AD122" s="30">
        <v>170.21738605898099</v>
      </c>
      <c r="AE122" s="27">
        <v>552.29999999999995</v>
      </c>
      <c r="AF122" s="29">
        <v>0.96921962701430397</v>
      </c>
      <c r="AG122" s="30">
        <v>3321.5426139410201</v>
      </c>
      <c r="AH122" s="31">
        <f t="shared" si="17"/>
        <v>0.94550063371356152</v>
      </c>
      <c r="AI122" s="31">
        <f t="shared" si="18"/>
        <v>5.0938337801608578E-2</v>
      </c>
      <c r="AJ122" s="31">
        <f t="shared" si="19"/>
        <v>1.2064343163538873E-2</v>
      </c>
      <c r="AK122" s="31">
        <f t="shared" si="20"/>
        <v>0.94906166219839139</v>
      </c>
      <c r="AL122" s="29">
        <f t="shared" si="21"/>
        <v>0.28333333333333333</v>
      </c>
      <c r="AM122" s="29">
        <f t="shared" si="22"/>
        <v>535.29999999999995</v>
      </c>
      <c r="AN122" s="29">
        <f t="shared" si="23"/>
        <v>1.3936110592191295</v>
      </c>
      <c r="AO122" s="29">
        <f t="shared" si="24"/>
        <v>1.4285714285714286</v>
      </c>
      <c r="AP122" s="31">
        <f t="shared" si="25"/>
        <v>0.97552774145339061</v>
      </c>
      <c r="AQ122" s="31">
        <f t="shared" si="26"/>
        <v>0.94906166219839139</v>
      </c>
      <c r="AR122" s="31">
        <f t="shared" si="27"/>
        <v>0.89733840304182522</v>
      </c>
      <c r="AS122" s="29">
        <f t="shared" si="28"/>
        <v>24.851715817694373</v>
      </c>
      <c r="AT122" s="29">
        <f t="shared" si="29"/>
        <v>4.4524699918780435</v>
      </c>
      <c r="AU122" s="27" t="str">
        <f t="shared" si="30"/>
        <v>Low</v>
      </c>
      <c r="AV122" s="27" t="str">
        <f t="shared" si="31"/>
        <v>Normal</v>
      </c>
      <c r="AW122" s="27"/>
    </row>
    <row r="123" spans="1:49" x14ac:dyDescent="0.25">
      <c r="A123" s="27">
        <v>122</v>
      </c>
      <c r="B123" s="28">
        <v>46106</v>
      </c>
      <c r="C123" s="28" t="str">
        <f t="shared" si="16"/>
        <v>March</v>
      </c>
      <c r="D123" s="27" t="s">
        <v>47</v>
      </c>
      <c r="E123" s="27" t="s">
        <v>48</v>
      </c>
      <c r="F123" s="27" t="s">
        <v>49</v>
      </c>
      <c r="G123" s="27" t="s">
        <v>50</v>
      </c>
      <c r="H123" s="27" t="s">
        <v>79</v>
      </c>
      <c r="I123" s="27" t="s">
        <v>245</v>
      </c>
      <c r="J123" s="27" t="s">
        <v>81</v>
      </c>
      <c r="K123" s="27">
        <v>645</v>
      </c>
      <c r="L123" s="27">
        <v>757</v>
      </c>
      <c r="M123" s="27">
        <v>727</v>
      </c>
      <c r="N123" s="27">
        <v>30</v>
      </c>
      <c r="O123" s="27">
        <v>9</v>
      </c>
      <c r="P123" s="27">
        <v>17</v>
      </c>
      <c r="Q123" s="27" t="s">
        <v>54</v>
      </c>
      <c r="R123" s="27">
        <v>49</v>
      </c>
      <c r="S123" s="27">
        <v>50</v>
      </c>
      <c r="T123" s="29">
        <v>64.099999999999994</v>
      </c>
      <c r="U123" s="29">
        <v>2.2799999999999998</v>
      </c>
      <c r="V123" s="29">
        <v>29.8</v>
      </c>
      <c r="W123" s="30">
        <v>15678.66</v>
      </c>
      <c r="X123" s="27">
        <v>11.67</v>
      </c>
      <c r="Y123" s="27" t="s">
        <v>71</v>
      </c>
      <c r="Z123" s="29">
        <v>22</v>
      </c>
      <c r="AA123" s="30">
        <v>27013.89</v>
      </c>
      <c r="AB123" s="29">
        <v>0.96036988110964305</v>
      </c>
      <c r="AC123" s="30">
        <v>21198.36</v>
      </c>
      <c r="AD123" s="30">
        <v>186.40414795244399</v>
      </c>
      <c r="AE123" s="27">
        <v>526.75</v>
      </c>
      <c r="AF123" s="29">
        <v>0.96772662553393496</v>
      </c>
      <c r="AG123" s="30">
        <v>5629.1258520475603</v>
      </c>
      <c r="AH123" s="31">
        <f t="shared" si="17"/>
        <v>1.1736434108527132</v>
      </c>
      <c r="AI123" s="31">
        <f t="shared" si="18"/>
        <v>3.9630118890356669E-2</v>
      </c>
      <c r="AJ123" s="31">
        <f t="shared" si="19"/>
        <v>1.1889035667107001E-2</v>
      </c>
      <c r="AK123" s="31">
        <f t="shared" si="20"/>
        <v>0.96036988110964328</v>
      </c>
      <c r="AL123" s="29">
        <f t="shared" si="21"/>
        <v>0.28333333333333333</v>
      </c>
      <c r="AM123" s="29">
        <f t="shared" si="22"/>
        <v>509.75</v>
      </c>
      <c r="AN123" s="29">
        <f t="shared" si="23"/>
        <v>1.4850416871015204</v>
      </c>
      <c r="AO123" s="29">
        <f t="shared" si="24"/>
        <v>1.2244897959183674</v>
      </c>
      <c r="AP123" s="31">
        <f t="shared" si="25"/>
        <v>1.2127840444662417</v>
      </c>
      <c r="AQ123" s="31">
        <f t="shared" si="26"/>
        <v>0.96036988110964328</v>
      </c>
      <c r="AR123" s="31">
        <f t="shared" si="27"/>
        <v>1.127131782945737</v>
      </c>
      <c r="AS123" s="29">
        <f t="shared" si="28"/>
        <v>28.00311756935271</v>
      </c>
      <c r="AT123" s="29">
        <f t="shared" si="29"/>
        <v>7.4360975588475036</v>
      </c>
      <c r="AU123" s="27" t="str">
        <f t="shared" si="30"/>
        <v>High</v>
      </c>
      <c r="AV123" s="27" t="str">
        <f t="shared" si="31"/>
        <v>Normal</v>
      </c>
      <c r="AW123" s="27"/>
    </row>
    <row r="124" spans="1:49" x14ac:dyDescent="0.25">
      <c r="A124" s="27">
        <v>123</v>
      </c>
      <c r="B124" s="28">
        <v>46125</v>
      </c>
      <c r="C124" s="28" t="str">
        <f t="shared" si="16"/>
        <v>April</v>
      </c>
      <c r="D124" s="27" t="s">
        <v>67</v>
      </c>
      <c r="E124" s="27" t="s">
        <v>48</v>
      </c>
      <c r="F124" s="27" t="s">
        <v>49</v>
      </c>
      <c r="G124" s="27" t="s">
        <v>63</v>
      </c>
      <c r="H124" s="27" t="s">
        <v>68</v>
      </c>
      <c r="I124" s="27" t="s">
        <v>246</v>
      </c>
      <c r="J124" s="27" t="s">
        <v>93</v>
      </c>
      <c r="K124" s="27">
        <v>455</v>
      </c>
      <c r="L124" s="27">
        <v>489</v>
      </c>
      <c r="M124" s="27">
        <v>467</v>
      </c>
      <c r="N124" s="27">
        <v>22</v>
      </c>
      <c r="O124" s="27">
        <v>9</v>
      </c>
      <c r="P124" s="27">
        <v>42</v>
      </c>
      <c r="Q124" s="27" t="s">
        <v>82</v>
      </c>
      <c r="R124" s="27">
        <v>64</v>
      </c>
      <c r="S124" s="27">
        <v>62</v>
      </c>
      <c r="T124" s="29">
        <v>64.599999999999994</v>
      </c>
      <c r="U124" s="29">
        <v>2.83</v>
      </c>
      <c r="V124" s="29">
        <v>19.13</v>
      </c>
      <c r="W124" s="30">
        <v>15151.95</v>
      </c>
      <c r="X124" s="27">
        <v>9.1</v>
      </c>
      <c r="Y124" s="27" t="s">
        <v>66</v>
      </c>
      <c r="Z124" s="29">
        <v>29</v>
      </c>
      <c r="AA124" s="30">
        <v>24071.19</v>
      </c>
      <c r="AB124" s="29">
        <v>0.955010224948875</v>
      </c>
      <c r="AC124" s="30">
        <v>19419.12</v>
      </c>
      <c r="AD124" s="30">
        <v>278.87024539877302</v>
      </c>
      <c r="AE124" s="27">
        <v>485.33333333333297</v>
      </c>
      <c r="AF124" s="29">
        <v>0.91346153846153799</v>
      </c>
      <c r="AG124" s="30">
        <v>4373.1997546012299</v>
      </c>
      <c r="AH124" s="31">
        <f t="shared" si="17"/>
        <v>1.0747252747252747</v>
      </c>
      <c r="AI124" s="31">
        <f t="shared" si="18"/>
        <v>4.4989775051124746E-2</v>
      </c>
      <c r="AJ124" s="31">
        <f t="shared" si="19"/>
        <v>1.8404907975460124E-2</v>
      </c>
      <c r="AK124" s="31">
        <f t="shared" si="20"/>
        <v>0.95501022494887522</v>
      </c>
      <c r="AL124" s="29">
        <f t="shared" si="21"/>
        <v>0.7</v>
      </c>
      <c r="AM124" s="29">
        <f t="shared" si="22"/>
        <v>443.33333333333297</v>
      </c>
      <c r="AN124" s="29">
        <f t="shared" si="23"/>
        <v>1.1030075187969934</v>
      </c>
      <c r="AO124" s="29">
        <f t="shared" si="24"/>
        <v>0.9375</v>
      </c>
      <c r="AP124" s="31">
        <f t="shared" si="25"/>
        <v>1.1765413533834597</v>
      </c>
      <c r="AQ124" s="31">
        <f t="shared" si="26"/>
        <v>0.95501022494887522</v>
      </c>
      <c r="AR124" s="31">
        <f t="shared" si="27"/>
        <v>1.0263736263736267</v>
      </c>
      <c r="AS124" s="29">
        <f t="shared" si="28"/>
        <v>39.711901840490796</v>
      </c>
      <c r="AT124" s="29">
        <f t="shared" si="29"/>
        <v>8.9431487824156033</v>
      </c>
      <c r="AU124" s="27" t="str">
        <f t="shared" si="30"/>
        <v>Low</v>
      </c>
      <c r="AV124" s="27" t="str">
        <f t="shared" si="31"/>
        <v>Normal</v>
      </c>
      <c r="AW124" s="27"/>
    </row>
    <row r="125" spans="1:49" x14ac:dyDescent="0.25">
      <c r="A125" s="27">
        <v>124</v>
      </c>
      <c r="B125" s="28">
        <v>46070</v>
      </c>
      <c r="C125" s="28" t="str">
        <f t="shared" si="16"/>
        <v>February</v>
      </c>
      <c r="D125" s="27" t="s">
        <v>67</v>
      </c>
      <c r="E125" s="27" t="s">
        <v>129</v>
      </c>
      <c r="F125" s="27" t="s">
        <v>151</v>
      </c>
      <c r="G125" s="27" t="s">
        <v>78</v>
      </c>
      <c r="H125" s="27" t="s">
        <v>51</v>
      </c>
      <c r="I125" s="27" t="s">
        <v>247</v>
      </c>
      <c r="J125" s="27" t="s">
        <v>115</v>
      </c>
      <c r="K125" s="27">
        <v>871</v>
      </c>
      <c r="L125" s="27">
        <v>660</v>
      </c>
      <c r="M125" s="27">
        <v>615</v>
      </c>
      <c r="N125" s="27">
        <v>45</v>
      </c>
      <c r="O125" s="27">
        <v>11</v>
      </c>
      <c r="P125" s="27">
        <v>44</v>
      </c>
      <c r="Q125" s="27" t="s">
        <v>54</v>
      </c>
      <c r="R125" s="27">
        <v>42</v>
      </c>
      <c r="S125" s="27">
        <v>44</v>
      </c>
      <c r="T125" s="29">
        <v>65.7</v>
      </c>
      <c r="U125" s="29">
        <v>2.39</v>
      </c>
      <c r="V125" s="29">
        <v>29.51</v>
      </c>
      <c r="W125" s="30">
        <v>11506.02</v>
      </c>
      <c r="X125" s="27">
        <v>6.41</v>
      </c>
      <c r="Y125" s="27" t="s">
        <v>71</v>
      </c>
      <c r="Z125" s="29">
        <v>43</v>
      </c>
      <c r="AA125" s="30">
        <v>19656.009999999998</v>
      </c>
      <c r="AB125" s="29">
        <v>0.93181818181818199</v>
      </c>
      <c r="AC125" s="30">
        <v>14656.11</v>
      </c>
      <c r="AD125" s="30">
        <v>191.767</v>
      </c>
      <c r="AE125" s="27">
        <v>609.70000000000005</v>
      </c>
      <c r="AF125" s="29">
        <v>0.92783336066918198</v>
      </c>
      <c r="AG125" s="30">
        <v>4808.1329999999998</v>
      </c>
      <c r="AH125" s="31">
        <f t="shared" si="17"/>
        <v>0.75774971297359361</v>
      </c>
      <c r="AI125" s="31">
        <f t="shared" si="18"/>
        <v>6.8181818181818177E-2</v>
      </c>
      <c r="AJ125" s="31">
        <f t="shared" si="19"/>
        <v>1.6666666666666666E-2</v>
      </c>
      <c r="AK125" s="31">
        <f t="shared" si="20"/>
        <v>0.93181818181818177</v>
      </c>
      <c r="AL125" s="29">
        <f t="shared" si="21"/>
        <v>0.73333333333333328</v>
      </c>
      <c r="AM125" s="29">
        <f t="shared" si="22"/>
        <v>565.70000000000005</v>
      </c>
      <c r="AN125" s="29">
        <f t="shared" si="23"/>
        <v>1.1666961286901183</v>
      </c>
      <c r="AO125" s="29">
        <f t="shared" si="24"/>
        <v>1.4285714285714286</v>
      </c>
      <c r="AP125" s="31">
        <f t="shared" si="25"/>
        <v>0.81668729008308283</v>
      </c>
      <c r="AQ125" s="31">
        <f t="shared" si="26"/>
        <v>0.93181818181818177</v>
      </c>
      <c r="AR125" s="31">
        <f t="shared" si="27"/>
        <v>0.70608495981630326</v>
      </c>
      <c r="AS125" s="29">
        <f t="shared" si="28"/>
        <v>22.206227272727272</v>
      </c>
      <c r="AT125" s="29">
        <f t="shared" si="29"/>
        <v>7.28505</v>
      </c>
      <c r="AU125" s="27" t="str">
        <f t="shared" si="30"/>
        <v>High</v>
      </c>
      <c r="AV125" s="27" t="str">
        <f t="shared" si="31"/>
        <v>Critical</v>
      </c>
      <c r="AW125" s="27"/>
    </row>
    <row r="126" spans="1:49" x14ac:dyDescent="0.25">
      <c r="A126" s="27">
        <v>125</v>
      </c>
      <c r="B126" s="28">
        <v>46147</v>
      </c>
      <c r="C126" s="28" t="str">
        <f t="shared" si="16"/>
        <v>May</v>
      </c>
      <c r="D126" s="27" t="s">
        <v>67</v>
      </c>
      <c r="E126" s="27" t="s">
        <v>76</v>
      </c>
      <c r="F126" s="27" t="s">
        <v>113</v>
      </c>
      <c r="G126" s="27" t="s">
        <v>50</v>
      </c>
      <c r="H126" s="27" t="s">
        <v>79</v>
      </c>
      <c r="I126" s="27" t="s">
        <v>248</v>
      </c>
      <c r="J126" s="27" t="s">
        <v>164</v>
      </c>
      <c r="K126" s="27">
        <v>783</v>
      </c>
      <c r="L126" s="27">
        <v>738</v>
      </c>
      <c r="M126" s="27">
        <v>710</v>
      </c>
      <c r="N126" s="27">
        <v>28</v>
      </c>
      <c r="O126" s="27">
        <v>7</v>
      </c>
      <c r="P126" s="27">
        <v>36</v>
      </c>
      <c r="Q126" s="27" t="s">
        <v>75</v>
      </c>
      <c r="R126" s="27">
        <v>49</v>
      </c>
      <c r="S126" s="27">
        <v>53</v>
      </c>
      <c r="T126" s="29">
        <v>72.8</v>
      </c>
      <c r="U126" s="29">
        <v>1.77</v>
      </c>
      <c r="V126" s="29">
        <v>25.01</v>
      </c>
      <c r="W126" s="30">
        <v>16803.419999999998</v>
      </c>
      <c r="X126" s="27">
        <v>9.08</v>
      </c>
      <c r="Y126" s="27" t="s">
        <v>71</v>
      </c>
      <c r="Z126" s="29">
        <v>45</v>
      </c>
      <c r="AA126" s="30">
        <v>27704.9</v>
      </c>
      <c r="AB126" s="29">
        <v>0.96205962059620598</v>
      </c>
      <c r="AC126" s="30">
        <v>21114.51</v>
      </c>
      <c r="AD126" s="30">
        <v>159.382032520325</v>
      </c>
      <c r="AE126" s="27">
        <v>639.45000000000005</v>
      </c>
      <c r="AF126" s="29">
        <v>0.94370161857846602</v>
      </c>
      <c r="AG126" s="30">
        <v>6431.0079674796798</v>
      </c>
      <c r="AH126" s="31">
        <f t="shared" si="17"/>
        <v>0.94252873563218387</v>
      </c>
      <c r="AI126" s="31">
        <f t="shared" si="18"/>
        <v>3.7940379403794036E-2</v>
      </c>
      <c r="AJ126" s="31">
        <f t="shared" si="19"/>
        <v>9.485094850948509E-3</v>
      </c>
      <c r="AK126" s="31">
        <f t="shared" si="20"/>
        <v>0.96205962059620598</v>
      </c>
      <c r="AL126" s="29">
        <f t="shared" si="21"/>
        <v>0.6</v>
      </c>
      <c r="AM126" s="29">
        <f t="shared" si="22"/>
        <v>603.45000000000005</v>
      </c>
      <c r="AN126" s="29">
        <f t="shared" si="23"/>
        <v>1.2229679343773303</v>
      </c>
      <c r="AO126" s="29">
        <f t="shared" si="24"/>
        <v>1.2244897959183674</v>
      </c>
      <c r="AP126" s="31">
        <f t="shared" si="25"/>
        <v>0.99875714640815305</v>
      </c>
      <c r="AQ126" s="31">
        <f t="shared" si="26"/>
        <v>0.96205962059620598</v>
      </c>
      <c r="AR126" s="31">
        <f t="shared" si="27"/>
        <v>0.90676883780332063</v>
      </c>
      <c r="AS126" s="29">
        <f t="shared" si="28"/>
        <v>28.610447154471544</v>
      </c>
      <c r="AT126" s="29">
        <f t="shared" si="29"/>
        <v>8.7141029369643359</v>
      </c>
      <c r="AU126" s="27" t="str">
        <f t="shared" si="30"/>
        <v>High</v>
      </c>
      <c r="AV126" s="27" t="str">
        <f t="shared" si="31"/>
        <v>Normal</v>
      </c>
      <c r="AW126" s="27"/>
    </row>
    <row r="127" spans="1:49" x14ac:dyDescent="0.25">
      <c r="A127" s="27">
        <v>126</v>
      </c>
      <c r="B127" s="28">
        <v>46170</v>
      </c>
      <c r="C127" s="28" t="str">
        <f t="shared" si="16"/>
        <v>May</v>
      </c>
      <c r="D127" s="27" t="s">
        <v>67</v>
      </c>
      <c r="E127" s="27" t="s">
        <v>129</v>
      </c>
      <c r="F127" s="27" t="s">
        <v>167</v>
      </c>
      <c r="G127" s="27" t="s">
        <v>50</v>
      </c>
      <c r="H127" s="27" t="s">
        <v>124</v>
      </c>
      <c r="I127" s="27" t="s">
        <v>249</v>
      </c>
      <c r="J127" s="27" t="s">
        <v>170</v>
      </c>
      <c r="K127" s="27">
        <v>753</v>
      </c>
      <c r="L127" s="27">
        <v>689</v>
      </c>
      <c r="M127" s="27">
        <v>627</v>
      </c>
      <c r="N127" s="27">
        <v>62</v>
      </c>
      <c r="O127" s="27">
        <v>26</v>
      </c>
      <c r="P127" s="27">
        <v>20</v>
      </c>
      <c r="Q127" s="27" t="s">
        <v>94</v>
      </c>
      <c r="R127" s="27">
        <v>57</v>
      </c>
      <c r="S127" s="27">
        <v>56</v>
      </c>
      <c r="T127" s="29">
        <v>81</v>
      </c>
      <c r="U127" s="29">
        <v>1.85</v>
      </c>
      <c r="V127" s="29">
        <v>24.99</v>
      </c>
      <c r="W127" s="30">
        <v>17896.97</v>
      </c>
      <c r="X127" s="27">
        <v>6.76</v>
      </c>
      <c r="Y127" s="27" t="s">
        <v>66</v>
      </c>
      <c r="Z127" s="29">
        <v>19</v>
      </c>
      <c r="AA127" s="30">
        <v>28011.23</v>
      </c>
      <c r="AB127" s="29">
        <v>0.91001451378809906</v>
      </c>
      <c r="AC127" s="30">
        <v>21163.88</v>
      </c>
      <c r="AD127" s="30">
        <v>675.35735849056596</v>
      </c>
      <c r="AE127" s="27">
        <v>715.35</v>
      </c>
      <c r="AF127" s="29">
        <v>0.972041657929685</v>
      </c>
      <c r="AG127" s="30">
        <v>6171.9926415094296</v>
      </c>
      <c r="AH127" s="31">
        <f t="shared" si="17"/>
        <v>0.91500664010624166</v>
      </c>
      <c r="AI127" s="31">
        <f t="shared" si="18"/>
        <v>8.9985486211901305E-2</v>
      </c>
      <c r="AJ127" s="31">
        <f t="shared" si="19"/>
        <v>3.7735849056603772E-2</v>
      </c>
      <c r="AK127" s="31">
        <f t="shared" si="20"/>
        <v>0.91001451378809872</v>
      </c>
      <c r="AL127" s="29">
        <f t="shared" si="21"/>
        <v>0.33333333333333331</v>
      </c>
      <c r="AM127" s="29">
        <f t="shared" si="22"/>
        <v>695.35</v>
      </c>
      <c r="AN127" s="29">
        <f t="shared" si="23"/>
        <v>0.99086790824764504</v>
      </c>
      <c r="AO127" s="29">
        <f t="shared" si="24"/>
        <v>1.0526315789473684</v>
      </c>
      <c r="AP127" s="31">
        <f t="shared" si="25"/>
        <v>0.94132451283526286</v>
      </c>
      <c r="AQ127" s="31">
        <f t="shared" si="26"/>
        <v>0.91001451378809872</v>
      </c>
      <c r="AR127" s="31">
        <f t="shared" si="27"/>
        <v>0.83266932270916361</v>
      </c>
      <c r="AS127" s="29">
        <f t="shared" si="28"/>
        <v>30.716806966618289</v>
      </c>
      <c r="AT127" s="29">
        <f t="shared" si="29"/>
        <v>8.957899334556501</v>
      </c>
      <c r="AU127" s="27" t="str">
        <f t="shared" si="30"/>
        <v>Medium</v>
      </c>
      <c r="AV127" s="27" t="str">
        <f t="shared" si="31"/>
        <v>Warning</v>
      </c>
      <c r="AW127" s="27"/>
    </row>
    <row r="128" spans="1:49" x14ac:dyDescent="0.25">
      <c r="A128" s="27">
        <v>127</v>
      </c>
      <c r="B128" s="28">
        <v>46145</v>
      </c>
      <c r="C128" s="28" t="str">
        <f t="shared" si="16"/>
        <v>May</v>
      </c>
      <c r="D128" s="27" t="s">
        <v>47</v>
      </c>
      <c r="E128" s="27" t="s">
        <v>129</v>
      </c>
      <c r="F128" s="27" t="s">
        <v>130</v>
      </c>
      <c r="G128" s="27" t="s">
        <v>50</v>
      </c>
      <c r="H128" s="27" t="s">
        <v>51</v>
      </c>
      <c r="I128" s="27" t="s">
        <v>250</v>
      </c>
      <c r="J128" s="27" t="s">
        <v>134</v>
      </c>
      <c r="K128" s="27">
        <v>885</v>
      </c>
      <c r="L128" s="27">
        <v>738</v>
      </c>
      <c r="M128" s="27">
        <v>651</v>
      </c>
      <c r="N128" s="27">
        <v>87</v>
      </c>
      <c r="O128" s="27">
        <v>19</v>
      </c>
      <c r="P128" s="27">
        <v>57</v>
      </c>
      <c r="Q128" s="27" t="s">
        <v>82</v>
      </c>
      <c r="R128" s="27">
        <v>42</v>
      </c>
      <c r="S128" s="27">
        <v>47</v>
      </c>
      <c r="T128" s="29">
        <v>74.3</v>
      </c>
      <c r="U128" s="29">
        <v>3.37</v>
      </c>
      <c r="V128" s="29">
        <v>33.57</v>
      </c>
      <c r="W128" s="30">
        <v>14407.73</v>
      </c>
      <c r="X128" s="27">
        <v>7.79</v>
      </c>
      <c r="Y128" s="27" t="s">
        <v>66</v>
      </c>
      <c r="Z128" s="29">
        <v>44</v>
      </c>
      <c r="AA128" s="30">
        <v>21417.89</v>
      </c>
      <c r="AB128" s="29">
        <v>0.88211382113821102</v>
      </c>
      <c r="AC128" s="30">
        <v>18215.36</v>
      </c>
      <c r="AD128" s="30">
        <v>370.93071815718201</v>
      </c>
      <c r="AE128" s="27">
        <v>619.5</v>
      </c>
      <c r="AF128" s="29">
        <v>0.90799031476997605</v>
      </c>
      <c r="AG128" s="30">
        <v>2831.5992818428199</v>
      </c>
      <c r="AH128" s="31">
        <f t="shared" si="17"/>
        <v>0.83389830508474572</v>
      </c>
      <c r="AI128" s="31">
        <f t="shared" si="18"/>
        <v>0.11788617886178862</v>
      </c>
      <c r="AJ128" s="31">
        <f t="shared" si="19"/>
        <v>2.5745257452574527E-2</v>
      </c>
      <c r="AK128" s="31">
        <f t="shared" si="20"/>
        <v>0.88211382113821135</v>
      </c>
      <c r="AL128" s="29">
        <f t="shared" si="21"/>
        <v>0.95</v>
      </c>
      <c r="AM128" s="29">
        <f t="shared" si="22"/>
        <v>562.5</v>
      </c>
      <c r="AN128" s="29">
        <f t="shared" si="23"/>
        <v>1.3120000000000001</v>
      </c>
      <c r="AO128" s="29">
        <f t="shared" si="24"/>
        <v>1.4285714285714286</v>
      </c>
      <c r="AP128" s="31">
        <f t="shared" si="25"/>
        <v>0.91839999999999999</v>
      </c>
      <c r="AQ128" s="31">
        <f t="shared" si="26"/>
        <v>0.88211382113821135</v>
      </c>
      <c r="AR128" s="31">
        <f t="shared" si="27"/>
        <v>0.73559322033898333</v>
      </c>
      <c r="AS128" s="29">
        <f t="shared" si="28"/>
        <v>24.682059620596206</v>
      </c>
      <c r="AT128" s="29">
        <f t="shared" si="29"/>
        <v>3.8368553954509754</v>
      </c>
      <c r="AU128" s="27" t="str">
        <f t="shared" si="30"/>
        <v>High</v>
      </c>
      <c r="AV128" s="27" t="str">
        <f t="shared" si="31"/>
        <v>Critical</v>
      </c>
      <c r="AW128" s="27"/>
    </row>
    <row r="129" spans="1:49" x14ac:dyDescent="0.25">
      <c r="A129" s="27">
        <v>128</v>
      </c>
      <c r="B129" s="28">
        <v>46200</v>
      </c>
      <c r="C129" s="28" t="str">
        <f t="shared" si="16"/>
        <v>June</v>
      </c>
      <c r="D129" s="27" t="s">
        <v>67</v>
      </c>
      <c r="E129" s="27" t="s">
        <v>98</v>
      </c>
      <c r="F129" s="27" t="s">
        <v>126</v>
      </c>
      <c r="G129" s="27" t="s">
        <v>63</v>
      </c>
      <c r="H129" s="27" t="s">
        <v>51</v>
      </c>
      <c r="I129" s="27" t="s">
        <v>251</v>
      </c>
      <c r="J129" s="27" t="s">
        <v>121</v>
      </c>
      <c r="K129" s="27">
        <v>870</v>
      </c>
      <c r="L129" s="27">
        <v>692</v>
      </c>
      <c r="M129" s="27">
        <v>639</v>
      </c>
      <c r="N129" s="27">
        <v>53</v>
      </c>
      <c r="O129" s="27">
        <v>21</v>
      </c>
      <c r="P129" s="27">
        <v>18</v>
      </c>
      <c r="Q129" s="27" t="s">
        <v>75</v>
      </c>
      <c r="R129" s="27">
        <v>42</v>
      </c>
      <c r="S129" s="27">
        <v>46</v>
      </c>
      <c r="T129" s="29">
        <v>73.3</v>
      </c>
      <c r="U129" s="29">
        <v>2.08</v>
      </c>
      <c r="V129" s="29">
        <v>28.87</v>
      </c>
      <c r="W129" s="30">
        <v>12902.7</v>
      </c>
      <c r="X129" s="27">
        <v>8.19</v>
      </c>
      <c r="Y129" s="27" t="s">
        <v>55</v>
      </c>
      <c r="Z129" s="29">
        <v>19</v>
      </c>
      <c r="AA129" s="30">
        <v>20749.009999999998</v>
      </c>
      <c r="AB129" s="29">
        <v>0.92341040462427804</v>
      </c>
      <c r="AC129" s="30">
        <v>16848.03</v>
      </c>
      <c r="AD129" s="30">
        <v>391.55592485549101</v>
      </c>
      <c r="AE129" s="27">
        <v>609</v>
      </c>
      <c r="AF129" s="29">
        <v>0.97044334975369495</v>
      </c>
      <c r="AG129" s="30">
        <v>3509.4240751445</v>
      </c>
      <c r="AH129" s="31">
        <f t="shared" si="17"/>
        <v>0.79540229885057467</v>
      </c>
      <c r="AI129" s="31">
        <f t="shared" si="18"/>
        <v>7.6589595375722547E-2</v>
      </c>
      <c r="AJ129" s="31">
        <f t="shared" si="19"/>
        <v>3.0346820809248554E-2</v>
      </c>
      <c r="AK129" s="31">
        <f t="shared" si="20"/>
        <v>0.92341040462427748</v>
      </c>
      <c r="AL129" s="29">
        <f t="shared" si="21"/>
        <v>0.3</v>
      </c>
      <c r="AM129" s="29">
        <f t="shared" si="22"/>
        <v>591</v>
      </c>
      <c r="AN129" s="29">
        <f t="shared" si="23"/>
        <v>1.1708967851099832</v>
      </c>
      <c r="AO129" s="29">
        <f t="shared" si="24"/>
        <v>1.4285714285714286</v>
      </c>
      <c r="AP129" s="31">
        <f t="shared" si="25"/>
        <v>0.81962774957698825</v>
      </c>
      <c r="AQ129" s="31">
        <f t="shared" si="26"/>
        <v>0.92341040462427748</v>
      </c>
      <c r="AR129" s="31">
        <f t="shared" si="27"/>
        <v>0.73448275862069001</v>
      </c>
      <c r="AS129" s="29">
        <f t="shared" si="28"/>
        <v>24.346864161849709</v>
      </c>
      <c r="AT129" s="29">
        <f t="shared" si="29"/>
        <v>5.071422073908237</v>
      </c>
      <c r="AU129" s="27" t="str">
        <f t="shared" si="30"/>
        <v>High</v>
      </c>
      <c r="AV129" s="27" t="str">
        <f t="shared" si="31"/>
        <v>Critical</v>
      </c>
      <c r="AW129" s="27"/>
    </row>
    <row r="130" spans="1:49" x14ac:dyDescent="0.25">
      <c r="A130" s="27">
        <v>129</v>
      </c>
      <c r="B130" s="28">
        <v>46083</v>
      </c>
      <c r="C130" s="28" t="str">
        <f t="shared" ref="C130:C193" si="32">TEXT(B130,"mmmm")</f>
        <v>March</v>
      </c>
      <c r="D130" s="27" t="s">
        <v>67</v>
      </c>
      <c r="E130" s="27" t="s">
        <v>129</v>
      </c>
      <c r="F130" s="27" t="s">
        <v>167</v>
      </c>
      <c r="G130" s="27" t="s">
        <v>63</v>
      </c>
      <c r="H130" s="27" t="s">
        <v>68</v>
      </c>
      <c r="I130" s="27" t="s">
        <v>252</v>
      </c>
      <c r="J130" s="27" t="s">
        <v>226</v>
      </c>
      <c r="K130" s="27">
        <v>564</v>
      </c>
      <c r="L130" s="27">
        <v>437</v>
      </c>
      <c r="M130" s="27">
        <v>399</v>
      </c>
      <c r="N130" s="27">
        <v>38</v>
      </c>
      <c r="O130" s="27">
        <v>11</v>
      </c>
      <c r="P130" s="27">
        <v>48</v>
      </c>
      <c r="Q130" s="27" t="s">
        <v>75</v>
      </c>
      <c r="R130" s="27">
        <v>64</v>
      </c>
      <c r="S130" s="27">
        <v>68</v>
      </c>
      <c r="T130" s="29">
        <v>70.5</v>
      </c>
      <c r="U130" s="29">
        <v>1.69</v>
      </c>
      <c r="V130" s="29">
        <v>19.600000000000001</v>
      </c>
      <c r="W130" s="30">
        <v>13344.36</v>
      </c>
      <c r="X130" s="27">
        <v>7.7</v>
      </c>
      <c r="Y130" s="27" t="s">
        <v>110</v>
      </c>
      <c r="Z130" s="29">
        <v>28</v>
      </c>
      <c r="AA130" s="30">
        <v>20845.169999999998</v>
      </c>
      <c r="AB130" s="29">
        <v>0.91304347826086996</v>
      </c>
      <c r="AC130" s="30">
        <v>16985.759999999998</v>
      </c>
      <c r="AD130" s="30">
        <v>335.899221967963</v>
      </c>
      <c r="AE130" s="27">
        <v>601.6</v>
      </c>
      <c r="AF130" s="29">
        <v>0.92021276595744705</v>
      </c>
      <c r="AG130" s="30">
        <v>3523.51077803203</v>
      </c>
      <c r="AH130" s="31">
        <f t="shared" ref="AH130:AH193" si="33">IFERROR(L130/K130,0)</f>
        <v>0.77482269503546097</v>
      </c>
      <c r="AI130" s="31">
        <f t="shared" ref="AI130:AI193" si="34">IFERROR(N130/L130,0)</f>
        <v>8.6956521739130432E-2</v>
      </c>
      <c r="AJ130" s="31">
        <f t="shared" ref="AJ130:AJ193" si="35">IFERROR(O130/L130,0)</f>
        <v>2.5171624713958809E-2</v>
      </c>
      <c r="AK130" s="31">
        <f t="shared" ref="AK130:AK193" si="36">IFERROR(M130/L130,0)</f>
        <v>0.91304347826086951</v>
      </c>
      <c r="AL130" s="29">
        <f t="shared" ref="AL130:AL193" si="37">P130/60</f>
        <v>0.8</v>
      </c>
      <c r="AM130" s="29">
        <f t="shared" ref="AM130:AM193" si="38">MAX(0,AE130-P130)</f>
        <v>553.6</v>
      </c>
      <c r="AN130" s="29">
        <f t="shared" ref="AN130:AN193" si="39">IFERROR(L130/AM130,0)</f>
        <v>0.78937861271676302</v>
      </c>
      <c r="AO130" s="29">
        <f t="shared" ref="AO130:AO193" si="40">IFERROR(60/R130,0)</f>
        <v>0.9375</v>
      </c>
      <c r="AP130" s="31">
        <f t="shared" ref="AP130:AP193" si="41">IFERROR(AN130/AO130,0)</f>
        <v>0.84200385356454721</v>
      </c>
      <c r="AQ130" s="31">
        <f t="shared" ref="AQ130:AQ193" si="42">IFERROR(M130/L130,0)</f>
        <v>0.91304347826086951</v>
      </c>
      <c r="AR130" s="31">
        <f t="shared" ref="AR130:AR193" si="43">AF130*AP130*AQ130</f>
        <v>0.70744680851063846</v>
      </c>
      <c r="AS130" s="29">
        <f t="shared" ref="AS130:AS193" si="44">IFERROR(AC130/L130,0)</f>
        <v>38.869016018306631</v>
      </c>
      <c r="AT130" s="29">
        <f t="shared" ref="AT130:AT193" si="45">IFERROR(AG130/L130,0)</f>
        <v>8.0629537254737524</v>
      </c>
      <c r="AU130" s="27" t="str">
        <f t="shared" ref="AU130:AU193" si="46">IF(OR(Y130="Overdue",P130&gt;=120,T130&gt;=85,U130&gt;=4,AI130&gt;=0.12,AR130&lt;0.8),"High",IF(OR(Y130="Pending",Z130&gt;=30,P130&gt;=60,T130&gt;=80,U130&gt;=3,AI130&gt;=0.08,AR130&lt;0.85),"Medium","Low"))</f>
        <v>High</v>
      </c>
      <c r="AV130" s="27" t="str">
        <f t="shared" ref="AV130:AV193" si="47">IF(OR(P130&gt;=120,T130&gt;=90,U130&gt;=4.5,AI130&gt;=0.15,AR130&lt;0.75),"Critical",IF(OR(P130&gt;=60,T130&gt;=80,U130&gt;=3,AI130&gt;=0.08,AR130&lt;0.85),"Warning","Normal"))</f>
        <v>Critical</v>
      </c>
      <c r="AW130" s="27"/>
    </row>
    <row r="131" spans="1:49" x14ac:dyDescent="0.25">
      <c r="A131" s="27">
        <v>130</v>
      </c>
      <c r="B131" s="28">
        <v>46198</v>
      </c>
      <c r="C131" s="28" t="str">
        <f t="shared" si="32"/>
        <v>June</v>
      </c>
      <c r="D131" s="27" t="s">
        <v>47</v>
      </c>
      <c r="E131" s="27" t="s">
        <v>98</v>
      </c>
      <c r="F131" s="27" t="s">
        <v>99</v>
      </c>
      <c r="G131" s="27" t="s">
        <v>50</v>
      </c>
      <c r="H131" s="27" t="s">
        <v>57</v>
      </c>
      <c r="I131" s="27" t="s">
        <v>253</v>
      </c>
      <c r="J131" s="27" t="s">
        <v>143</v>
      </c>
      <c r="K131" s="27">
        <v>690</v>
      </c>
      <c r="L131" s="27">
        <v>636</v>
      </c>
      <c r="M131" s="27">
        <v>603</v>
      </c>
      <c r="N131" s="27">
        <v>33</v>
      </c>
      <c r="O131" s="27">
        <v>7</v>
      </c>
      <c r="P131" s="27">
        <v>26</v>
      </c>
      <c r="Q131" s="27" t="s">
        <v>54</v>
      </c>
      <c r="R131" s="27">
        <v>45</v>
      </c>
      <c r="S131" s="27">
        <v>46</v>
      </c>
      <c r="T131" s="29">
        <v>71.3</v>
      </c>
      <c r="U131" s="29">
        <v>1.49</v>
      </c>
      <c r="V131" s="29">
        <v>24.27</v>
      </c>
      <c r="W131" s="30">
        <v>13010.99</v>
      </c>
      <c r="X131" s="27">
        <v>6.73</v>
      </c>
      <c r="Y131" s="27" t="s">
        <v>71</v>
      </c>
      <c r="Z131" s="29">
        <v>28</v>
      </c>
      <c r="AA131" s="30">
        <v>20680.79</v>
      </c>
      <c r="AB131" s="29">
        <v>0.94811320754716999</v>
      </c>
      <c r="AC131" s="30">
        <v>16257.92</v>
      </c>
      <c r="AD131" s="30">
        <v>143.20272012578599</v>
      </c>
      <c r="AE131" s="27">
        <v>517.5</v>
      </c>
      <c r="AF131" s="29">
        <v>0.94975845410628001</v>
      </c>
      <c r="AG131" s="30">
        <v>4279.6672798742202</v>
      </c>
      <c r="AH131" s="31">
        <f t="shared" si="33"/>
        <v>0.92173913043478262</v>
      </c>
      <c r="AI131" s="31">
        <f t="shared" si="34"/>
        <v>5.1886792452830191E-2</v>
      </c>
      <c r="AJ131" s="31">
        <f t="shared" si="35"/>
        <v>1.10062893081761E-2</v>
      </c>
      <c r="AK131" s="31">
        <f t="shared" si="36"/>
        <v>0.94811320754716977</v>
      </c>
      <c r="AL131" s="29">
        <f t="shared" si="37"/>
        <v>0.43333333333333335</v>
      </c>
      <c r="AM131" s="29">
        <f t="shared" si="38"/>
        <v>491.5</v>
      </c>
      <c r="AN131" s="29">
        <f t="shared" si="39"/>
        <v>1.293997965412004</v>
      </c>
      <c r="AO131" s="29">
        <f t="shared" si="40"/>
        <v>1.3333333333333333</v>
      </c>
      <c r="AP131" s="31">
        <f t="shared" si="41"/>
        <v>0.97049847405900302</v>
      </c>
      <c r="AQ131" s="31">
        <f t="shared" si="42"/>
        <v>0.94811320754716977</v>
      </c>
      <c r="AR131" s="31">
        <f t="shared" si="43"/>
        <v>0.8739130434782606</v>
      </c>
      <c r="AS131" s="29">
        <f t="shared" si="44"/>
        <v>25.562767295597485</v>
      </c>
      <c r="AT131" s="29">
        <f t="shared" si="45"/>
        <v>6.7290366035758176</v>
      </c>
      <c r="AU131" s="27" t="str">
        <f t="shared" si="46"/>
        <v>High</v>
      </c>
      <c r="AV131" s="27" t="str">
        <f t="shared" si="47"/>
        <v>Normal</v>
      </c>
      <c r="AW131" s="27"/>
    </row>
    <row r="132" spans="1:49" x14ac:dyDescent="0.25">
      <c r="A132" s="27">
        <v>131</v>
      </c>
      <c r="B132" s="28">
        <v>46134</v>
      </c>
      <c r="C132" s="28" t="str">
        <f t="shared" si="32"/>
        <v>April</v>
      </c>
      <c r="D132" s="27" t="s">
        <v>47</v>
      </c>
      <c r="E132" s="27" t="s">
        <v>48</v>
      </c>
      <c r="F132" s="27" t="s">
        <v>72</v>
      </c>
      <c r="G132" s="27" t="s">
        <v>50</v>
      </c>
      <c r="H132" s="27" t="s">
        <v>68</v>
      </c>
      <c r="I132" s="27" t="s">
        <v>254</v>
      </c>
      <c r="J132" s="27" t="s">
        <v>107</v>
      </c>
      <c r="K132" s="27">
        <v>628</v>
      </c>
      <c r="L132" s="27">
        <v>666</v>
      </c>
      <c r="M132" s="27">
        <v>643</v>
      </c>
      <c r="N132" s="27">
        <v>23</v>
      </c>
      <c r="O132" s="27">
        <v>4</v>
      </c>
      <c r="P132" s="27">
        <v>15</v>
      </c>
      <c r="Q132" s="27" t="s">
        <v>102</v>
      </c>
      <c r="R132" s="27">
        <v>64</v>
      </c>
      <c r="S132" s="27">
        <v>64</v>
      </c>
      <c r="T132" s="29">
        <v>74.8</v>
      </c>
      <c r="U132" s="29">
        <v>1.54</v>
      </c>
      <c r="V132" s="29">
        <v>20.43</v>
      </c>
      <c r="W132" s="30">
        <v>20955.919999999998</v>
      </c>
      <c r="X132" s="27">
        <v>9.32</v>
      </c>
      <c r="Y132" s="27" t="s">
        <v>55</v>
      </c>
      <c r="Z132" s="29">
        <v>37</v>
      </c>
      <c r="AA132" s="30">
        <v>32848.1</v>
      </c>
      <c r="AB132" s="29">
        <v>0.96546546546546497</v>
      </c>
      <c r="AC132" s="30">
        <v>25333.79</v>
      </c>
      <c r="AD132" s="30">
        <v>125.86138138138099</v>
      </c>
      <c r="AE132" s="27">
        <v>669.86666666666702</v>
      </c>
      <c r="AF132" s="29">
        <v>0.97760748407643305</v>
      </c>
      <c r="AG132" s="30">
        <v>7388.4486186186195</v>
      </c>
      <c r="AH132" s="31">
        <f t="shared" si="33"/>
        <v>1.0605095541401275</v>
      </c>
      <c r="AI132" s="31">
        <f t="shared" si="34"/>
        <v>3.4534534534534533E-2</v>
      </c>
      <c r="AJ132" s="31">
        <f t="shared" si="35"/>
        <v>6.006006006006006E-3</v>
      </c>
      <c r="AK132" s="31">
        <f t="shared" si="36"/>
        <v>0.96546546546546541</v>
      </c>
      <c r="AL132" s="29">
        <f t="shared" si="37"/>
        <v>0.25</v>
      </c>
      <c r="AM132" s="29">
        <f t="shared" si="38"/>
        <v>654.86666666666702</v>
      </c>
      <c r="AN132" s="29">
        <f t="shared" si="39"/>
        <v>1.017000916217041</v>
      </c>
      <c r="AO132" s="29">
        <f t="shared" si="40"/>
        <v>0.9375</v>
      </c>
      <c r="AP132" s="31">
        <f t="shared" si="41"/>
        <v>1.084800977298177</v>
      </c>
      <c r="AQ132" s="31">
        <f t="shared" si="42"/>
        <v>0.96546546546546541</v>
      </c>
      <c r="AR132" s="31">
        <f t="shared" si="43"/>
        <v>1.0238853503184706</v>
      </c>
      <c r="AS132" s="29">
        <f t="shared" si="44"/>
        <v>38.038723723723727</v>
      </c>
      <c r="AT132" s="29">
        <f t="shared" si="45"/>
        <v>11.093766694622552</v>
      </c>
      <c r="AU132" s="27" t="str">
        <f t="shared" si="46"/>
        <v>Medium</v>
      </c>
      <c r="AV132" s="27" t="str">
        <f t="shared" si="47"/>
        <v>Normal</v>
      </c>
      <c r="AW132" s="27"/>
    </row>
    <row r="133" spans="1:49" x14ac:dyDescent="0.25">
      <c r="A133" s="27">
        <v>132</v>
      </c>
      <c r="B133" s="28">
        <v>46186</v>
      </c>
      <c r="C133" s="28" t="str">
        <f t="shared" si="32"/>
        <v>June</v>
      </c>
      <c r="D133" s="27" t="s">
        <v>67</v>
      </c>
      <c r="E133" s="27" t="s">
        <v>48</v>
      </c>
      <c r="F133" s="27" t="s">
        <v>56</v>
      </c>
      <c r="G133" s="27" t="s">
        <v>78</v>
      </c>
      <c r="H133" s="27" t="s">
        <v>79</v>
      </c>
      <c r="I133" s="27" t="s">
        <v>255</v>
      </c>
      <c r="J133" s="27" t="s">
        <v>191</v>
      </c>
      <c r="K133" s="27">
        <v>861</v>
      </c>
      <c r="L133" s="27">
        <v>755</v>
      </c>
      <c r="M133" s="27">
        <v>709</v>
      </c>
      <c r="N133" s="27">
        <v>46</v>
      </c>
      <c r="O133" s="27">
        <v>11</v>
      </c>
      <c r="P133" s="27">
        <v>18</v>
      </c>
      <c r="Q133" s="27" t="s">
        <v>94</v>
      </c>
      <c r="R133" s="27">
        <v>49</v>
      </c>
      <c r="S133" s="27">
        <v>50</v>
      </c>
      <c r="T133" s="29">
        <v>75.599999999999994</v>
      </c>
      <c r="U133" s="29">
        <v>1.79</v>
      </c>
      <c r="V133" s="29">
        <v>26.5</v>
      </c>
      <c r="W133" s="30">
        <v>16148.7</v>
      </c>
      <c r="X133" s="27">
        <v>6.49</v>
      </c>
      <c r="Y133" s="27" t="s">
        <v>66</v>
      </c>
      <c r="Z133" s="29">
        <v>19</v>
      </c>
      <c r="AA133" s="30">
        <v>27212.720000000001</v>
      </c>
      <c r="AB133" s="29">
        <v>0.93907284768211896</v>
      </c>
      <c r="AC133" s="30">
        <v>19307.7</v>
      </c>
      <c r="AD133" s="30">
        <v>235.27907284768199</v>
      </c>
      <c r="AE133" s="27">
        <v>703.15</v>
      </c>
      <c r="AF133" s="29">
        <v>0.97440091018985997</v>
      </c>
      <c r="AG133" s="30">
        <v>7669.7409271523202</v>
      </c>
      <c r="AH133" s="31">
        <f t="shared" si="33"/>
        <v>0.87688734030197446</v>
      </c>
      <c r="AI133" s="31">
        <f t="shared" si="34"/>
        <v>6.0927152317880796E-2</v>
      </c>
      <c r="AJ133" s="31">
        <f t="shared" si="35"/>
        <v>1.456953642384106E-2</v>
      </c>
      <c r="AK133" s="31">
        <f t="shared" si="36"/>
        <v>0.93907284768211918</v>
      </c>
      <c r="AL133" s="29">
        <f t="shared" si="37"/>
        <v>0.3</v>
      </c>
      <c r="AM133" s="29">
        <f t="shared" si="38"/>
        <v>685.15</v>
      </c>
      <c r="AN133" s="29">
        <f t="shared" si="39"/>
        <v>1.1019484784353792</v>
      </c>
      <c r="AO133" s="29">
        <f t="shared" si="40"/>
        <v>1.2244897959183674</v>
      </c>
      <c r="AP133" s="31">
        <f t="shared" si="41"/>
        <v>0.89992459072222641</v>
      </c>
      <c r="AQ133" s="31">
        <f t="shared" si="42"/>
        <v>0.93907284768211918</v>
      </c>
      <c r="AR133" s="31">
        <f t="shared" si="43"/>
        <v>0.82346109175377491</v>
      </c>
      <c r="AS133" s="29">
        <f t="shared" si="44"/>
        <v>25.573112582781459</v>
      </c>
      <c r="AT133" s="29">
        <f t="shared" si="45"/>
        <v>10.158597254506384</v>
      </c>
      <c r="AU133" s="27" t="str">
        <f t="shared" si="46"/>
        <v>Medium</v>
      </c>
      <c r="AV133" s="27" t="str">
        <f t="shared" si="47"/>
        <v>Warning</v>
      </c>
      <c r="AW133" s="27"/>
    </row>
    <row r="134" spans="1:49" x14ac:dyDescent="0.25">
      <c r="A134" s="27">
        <v>133</v>
      </c>
      <c r="B134" s="28">
        <v>46044</v>
      </c>
      <c r="C134" s="28" t="str">
        <f t="shared" si="32"/>
        <v>January</v>
      </c>
      <c r="D134" s="27" t="s">
        <v>67</v>
      </c>
      <c r="E134" s="27" t="s">
        <v>76</v>
      </c>
      <c r="F134" s="27" t="s">
        <v>119</v>
      </c>
      <c r="G134" s="27" t="s">
        <v>78</v>
      </c>
      <c r="H134" s="27" t="s">
        <v>124</v>
      </c>
      <c r="I134" s="27" t="s">
        <v>256</v>
      </c>
      <c r="J134" s="27" t="s">
        <v>150</v>
      </c>
      <c r="K134" s="27">
        <v>735</v>
      </c>
      <c r="L134" s="27">
        <v>630</v>
      </c>
      <c r="M134" s="27">
        <v>571</v>
      </c>
      <c r="N134" s="27">
        <v>59</v>
      </c>
      <c r="O134" s="27">
        <v>19</v>
      </c>
      <c r="P134" s="27">
        <v>19</v>
      </c>
      <c r="Q134" s="27" t="s">
        <v>97</v>
      </c>
      <c r="R134" s="27">
        <v>57</v>
      </c>
      <c r="S134" s="27">
        <v>63</v>
      </c>
      <c r="T134" s="29">
        <v>76.2</v>
      </c>
      <c r="U134" s="29">
        <v>1.45</v>
      </c>
      <c r="V134" s="29">
        <v>22.97</v>
      </c>
      <c r="W134" s="30">
        <v>18328.650000000001</v>
      </c>
      <c r="X134" s="27">
        <v>6.59</v>
      </c>
      <c r="Y134" s="27" t="s">
        <v>110</v>
      </c>
      <c r="Z134" s="29">
        <v>1</v>
      </c>
      <c r="AA134" s="30">
        <v>26185.69</v>
      </c>
      <c r="AB134" s="29">
        <v>0.90634920634920602</v>
      </c>
      <c r="AC134" s="30">
        <v>21500.880000000001</v>
      </c>
      <c r="AD134" s="30">
        <v>552.76880952380998</v>
      </c>
      <c r="AE134" s="27">
        <v>698.25</v>
      </c>
      <c r="AF134" s="29">
        <v>0.97278911564625903</v>
      </c>
      <c r="AG134" s="30">
        <v>4132.0411904761904</v>
      </c>
      <c r="AH134" s="31">
        <f t="shared" si="33"/>
        <v>0.8571428571428571</v>
      </c>
      <c r="AI134" s="31">
        <f t="shared" si="34"/>
        <v>9.3650793650793651E-2</v>
      </c>
      <c r="AJ134" s="31">
        <f t="shared" si="35"/>
        <v>3.0158730158730159E-2</v>
      </c>
      <c r="AK134" s="31">
        <f t="shared" si="36"/>
        <v>0.90634920634920635</v>
      </c>
      <c r="AL134" s="29">
        <f t="shared" si="37"/>
        <v>0.31666666666666665</v>
      </c>
      <c r="AM134" s="29">
        <f t="shared" si="38"/>
        <v>679.25</v>
      </c>
      <c r="AN134" s="29">
        <f t="shared" si="39"/>
        <v>0.92749355907250641</v>
      </c>
      <c r="AO134" s="29">
        <f t="shared" si="40"/>
        <v>1.0526315789473684</v>
      </c>
      <c r="AP134" s="31">
        <f t="shared" si="41"/>
        <v>0.88111888111888115</v>
      </c>
      <c r="AQ134" s="31">
        <f t="shared" si="42"/>
        <v>0.90634920634920635</v>
      </c>
      <c r="AR134" s="31">
        <f t="shared" si="43"/>
        <v>0.77687074829932024</v>
      </c>
      <c r="AS134" s="29">
        <f t="shared" si="44"/>
        <v>34.128380952380951</v>
      </c>
      <c r="AT134" s="29">
        <f t="shared" si="45"/>
        <v>6.5587955404383971</v>
      </c>
      <c r="AU134" s="27" t="str">
        <f t="shared" si="46"/>
        <v>High</v>
      </c>
      <c r="AV134" s="27" t="str">
        <f t="shared" si="47"/>
        <v>Warning</v>
      </c>
      <c r="AW134" s="27"/>
    </row>
    <row r="135" spans="1:49" x14ac:dyDescent="0.25">
      <c r="A135" s="27">
        <v>134</v>
      </c>
      <c r="B135" s="28">
        <v>46065</v>
      </c>
      <c r="C135" s="28" t="str">
        <f t="shared" si="32"/>
        <v>February</v>
      </c>
      <c r="D135" s="27" t="s">
        <v>47</v>
      </c>
      <c r="E135" s="27" t="s">
        <v>98</v>
      </c>
      <c r="F135" s="27" t="s">
        <v>105</v>
      </c>
      <c r="G135" s="27" t="s">
        <v>50</v>
      </c>
      <c r="H135" s="27" t="s">
        <v>51</v>
      </c>
      <c r="I135" s="27" t="s">
        <v>257</v>
      </c>
      <c r="J135" s="27" t="s">
        <v>74</v>
      </c>
      <c r="K135" s="27">
        <v>823</v>
      </c>
      <c r="L135" s="27">
        <v>839</v>
      </c>
      <c r="M135" s="27">
        <v>787</v>
      </c>
      <c r="N135" s="27">
        <v>52</v>
      </c>
      <c r="O135" s="27">
        <v>14</v>
      </c>
      <c r="P135" s="27">
        <v>7</v>
      </c>
      <c r="Q135" s="27" t="s">
        <v>75</v>
      </c>
      <c r="R135" s="27">
        <v>42</v>
      </c>
      <c r="S135" s="27">
        <v>46</v>
      </c>
      <c r="T135" s="29">
        <v>73.599999999999994</v>
      </c>
      <c r="U135" s="29">
        <v>2</v>
      </c>
      <c r="V135" s="29">
        <v>27.37</v>
      </c>
      <c r="W135" s="30">
        <v>15443.56</v>
      </c>
      <c r="X135" s="27">
        <v>10.28</v>
      </c>
      <c r="Y135" s="27" t="s">
        <v>110</v>
      </c>
      <c r="Z135" s="29">
        <v>38</v>
      </c>
      <c r="AA135" s="30">
        <v>25369.95</v>
      </c>
      <c r="AB135" s="29">
        <v>0.93802145411203797</v>
      </c>
      <c r="AC135" s="30">
        <v>20315.89</v>
      </c>
      <c r="AD135" s="30">
        <v>257.69945172824799</v>
      </c>
      <c r="AE135" s="27">
        <v>576.1</v>
      </c>
      <c r="AF135" s="29">
        <v>0.98784933171324396</v>
      </c>
      <c r="AG135" s="30">
        <v>4796.3605482717503</v>
      </c>
      <c r="AH135" s="31">
        <f t="shared" si="33"/>
        <v>1.0194410692588092</v>
      </c>
      <c r="AI135" s="31">
        <f t="shared" si="34"/>
        <v>6.197854588796186E-2</v>
      </c>
      <c r="AJ135" s="31">
        <f t="shared" si="35"/>
        <v>1.6686531585220502E-2</v>
      </c>
      <c r="AK135" s="31">
        <f t="shared" si="36"/>
        <v>0.93802145411203819</v>
      </c>
      <c r="AL135" s="29">
        <f t="shared" si="37"/>
        <v>0.11666666666666667</v>
      </c>
      <c r="AM135" s="29">
        <f t="shared" si="38"/>
        <v>569.1</v>
      </c>
      <c r="AN135" s="29">
        <f t="shared" si="39"/>
        <v>1.4742575997188543</v>
      </c>
      <c r="AO135" s="29">
        <f t="shared" si="40"/>
        <v>1.4285714285714286</v>
      </c>
      <c r="AP135" s="31">
        <f t="shared" si="41"/>
        <v>1.031980319803198</v>
      </c>
      <c r="AQ135" s="31">
        <f t="shared" si="42"/>
        <v>0.93802145411203819</v>
      </c>
      <c r="AR135" s="31">
        <f t="shared" si="43"/>
        <v>0.95625759416767897</v>
      </c>
      <c r="AS135" s="29">
        <f t="shared" si="44"/>
        <v>24.21441001191895</v>
      </c>
      <c r="AT135" s="29">
        <f t="shared" si="45"/>
        <v>5.7167586987744343</v>
      </c>
      <c r="AU135" s="27" t="str">
        <f t="shared" si="46"/>
        <v>Medium</v>
      </c>
      <c r="AV135" s="27" t="str">
        <f t="shared" si="47"/>
        <v>Normal</v>
      </c>
      <c r="AW135" s="27"/>
    </row>
    <row r="136" spans="1:49" x14ac:dyDescent="0.25">
      <c r="A136" s="27">
        <v>135</v>
      </c>
      <c r="B136" s="28">
        <v>46156</v>
      </c>
      <c r="C136" s="28" t="str">
        <f t="shared" si="32"/>
        <v>May</v>
      </c>
      <c r="D136" s="27" t="s">
        <v>67</v>
      </c>
      <c r="E136" s="27" t="s">
        <v>48</v>
      </c>
      <c r="F136" s="27" t="s">
        <v>56</v>
      </c>
      <c r="G136" s="27" t="s">
        <v>50</v>
      </c>
      <c r="H136" s="27" t="s">
        <v>124</v>
      </c>
      <c r="I136" s="27" t="s">
        <v>258</v>
      </c>
      <c r="J136" s="27" t="s">
        <v>53</v>
      </c>
      <c r="K136" s="27">
        <v>756</v>
      </c>
      <c r="L136" s="27">
        <v>779</v>
      </c>
      <c r="M136" s="27">
        <v>735</v>
      </c>
      <c r="N136" s="27">
        <v>44</v>
      </c>
      <c r="O136" s="27">
        <v>13</v>
      </c>
      <c r="P136" s="27">
        <v>0</v>
      </c>
      <c r="Q136" s="27" t="s">
        <v>60</v>
      </c>
      <c r="R136" s="27">
        <v>57</v>
      </c>
      <c r="S136" s="27">
        <v>62</v>
      </c>
      <c r="T136" s="29">
        <v>65</v>
      </c>
      <c r="U136" s="29">
        <v>2.0099999999999998</v>
      </c>
      <c r="V136" s="29">
        <v>23.56</v>
      </c>
      <c r="W136" s="30">
        <v>21726.47</v>
      </c>
      <c r="X136" s="27">
        <v>9.73</v>
      </c>
      <c r="Y136" s="27" t="s">
        <v>66</v>
      </c>
      <c r="Z136" s="29">
        <v>27</v>
      </c>
      <c r="AA136" s="30">
        <v>33598.61</v>
      </c>
      <c r="AB136" s="29">
        <v>0.94351732991014103</v>
      </c>
      <c r="AC136" s="30">
        <v>26317.01</v>
      </c>
      <c r="AD136" s="30">
        <v>362.572670089859</v>
      </c>
      <c r="AE136" s="27">
        <v>718.2</v>
      </c>
      <c r="AF136" s="29">
        <v>1</v>
      </c>
      <c r="AG136" s="30">
        <v>6919.02732991014</v>
      </c>
      <c r="AH136" s="31">
        <f t="shared" si="33"/>
        <v>1.0304232804232805</v>
      </c>
      <c r="AI136" s="31">
        <f t="shared" si="34"/>
        <v>5.6482670089858793E-2</v>
      </c>
      <c r="AJ136" s="31">
        <f t="shared" si="35"/>
        <v>1.668806161745828E-2</v>
      </c>
      <c r="AK136" s="31">
        <f t="shared" si="36"/>
        <v>0.94351732991014126</v>
      </c>
      <c r="AL136" s="29">
        <f t="shared" si="37"/>
        <v>0</v>
      </c>
      <c r="AM136" s="29">
        <f t="shared" si="38"/>
        <v>718.2</v>
      </c>
      <c r="AN136" s="29">
        <f t="shared" si="39"/>
        <v>1.0846560846560847</v>
      </c>
      <c r="AO136" s="29">
        <f t="shared" si="40"/>
        <v>1.0526315789473684</v>
      </c>
      <c r="AP136" s="31">
        <f t="shared" si="41"/>
        <v>1.0304232804232805</v>
      </c>
      <c r="AQ136" s="31">
        <f t="shared" si="42"/>
        <v>0.94351732991014126</v>
      </c>
      <c r="AR136" s="31">
        <f t="shared" si="43"/>
        <v>0.97222222222222232</v>
      </c>
      <c r="AS136" s="29">
        <f t="shared" si="44"/>
        <v>33.783068035943515</v>
      </c>
      <c r="AT136" s="29">
        <f t="shared" si="45"/>
        <v>8.8819349549552502</v>
      </c>
      <c r="AU136" s="27" t="str">
        <f t="shared" si="46"/>
        <v>Low</v>
      </c>
      <c r="AV136" s="27" t="str">
        <f t="shared" si="47"/>
        <v>Normal</v>
      </c>
      <c r="AW136" s="27"/>
    </row>
    <row r="137" spans="1:49" x14ac:dyDescent="0.25">
      <c r="A137" s="27">
        <v>136</v>
      </c>
      <c r="B137" s="28">
        <v>46107</v>
      </c>
      <c r="C137" s="28" t="str">
        <f t="shared" si="32"/>
        <v>March</v>
      </c>
      <c r="D137" s="27" t="s">
        <v>47</v>
      </c>
      <c r="E137" s="27" t="s">
        <v>48</v>
      </c>
      <c r="F137" s="27" t="s">
        <v>49</v>
      </c>
      <c r="G137" s="27" t="s">
        <v>63</v>
      </c>
      <c r="H137" s="27" t="s">
        <v>79</v>
      </c>
      <c r="I137" s="27" t="s">
        <v>259</v>
      </c>
      <c r="J137" s="27" t="s">
        <v>155</v>
      </c>
      <c r="K137" s="27">
        <v>630</v>
      </c>
      <c r="L137" s="27">
        <v>557</v>
      </c>
      <c r="M137" s="27">
        <v>535</v>
      </c>
      <c r="N137" s="27">
        <v>22</v>
      </c>
      <c r="O137" s="27">
        <v>6</v>
      </c>
      <c r="P137" s="27">
        <v>32</v>
      </c>
      <c r="Q137" s="27" t="s">
        <v>82</v>
      </c>
      <c r="R137" s="27">
        <v>49</v>
      </c>
      <c r="S137" s="27">
        <v>53</v>
      </c>
      <c r="T137" s="29">
        <v>66.7</v>
      </c>
      <c r="U137" s="29">
        <v>0.95</v>
      </c>
      <c r="V137" s="29">
        <v>23.09</v>
      </c>
      <c r="W137" s="30">
        <v>11990.59</v>
      </c>
      <c r="X137" s="27">
        <v>8.49</v>
      </c>
      <c r="Y137" s="27" t="s">
        <v>71</v>
      </c>
      <c r="Z137" s="29">
        <v>41</v>
      </c>
      <c r="AA137" s="30">
        <v>19829.009999999998</v>
      </c>
      <c r="AB137" s="29">
        <v>0.96050269299820501</v>
      </c>
      <c r="AC137" s="30">
        <v>16018.9</v>
      </c>
      <c r="AD137" s="30">
        <v>129.16254937163399</v>
      </c>
      <c r="AE137" s="27">
        <v>514.5</v>
      </c>
      <c r="AF137" s="29">
        <v>0.93780369290573395</v>
      </c>
      <c r="AG137" s="30">
        <v>3680.94745062837</v>
      </c>
      <c r="AH137" s="31">
        <f t="shared" si="33"/>
        <v>0.88412698412698409</v>
      </c>
      <c r="AI137" s="31">
        <f t="shared" si="34"/>
        <v>3.949730700179533E-2</v>
      </c>
      <c r="AJ137" s="31">
        <f t="shared" si="35"/>
        <v>1.0771992818671455E-2</v>
      </c>
      <c r="AK137" s="31">
        <f t="shared" si="36"/>
        <v>0.96050269299820468</v>
      </c>
      <c r="AL137" s="29">
        <f t="shared" si="37"/>
        <v>0.53333333333333333</v>
      </c>
      <c r="AM137" s="29">
        <f t="shared" si="38"/>
        <v>482.5</v>
      </c>
      <c r="AN137" s="29">
        <f t="shared" si="39"/>
        <v>1.1544041450777203</v>
      </c>
      <c r="AO137" s="29">
        <f t="shared" si="40"/>
        <v>1.2244897959183674</v>
      </c>
      <c r="AP137" s="31">
        <f t="shared" si="41"/>
        <v>0.94276338514680491</v>
      </c>
      <c r="AQ137" s="31">
        <f t="shared" si="42"/>
        <v>0.96050269299820468</v>
      </c>
      <c r="AR137" s="31">
        <f t="shared" si="43"/>
        <v>0.84920634920634952</v>
      </c>
      <c r="AS137" s="29">
        <f t="shared" si="44"/>
        <v>28.759245960502692</v>
      </c>
      <c r="AT137" s="29">
        <f t="shared" si="45"/>
        <v>6.6085232506792995</v>
      </c>
      <c r="AU137" s="27" t="str">
        <f t="shared" si="46"/>
        <v>High</v>
      </c>
      <c r="AV137" s="27" t="str">
        <f t="shared" si="47"/>
        <v>Warning</v>
      </c>
      <c r="AW137" s="27"/>
    </row>
    <row r="138" spans="1:49" x14ac:dyDescent="0.25">
      <c r="A138" s="27">
        <v>137</v>
      </c>
      <c r="B138" s="28">
        <v>46136</v>
      </c>
      <c r="C138" s="28" t="str">
        <f t="shared" si="32"/>
        <v>April</v>
      </c>
      <c r="D138" s="27" t="s">
        <v>47</v>
      </c>
      <c r="E138" s="27" t="s">
        <v>61</v>
      </c>
      <c r="F138" s="27" t="s">
        <v>95</v>
      </c>
      <c r="G138" s="27" t="s">
        <v>63</v>
      </c>
      <c r="H138" s="27" t="s">
        <v>124</v>
      </c>
      <c r="I138" s="27" t="s">
        <v>260</v>
      </c>
      <c r="J138" s="27" t="s">
        <v>155</v>
      </c>
      <c r="K138" s="27">
        <v>730</v>
      </c>
      <c r="L138" s="27">
        <v>686</v>
      </c>
      <c r="M138" s="27">
        <v>644</v>
      </c>
      <c r="N138" s="27">
        <v>42</v>
      </c>
      <c r="O138" s="27">
        <v>10</v>
      </c>
      <c r="P138" s="27">
        <v>16</v>
      </c>
      <c r="Q138" s="27" t="s">
        <v>91</v>
      </c>
      <c r="R138" s="27">
        <v>57</v>
      </c>
      <c r="S138" s="27">
        <v>58</v>
      </c>
      <c r="T138" s="29">
        <v>66</v>
      </c>
      <c r="U138" s="29">
        <v>1.82</v>
      </c>
      <c r="V138" s="29">
        <v>20.3</v>
      </c>
      <c r="W138" s="30">
        <v>17847.560000000001</v>
      </c>
      <c r="X138" s="27">
        <v>7.88</v>
      </c>
      <c r="Y138" s="27" t="s">
        <v>55</v>
      </c>
      <c r="Z138" s="29">
        <v>25</v>
      </c>
      <c r="AA138" s="30">
        <v>29390</v>
      </c>
      <c r="AB138" s="29">
        <v>0.93877551020408201</v>
      </c>
      <c r="AC138" s="30">
        <v>21576.26</v>
      </c>
      <c r="AD138" s="30">
        <v>260.168513119534</v>
      </c>
      <c r="AE138" s="27">
        <v>693.5</v>
      </c>
      <c r="AF138" s="29">
        <v>0.97692862292718097</v>
      </c>
      <c r="AG138" s="30">
        <v>7553.5714868804598</v>
      </c>
      <c r="AH138" s="31">
        <f t="shared" si="33"/>
        <v>0.9397260273972603</v>
      </c>
      <c r="AI138" s="31">
        <f t="shared" si="34"/>
        <v>6.1224489795918366E-2</v>
      </c>
      <c r="AJ138" s="31">
        <f t="shared" si="35"/>
        <v>1.4577259475218658E-2</v>
      </c>
      <c r="AK138" s="31">
        <f t="shared" si="36"/>
        <v>0.93877551020408168</v>
      </c>
      <c r="AL138" s="29">
        <f t="shared" si="37"/>
        <v>0.26666666666666666</v>
      </c>
      <c r="AM138" s="29">
        <f t="shared" si="38"/>
        <v>677.5</v>
      </c>
      <c r="AN138" s="29">
        <f t="shared" si="39"/>
        <v>1.0125461254612547</v>
      </c>
      <c r="AO138" s="29">
        <f t="shared" si="40"/>
        <v>1.0526315789473684</v>
      </c>
      <c r="AP138" s="31">
        <f t="shared" si="41"/>
        <v>0.961918819188192</v>
      </c>
      <c r="AQ138" s="31">
        <f t="shared" si="42"/>
        <v>0.93877551020408168</v>
      </c>
      <c r="AR138" s="31">
        <f t="shared" si="43"/>
        <v>0.88219178082191796</v>
      </c>
      <c r="AS138" s="29">
        <f t="shared" si="44"/>
        <v>31.452274052478131</v>
      </c>
      <c r="AT138" s="29">
        <f t="shared" si="45"/>
        <v>11.011037152886967</v>
      </c>
      <c r="AU138" s="27" t="str">
        <f t="shared" si="46"/>
        <v>Low</v>
      </c>
      <c r="AV138" s="27" t="str">
        <f t="shared" si="47"/>
        <v>Normal</v>
      </c>
      <c r="AW138" s="27"/>
    </row>
    <row r="139" spans="1:49" x14ac:dyDescent="0.25">
      <c r="A139" s="27">
        <v>138</v>
      </c>
      <c r="B139" s="28">
        <v>46141</v>
      </c>
      <c r="C139" s="28" t="str">
        <f t="shared" si="32"/>
        <v>April</v>
      </c>
      <c r="D139" s="27" t="s">
        <v>67</v>
      </c>
      <c r="E139" s="27" t="s">
        <v>48</v>
      </c>
      <c r="F139" s="27" t="s">
        <v>49</v>
      </c>
      <c r="G139" s="27" t="s">
        <v>50</v>
      </c>
      <c r="H139" s="27" t="s">
        <v>79</v>
      </c>
      <c r="I139" s="27" t="s">
        <v>261</v>
      </c>
      <c r="J139" s="27" t="s">
        <v>218</v>
      </c>
      <c r="K139" s="27">
        <v>710</v>
      </c>
      <c r="L139" s="27">
        <v>798</v>
      </c>
      <c r="M139" s="27">
        <v>757</v>
      </c>
      <c r="N139" s="27">
        <v>41</v>
      </c>
      <c r="O139" s="27">
        <v>8</v>
      </c>
      <c r="P139" s="27">
        <v>0</v>
      </c>
      <c r="Q139" s="27" t="s">
        <v>60</v>
      </c>
      <c r="R139" s="27">
        <v>49</v>
      </c>
      <c r="S139" s="27">
        <v>49</v>
      </c>
      <c r="T139" s="29">
        <v>74</v>
      </c>
      <c r="U139" s="29">
        <v>1.76</v>
      </c>
      <c r="V139" s="29">
        <v>22.63</v>
      </c>
      <c r="W139" s="30">
        <v>18301.400000000001</v>
      </c>
      <c r="X139" s="27">
        <v>10.98</v>
      </c>
      <c r="Y139" s="27" t="s">
        <v>55</v>
      </c>
      <c r="Z139" s="29">
        <v>20</v>
      </c>
      <c r="AA139" s="30">
        <v>28285.06</v>
      </c>
      <c r="AB139" s="29">
        <v>0.94862155388471203</v>
      </c>
      <c r="AC139" s="30">
        <v>23446.07</v>
      </c>
      <c r="AD139" s="30">
        <v>183.47268170426099</v>
      </c>
      <c r="AE139" s="27">
        <v>579.83333333333303</v>
      </c>
      <c r="AF139" s="29">
        <v>1</v>
      </c>
      <c r="AG139" s="30">
        <v>4655.5173182957396</v>
      </c>
      <c r="AH139" s="31">
        <f t="shared" si="33"/>
        <v>1.123943661971831</v>
      </c>
      <c r="AI139" s="31">
        <f t="shared" si="34"/>
        <v>5.1378446115288218E-2</v>
      </c>
      <c r="AJ139" s="31">
        <f t="shared" si="35"/>
        <v>1.0025062656641603E-2</v>
      </c>
      <c r="AK139" s="31">
        <f t="shared" si="36"/>
        <v>0.94862155388471181</v>
      </c>
      <c r="AL139" s="29">
        <f t="shared" si="37"/>
        <v>0</v>
      </c>
      <c r="AM139" s="29">
        <f t="shared" si="38"/>
        <v>579.83333333333303</v>
      </c>
      <c r="AN139" s="29">
        <f t="shared" si="39"/>
        <v>1.3762575452716306</v>
      </c>
      <c r="AO139" s="29">
        <f t="shared" si="40"/>
        <v>1.2244897959183674</v>
      </c>
      <c r="AP139" s="31">
        <f t="shared" si="41"/>
        <v>1.1239436619718317</v>
      </c>
      <c r="AQ139" s="31">
        <f t="shared" si="42"/>
        <v>0.94862155388471181</v>
      </c>
      <c r="AR139" s="31">
        <f t="shared" si="43"/>
        <v>1.0661971830985923</v>
      </c>
      <c r="AS139" s="29">
        <f t="shared" si="44"/>
        <v>29.381040100250626</v>
      </c>
      <c r="AT139" s="29">
        <f t="shared" si="45"/>
        <v>5.8339816018743607</v>
      </c>
      <c r="AU139" s="27" t="str">
        <f t="shared" si="46"/>
        <v>Low</v>
      </c>
      <c r="AV139" s="27" t="str">
        <f t="shared" si="47"/>
        <v>Normal</v>
      </c>
      <c r="AW139" s="27"/>
    </row>
    <row r="140" spans="1:49" x14ac:dyDescent="0.25">
      <c r="A140" s="27">
        <v>139</v>
      </c>
      <c r="B140" s="28">
        <v>46080</v>
      </c>
      <c r="C140" s="28" t="str">
        <f t="shared" si="32"/>
        <v>February</v>
      </c>
      <c r="D140" s="27" t="s">
        <v>47</v>
      </c>
      <c r="E140" s="27" t="s">
        <v>129</v>
      </c>
      <c r="F140" s="27" t="s">
        <v>130</v>
      </c>
      <c r="G140" s="27" t="s">
        <v>50</v>
      </c>
      <c r="H140" s="27" t="s">
        <v>51</v>
      </c>
      <c r="I140" s="27" t="s">
        <v>262</v>
      </c>
      <c r="J140" s="27" t="s">
        <v>132</v>
      </c>
      <c r="K140" s="27">
        <v>962</v>
      </c>
      <c r="L140" s="27">
        <v>965</v>
      </c>
      <c r="M140" s="27">
        <v>857</v>
      </c>
      <c r="N140" s="27">
        <v>108</v>
      </c>
      <c r="O140" s="27">
        <v>27</v>
      </c>
      <c r="P140" s="27">
        <v>10</v>
      </c>
      <c r="Q140" s="27" t="s">
        <v>102</v>
      </c>
      <c r="R140" s="27">
        <v>42</v>
      </c>
      <c r="S140" s="27">
        <v>48</v>
      </c>
      <c r="T140" s="29">
        <v>71.599999999999994</v>
      </c>
      <c r="U140" s="29">
        <v>2.94</v>
      </c>
      <c r="V140" s="29">
        <v>34.15</v>
      </c>
      <c r="W140" s="30">
        <v>18033.5</v>
      </c>
      <c r="X140" s="27">
        <v>7.25</v>
      </c>
      <c r="Y140" s="27" t="s">
        <v>71</v>
      </c>
      <c r="Z140" s="29">
        <v>19</v>
      </c>
      <c r="AA140" s="30">
        <v>28191.57</v>
      </c>
      <c r="AB140" s="29">
        <v>0.88808290155440395</v>
      </c>
      <c r="AC140" s="30">
        <v>21603.35</v>
      </c>
      <c r="AD140" s="30">
        <v>504.56424870466299</v>
      </c>
      <c r="AE140" s="27">
        <v>673.4</v>
      </c>
      <c r="AF140" s="29">
        <v>0.98514998514998497</v>
      </c>
      <c r="AG140" s="30">
        <v>6083.6557512953405</v>
      </c>
      <c r="AH140" s="31">
        <f t="shared" si="33"/>
        <v>1.003118503118503</v>
      </c>
      <c r="AI140" s="31">
        <f t="shared" si="34"/>
        <v>0.11191709844559586</v>
      </c>
      <c r="AJ140" s="31">
        <f t="shared" si="35"/>
        <v>2.7979274611398965E-2</v>
      </c>
      <c r="AK140" s="31">
        <f t="shared" si="36"/>
        <v>0.88808290155440417</v>
      </c>
      <c r="AL140" s="29">
        <f t="shared" si="37"/>
        <v>0.16666666666666666</v>
      </c>
      <c r="AM140" s="29">
        <f t="shared" si="38"/>
        <v>663.4</v>
      </c>
      <c r="AN140" s="29">
        <f t="shared" si="39"/>
        <v>1.4546276756104914</v>
      </c>
      <c r="AO140" s="29">
        <f t="shared" si="40"/>
        <v>1.4285714285714286</v>
      </c>
      <c r="AP140" s="31">
        <f t="shared" si="41"/>
        <v>1.018239372927344</v>
      </c>
      <c r="AQ140" s="31">
        <f t="shared" si="42"/>
        <v>0.88808290155440417</v>
      </c>
      <c r="AR140" s="31">
        <f t="shared" si="43"/>
        <v>0.89085239085239076</v>
      </c>
      <c r="AS140" s="29">
        <f t="shared" si="44"/>
        <v>22.386891191709843</v>
      </c>
      <c r="AT140" s="29">
        <f t="shared" si="45"/>
        <v>6.3043064780262599</v>
      </c>
      <c r="AU140" s="27" t="str">
        <f t="shared" si="46"/>
        <v>High</v>
      </c>
      <c r="AV140" s="27" t="str">
        <f t="shared" si="47"/>
        <v>Warning</v>
      </c>
      <c r="AW140" s="27"/>
    </row>
    <row r="141" spans="1:49" x14ac:dyDescent="0.25">
      <c r="A141" s="27">
        <v>140</v>
      </c>
      <c r="B141" s="28">
        <v>46118</v>
      </c>
      <c r="C141" s="28" t="str">
        <f t="shared" si="32"/>
        <v>April</v>
      </c>
      <c r="D141" s="27" t="s">
        <v>67</v>
      </c>
      <c r="E141" s="27" t="s">
        <v>129</v>
      </c>
      <c r="F141" s="27" t="s">
        <v>130</v>
      </c>
      <c r="G141" s="27" t="s">
        <v>50</v>
      </c>
      <c r="H141" s="27" t="s">
        <v>51</v>
      </c>
      <c r="I141" s="27" t="s">
        <v>263</v>
      </c>
      <c r="J141" s="27" t="s">
        <v>109</v>
      </c>
      <c r="K141" s="27">
        <v>886</v>
      </c>
      <c r="L141" s="27">
        <v>809</v>
      </c>
      <c r="M141" s="27">
        <v>684</v>
      </c>
      <c r="N141" s="27">
        <v>125</v>
      </c>
      <c r="O141" s="27">
        <v>23</v>
      </c>
      <c r="P141" s="27">
        <v>27</v>
      </c>
      <c r="Q141" s="27" t="s">
        <v>54</v>
      </c>
      <c r="R141" s="27">
        <v>42</v>
      </c>
      <c r="S141" s="27">
        <v>45</v>
      </c>
      <c r="T141" s="29">
        <v>83.4</v>
      </c>
      <c r="U141" s="29">
        <v>4.07</v>
      </c>
      <c r="V141" s="29">
        <v>29.15</v>
      </c>
      <c r="W141" s="30">
        <v>15697.31</v>
      </c>
      <c r="X141" s="27">
        <v>7.79</v>
      </c>
      <c r="Y141" s="27" t="s">
        <v>71</v>
      </c>
      <c r="Z141" s="29">
        <v>62</v>
      </c>
      <c r="AA141" s="30">
        <v>21997.03</v>
      </c>
      <c r="AB141" s="29">
        <v>0.84548825710754005</v>
      </c>
      <c r="AC141" s="30">
        <v>19465.16</v>
      </c>
      <c r="AD141" s="30">
        <v>446.27704573547601</v>
      </c>
      <c r="AE141" s="27">
        <v>620.20000000000005</v>
      </c>
      <c r="AF141" s="29">
        <v>0.95646565623992297</v>
      </c>
      <c r="AG141" s="30">
        <v>2085.5929542645299</v>
      </c>
      <c r="AH141" s="31">
        <f t="shared" si="33"/>
        <v>0.91309255079006768</v>
      </c>
      <c r="AI141" s="31">
        <f t="shared" si="34"/>
        <v>0.15451174289245984</v>
      </c>
      <c r="AJ141" s="31">
        <f t="shared" si="35"/>
        <v>2.843016069221261E-2</v>
      </c>
      <c r="AK141" s="31">
        <f t="shared" si="36"/>
        <v>0.84548825710754016</v>
      </c>
      <c r="AL141" s="29">
        <f t="shared" si="37"/>
        <v>0.45</v>
      </c>
      <c r="AM141" s="29">
        <f t="shared" si="38"/>
        <v>593.20000000000005</v>
      </c>
      <c r="AN141" s="29">
        <f t="shared" si="39"/>
        <v>1.3637896156439648</v>
      </c>
      <c r="AO141" s="29">
        <f t="shared" si="40"/>
        <v>1.4285714285714286</v>
      </c>
      <c r="AP141" s="31">
        <f t="shared" si="41"/>
        <v>0.95465273095077541</v>
      </c>
      <c r="AQ141" s="31">
        <f t="shared" si="42"/>
        <v>0.84548825710754016</v>
      </c>
      <c r="AR141" s="31">
        <f t="shared" si="43"/>
        <v>0.77200902934537274</v>
      </c>
      <c r="AS141" s="29">
        <f t="shared" si="44"/>
        <v>24.060766378244747</v>
      </c>
      <c r="AT141" s="29">
        <f t="shared" si="45"/>
        <v>2.5779888186211743</v>
      </c>
      <c r="AU141" s="27" t="str">
        <f t="shared" si="46"/>
        <v>High</v>
      </c>
      <c r="AV141" s="27" t="str">
        <f t="shared" si="47"/>
        <v>Critical</v>
      </c>
      <c r="AW141" s="27"/>
    </row>
    <row r="142" spans="1:49" x14ac:dyDescent="0.25">
      <c r="A142" s="27">
        <v>141</v>
      </c>
      <c r="B142" s="28">
        <v>46169</v>
      </c>
      <c r="C142" s="28" t="str">
        <f t="shared" si="32"/>
        <v>May</v>
      </c>
      <c r="D142" s="27" t="s">
        <v>47</v>
      </c>
      <c r="E142" s="27" t="s">
        <v>129</v>
      </c>
      <c r="F142" s="27" t="s">
        <v>130</v>
      </c>
      <c r="G142" s="27" t="s">
        <v>63</v>
      </c>
      <c r="H142" s="27" t="s">
        <v>57</v>
      </c>
      <c r="I142" s="27" t="s">
        <v>264</v>
      </c>
      <c r="J142" s="27" t="s">
        <v>84</v>
      </c>
      <c r="K142" s="27">
        <v>863</v>
      </c>
      <c r="L142" s="27">
        <v>771</v>
      </c>
      <c r="M142" s="27">
        <v>632</v>
      </c>
      <c r="N142" s="27">
        <v>139</v>
      </c>
      <c r="O142" s="27">
        <v>35</v>
      </c>
      <c r="P142" s="27">
        <v>21</v>
      </c>
      <c r="Q142" s="27" t="s">
        <v>54</v>
      </c>
      <c r="R142" s="27">
        <v>45</v>
      </c>
      <c r="S142" s="27">
        <v>46</v>
      </c>
      <c r="T142" s="29">
        <v>89.9</v>
      </c>
      <c r="U142" s="29">
        <v>3.59</v>
      </c>
      <c r="V142" s="29">
        <v>30.5</v>
      </c>
      <c r="W142" s="30">
        <v>15351.36</v>
      </c>
      <c r="X142" s="27">
        <v>7.3</v>
      </c>
      <c r="Y142" s="27" t="s">
        <v>71</v>
      </c>
      <c r="Z142" s="29">
        <v>58</v>
      </c>
      <c r="AA142" s="30">
        <v>22080.9</v>
      </c>
      <c r="AB142" s="29">
        <v>0.81971465629053197</v>
      </c>
      <c r="AC142" s="30">
        <v>18910.86</v>
      </c>
      <c r="AD142" s="30">
        <v>696.88404669260694</v>
      </c>
      <c r="AE142" s="27">
        <v>647.25</v>
      </c>
      <c r="AF142" s="29">
        <v>0.96755504055619901</v>
      </c>
      <c r="AG142" s="30">
        <v>2473.1559533073901</v>
      </c>
      <c r="AH142" s="31">
        <f t="shared" si="33"/>
        <v>0.89339513325608344</v>
      </c>
      <c r="AI142" s="31">
        <f t="shared" si="34"/>
        <v>0.18028534370946822</v>
      </c>
      <c r="AJ142" s="31">
        <f t="shared" si="35"/>
        <v>4.5395590142671853E-2</v>
      </c>
      <c r="AK142" s="31">
        <f t="shared" si="36"/>
        <v>0.81971465629053175</v>
      </c>
      <c r="AL142" s="29">
        <f t="shared" si="37"/>
        <v>0.35</v>
      </c>
      <c r="AM142" s="29">
        <f t="shared" si="38"/>
        <v>626.25</v>
      </c>
      <c r="AN142" s="29">
        <f t="shared" si="39"/>
        <v>1.2311377245508981</v>
      </c>
      <c r="AO142" s="29">
        <f t="shared" si="40"/>
        <v>1.3333333333333333</v>
      </c>
      <c r="AP142" s="31">
        <f t="shared" si="41"/>
        <v>0.92335329341317363</v>
      </c>
      <c r="AQ142" s="31">
        <f t="shared" si="42"/>
        <v>0.81971465629053175</v>
      </c>
      <c r="AR142" s="31">
        <f t="shared" si="43"/>
        <v>0.73232908458864399</v>
      </c>
      <c r="AS142" s="29">
        <f t="shared" si="44"/>
        <v>24.527704280155643</v>
      </c>
      <c r="AT142" s="29">
        <f t="shared" si="45"/>
        <v>3.207724971864319</v>
      </c>
      <c r="AU142" s="27" t="str">
        <f t="shared" si="46"/>
        <v>High</v>
      </c>
      <c r="AV142" s="27" t="str">
        <f t="shared" si="47"/>
        <v>Critical</v>
      </c>
      <c r="AW142" s="27"/>
    </row>
    <row r="143" spans="1:49" x14ac:dyDescent="0.25">
      <c r="A143" s="27">
        <v>142</v>
      </c>
      <c r="B143" s="28">
        <v>46185</v>
      </c>
      <c r="C143" s="28" t="str">
        <f t="shared" si="32"/>
        <v>June</v>
      </c>
      <c r="D143" s="27" t="s">
        <v>47</v>
      </c>
      <c r="E143" s="27" t="s">
        <v>61</v>
      </c>
      <c r="F143" s="27" t="s">
        <v>88</v>
      </c>
      <c r="G143" s="27" t="s">
        <v>63</v>
      </c>
      <c r="H143" s="27" t="s">
        <v>68</v>
      </c>
      <c r="I143" s="27" t="s">
        <v>265</v>
      </c>
      <c r="J143" s="27" t="s">
        <v>90</v>
      </c>
      <c r="K143" s="27">
        <v>585</v>
      </c>
      <c r="L143" s="27">
        <v>554</v>
      </c>
      <c r="M143" s="27">
        <v>526</v>
      </c>
      <c r="N143" s="27">
        <v>28</v>
      </c>
      <c r="O143" s="27">
        <v>8</v>
      </c>
      <c r="P143" s="27">
        <v>49</v>
      </c>
      <c r="Q143" s="27" t="s">
        <v>54</v>
      </c>
      <c r="R143" s="27">
        <v>64</v>
      </c>
      <c r="S143" s="27">
        <v>63</v>
      </c>
      <c r="T143" s="29">
        <v>66.5</v>
      </c>
      <c r="U143" s="29">
        <v>2.35</v>
      </c>
      <c r="V143" s="29">
        <v>20.91</v>
      </c>
      <c r="W143" s="30">
        <v>17748.86</v>
      </c>
      <c r="X143" s="27">
        <v>8.34</v>
      </c>
      <c r="Y143" s="27" t="s">
        <v>66</v>
      </c>
      <c r="Z143" s="29">
        <v>16</v>
      </c>
      <c r="AA143" s="30">
        <v>26821.63</v>
      </c>
      <c r="AB143" s="29">
        <v>0.94945848375451303</v>
      </c>
      <c r="AC143" s="30">
        <v>21690.05</v>
      </c>
      <c r="AD143" s="30">
        <v>256.30122743682301</v>
      </c>
      <c r="AE143" s="27">
        <v>624</v>
      </c>
      <c r="AF143" s="29">
        <v>0.92147435897435903</v>
      </c>
      <c r="AG143" s="30">
        <v>4875.2787725631797</v>
      </c>
      <c r="AH143" s="31">
        <f t="shared" si="33"/>
        <v>0.94700854700854697</v>
      </c>
      <c r="AI143" s="31">
        <f t="shared" si="34"/>
        <v>5.0541516245487361E-2</v>
      </c>
      <c r="AJ143" s="31">
        <f t="shared" si="35"/>
        <v>1.444043321299639E-2</v>
      </c>
      <c r="AK143" s="31">
        <f t="shared" si="36"/>
        <v>0.94945848375451258</v>
      </c>
      <c r="AL143" s="29">
        <f t="shared" si="37"/>
        <v>0.81666666666666665</v>
      </c>
      <c r="AM143" s="29">
        <f t="shared" si="38"/>
        <v>575</v>
      </c>
      <c r="AN143" s="29">
        <f t="shared" si="39"/>
        <v>0.96347826086956523</v>
      </c>
      <c r="AO143" s="29">
        <f t="shared" si="40"/>
        <v>0.9375</v>
      </c>
      <c r="AP143" s="31">
        <f t="shared" si="41"/>
        <v>1.0277101449275363</v>
      </c>
      <c r="AQ143" s="31">
        <f t="shared" si="42"/>
        <v>0.94945848375451258</v>
      </c>
      <c r="AR143" s="31">
        <f t="shared" si="43"/>
        <v>0.89914529914529928</v>
      </c>
      <c r="AS143" s="29">
        <f t="shared" si="44"/>
        <v>39.151714801444044</v>
      </c>
      <c r="AT143" s="29">
        <f t="shared" si="45"/>
        <v>8.8001421887422016</v>
      </c>
      <c r="AU143" s="27" t="str">
        <f t="shared" si="46"/>
        <v>Low</v>
      </c>
      <c r="AV143" s="27" t="str">
        <f t="shared" si="47"/>
        <v>Normal</v>
      </c>
      <c r="AW143" s="27"/>
    </row>
    <row r="144" spans="1:49" x14ac:dyDescent="0.25">
      <c r="A144" s="27">
        <v>143</v>
      </c>
      <c r="B144" s="28">
        <v>46185</v>
      </c>
      <c r="C144" s="28" t="str">
        <f t="shared" si="32"/>
        <v>June</v>
      </c>
      <c r="D144" s="27" t="s">
        <v>47</v>
      </c>
      <c r="E144" s="27" t="s">
        <v>48</v>
      </c>
      <c r="F144" s="27" t="s">
        <v>56</v>
      </c>
      <c r="G144" s="27" t="s">
        <v>50</v>
      </c>
      <c r="H144" s="27" t="s">
        <v>57</v>
      </c>
      <c r="I144" s="27" t="s">
        <v>266</v>
      </c>
      <c r="J144" s="27" t="s">
        <v>65</v>
      </c>
      <c r="K144" s="27">
        <v>761</v>
      </c>
      <c r="L144" s="27">
        <v>713</v>
      </c>
      <c r="M144" s="27">
        <v>678</v>
      </c>
      <c r="N144" s="27">
        <v>35</v>
      </c>
      <c r="O144" s="27">
        <v>9</v>
      </c>
      <c r="P144" s="27">
        <v>14</v>
      </c>
      <c r="Q144" s="27" t="s">
        <v>102</v>
      </c>
      <c r="R144" s="27">
        <v>45</v>
      </c>
      <c r="S144" s="27">
        <v>47</v>
      </c>
      <c r="T144" s="29">
        <v>79.400000000000006</v>
      </c>
      <c r="U144" s="29">
        <v>1.98</v>
      </c>
      <c r="V144" s="29">
        <v>20.76</v>
      </c>
      <c r="W144" s="30">
        <v>15200.98</v>
      </c>
      <c r="X144" s="27">
        <v>7.34</v>
      </c>
      <c r="Y144" s="27" t="s">
        <v>110</v>
      </c>
      <c r="Z144" s="29">
        <v>24</v>
      </c>
      <c r="AA144" s="30">
        <v>23910.38</v>
      </c>
      <c r="AB144" s="29">
        <v>0.95091164095371705</v>
      </c>
      <c r="AC144" s="30">
        <v>18690.82</v>
      </c>
      <c r="AD144" s="30">
        <v>191.87772791023801</v>
      </c>
      <c r="AE144" s="27">
        <v>570.75</v>
      </c>
      <c r="AF144" s="29">
        <v>0.97547087166009605</v>
      </c>
      <c r="AG144" s="30">
        <v>5027.6822720897599</v>
      </c>
      <c r="AH144" s="31">
        <f t="shared" si="33"/>
        <v>0.93692509855453354</v>
      </c>
      <c r="AI144" s="31">
        <f t="shared" si="34"/>
        <v>4.9088359046283309E-2</v>
      </c>
      <c r="AJ144" s="31">
        <f t="shared" si="35"/>
        <v>1.2622720897615708E-2</v>
      </c>
      <c r="AK144" s="31">
        <f t="shared" si="36"/>
        <v>0.95091164095371672</v>
      </c>
      <c r="AL144" s="29">
        <f t="shared" si="37"/>
        <v>0.23333333333333334</v>
      </c>
      <c r="AM144" s="29">
        <f t="shared" si="38"/>
        <v>556.75</v>
      </c>
      <c r="AN144" s="29">
        <f t="shared" si="39"/>
        <v>1.2806466097889537</v>
      </c>
      <c r="AO144" s="29">
        <f t="shared" si="40"/>
        <v>1.3333333333333333</v>
      </c>
      <c r="AP144" s="31">
        <f t="shared" si="41"/>
        <v>0.96048495734171535</v>
      </c>
      <c r="AQ144" s="31">
        <f t="shared" si="42"/>
        <v>0.95091164095371672</v>
      </c>
      <c r="AR144" s="31">
        <f t="shared" si="43"/>
        <v>0.8909329829172139</v>
      </c>
      <c r="AS144" s="29">
        <f t="shared" si="44"/>
        <v>26.214333800841516</v>
      </c>
      <c r="AT144" s="29">
        <f t="shared" si="45"/>
        <v>7.0514477869421599</v>
      </c>
      <c r="AU144" s="27" t="str">
        <f t="shared" si="46"/>
        <v>Medium</v>
      </c>
      <c r="AV144" s="27" t="str">
        <f t="shared" si="47"/>
        <v>Normal</v>
      </c>
      <c r="AW144" s="27"/>
    </row>
    <row r="145" spans="1:49" x14ac:dyDescent="0.25">
      <c r="A145" s="27">
        <v>144</v>
      </c>
      <c r="B145" s="28">
        <v>46086</v>
      </c>
      <c r="C145" s="28" t="str">
        <f t="shared" si="32"/>
        <v>March</v>
      </c>
      <c r="D145" s="27" t="s">
        <v>47</v>
      </c>
      <c r="E145" s="27" t="s">
        <v>129</v>
      </c>
      <c r="F145" s="27" t="s">
        <v>151</v>
      </c>
      <c r="G145" s="27" t="s">
        <v>50</v>
      </c>
      <c r="H145" s="27" t="s">
        <v>79</v>
      </c>
      <c r="I145" s="27" t="s">
        <v>267</v>
      </c>
      <c r="J145" s="27" t="s">
        <v>121</v>
      </c>
      <c r="K145" s="27">
        <v>705</v>
      </c>
      <c r="L145" s="27">
        <v>584</v>
      </c>
      <c r="M145" s="27">
        <v>550</v>
      </c>
      <c r="N145" s="27">
        <v>34</v>
      </c>
      <c r="O145" s="27">
        <v>7</v>
      </c>
      <c r="P145" s="27">
        <v>59</v>
      </c>
      <c r="Q145" s="27" t="s">
        <v>104</v>
      </c>
      <c r="R145" s="27">
        <v>49</v>
      </c>
      <c r="S145" s="27">
        <v>51</v>
      </c>
      <c r="T145" s="29">
        <v>66.7</v>
      </c>
      <c r="U145" s="29">
        <v>2</v>
      </c>
      <c r="V145" s="29">
        <v>27.14</v>
      </c>
      <c r="W145" s="30">
        <v>13233.62</v>
      </c>
      <c r="X145" s="27">
        <v>6.41</v>
      </c>
      <c r="Y145" s="27" t="s">
        <v>71</v>
      </c>
      <c r="Z145" s="29">
        <v>26</v>
      </c>
      <c r="AA145" s="30">
        <v>21291.26</v>
      </c>
      <c r="AB145" s="29">
        <v>0.94178082191780799</v>
      </c>
      <c r="AC145" s="30">
        <v>16362.38</v>
      </c>
      <c r="AD145" s="30">
        <v>158.62215753424701</v>
      </c>
      <c r="AE145" s="27">
        <v>575.75</v>
      </c>
      <c r="AF145" s="29">
        <v>0.89752496743378196</v>
      </c>
      <c r="AG145" s="30">
        <v>4770.2578424657504</v>
      </c>
      <c r="AH145" s="31">
        <f t="shared" si="33"/>
        <v>0.82836879432624111</v>
      </c>
      <c r="AI145" s="31">
        <f t="shared" si="34"/>
        <v>5.8219178082191778E-2</v>
      </c>
      <c r="AJ145" s="31">
        <f t="shared" si="35"/>
        <v>1.1986301369863013E-2</v>
      </c>
      <c r="AK145" s="31">
        <f t="shared" si="36"/>
        <v>0.94178082191780821</v>
      </c>
      <c r="AL145" s="29">
        <f t="shared" si="37"/>
        <v>0.98333333333333328</v>
      </c>
      <c r="AM145" s="29">
        <f t="shared" si="38"/>
        <v>516.75</v>
      </c>
      <c r="AN145" s="29">
        <f t="shared" si="39"/>
        <v>1.1301402999516208</v>
      </c>
      <c r="AO145" s="29">
        <f t="shared" si="40"/>
        <v>1.2244897959183674</v>
      </c>
      <c r="AP145" s="31">
        <f t="shared" si="41"/>
        <v>0.92294791162715695</v>
      </c>
      <c r="AQ145" s="31">
        <f t="shared" si="42"/>
        <v>0.94178082191780821</v>
      </c>
      <c r="AR145" s="31">
        <f t="shared" si="43"/>
        <v>0.78014184397163122</v>
      </c>
      <c r="AS145" s="29">
        <f t="shared" si="44"/>
        <v>28.01777397260274</v>
      </c>
      <c r="AT145" s="29">
        <f t="shared" si="45"/>
        <v>8.1682497302495722</v>
      </c>
      <c r="AU145" s="27" t="str">
        <f t="shared" si="46"/>
        <v>High</v>
      </c>
      <c r="AV145" s="27" t="str">
        <f t="shared" si="47"/>
        <v>Warning</v>
      </c>
      <c r="AW145" s="27"/>
    </row>
    <row r="146" spans="1:49" x14ac:dyDescent="0.25">
      <c r="A146" s="27">
        <v>145</v>
      </c>
      <c r="B146" s="28">
        <v>46027</v>
      </c>
      <c r="C146" s="28" t="str">
        <f t="shared" si="32"/>
        <v>January</v>
      </c>
      <c r="D146" s="27" t="s">
        <v>47</v>
      </c>
      <c r="E146" s="27" t="s">
        <v>98</v>
      </c>
      <c r="F146" s="27" t="s">
        <v>126</v>
      </c>
      <c r="G146" s="27" t="s">
        <v>78</v>
      </c>
      <c r="H146" s="27" t="s">
        <v>51</v>
      </c>
      <c r="I146" s="27" t="s">
        <v>268</v>
      </c>
      <c r="J146" s="27" t="s">
        <v>164</v>
      </c>
      <c r="K146" s="27">
        <v>978</v>
      </c>
      <c r="L146" s="27">
        <v>626</v>
      </c>
      <c r="M146" s="27">
        <v>580</v>
      </c>
      <c r="N146" s="27">
        <v>46</v>
      </c>
      <c r="O146" s="27">
        <v>16</v>
      </c>
      <c r="P146" s="27">
        <v>171</v>
      </c>
      <c r="Q146" s="27" t="s">
        <v>75</v>
      </c>
      <c r="R146" s="27">
        <v>42</v>
      </c>
      <c r="S146" s="27">
        <v>45</v>
      </c>
      <c r="T146" s="29">
        <v>76.900000000000006</v>
      </c>
      <c r="U146" s="29">
        <v>1.76</v>
      </c>
      <c r="V146" s="29">
        <v>29.51</v>
      </c>
      <c r="W146" s="30">
        <v>11646.71</v>
      </c>
      <c r="X146" s="27">
        <v>5.61</v>
      </c>
      <c r="Y146" s="27" t="s">
        <v>55</v>
      </c>
      <c r="Z146" s="29">
        <v>12</v>
      </c>
      <c r="AA146" s="30">
        <v>18777.37</v>
      </c>
      <c r="AB146" s="29">
        <v>0.92651757188498396</v>
      </c>
      <c r="AC146" s="30">
        <v>14436.8</v>
      </c>
      <c r="AD146" s="30">
        <v>297.67948881789101</v>
      </c>
      <c r="AE146" s="27">
        <v>684.6</v>
      </c>
      <c r="AF146" s="29">
        <v>0.750219106047327</v>
      </c>
      <c r="AG146" s="30">
        <v>4042.89051118211</v>
      </c>
      <c r="AH146" s="31">
        <f t="shared" si="33"/>
        <v>0.64008179959100209</v>
      </c>
      <c r="AI146" s="31">
        <f t="shared" si="34"/>
        <v>7.3482428115015971E-2</v>
      </c>
      <c r="AJ146" s="31">
        <f t="shared" si="35"/>
        <v>2.5559105431309903E-2</v>
      </c>
      <c r="AK146" s="31">
        <f t="shared" si="36"/>
        <v>0.92651757188498407</v>
      </c>
      <c r="AL146" s="29">
        <f t="shared" si="37"/>
        <v>2.85</v>
      </c>
      <c r="AM146" s="29">
        <f t="shared" si="38"/>
        <v>513.6</v>
      </c>
      <c r="AN146" s="29">
        <f t="shared" si="39"/>
        <v>1.2188473520249221</v>
      </c>
      <c r="AO146" s="29">
        <f t="shared" si="40"/>
        <v>1.4285714285714286</v>
      </c>
      <c r="AP146" s="31">
        <f t="shared" si="41"/>
        <v>0.85319314641744548</v>
      </c>
      <c r="AQ146" s="31">
        <f t="shared" si="42"/>
        <v>0.92651757188498407</v>
      </c>
      <c r="AR146" s="31">
        <f t="shared" si="43"/>
        <v>0.59304703476482623</v>
      </c>
      <c r="AS146" s="29">
        <f t="shared" si="44"/>
        <v>23.061980830670926</v>
      </c>
      <c r="AT146" s="29">
        <f t="shared" si="45"/>
        <v>6.458291551409121</v>
      </c>
      <c r="AU146" s="27" t="str">
        <f t="shared" si="46"/>
        <v>High</v>
      </c>
      <c r="AV146" s="27" t="str">
        <f t="shared" si="47"/>
        <v>Critical</v>
      </c>
      <c r="AW146" s="27"/>
    </row>
    <row r="147" spans="1:49" x14ac:dyDescent="0.25">
      <c r="A147" s="27">
        <v>146</v>
      </c>
      <c r="B147" s="28">
        <v>46184</v>
      </c>
      <c r="C147" s="28" t="str">
        <f t="shared" si="32"/>
        <v>June</v>
      </c>
      <c r="D147" s="27" t="s">
        <v>47</v>
      </c>
      <c r="E147" s="27" t="s">
        <v>129</v>
      </c>
      <c r="F147" s="27" t="s">
        <v>151</v>
      </c>
      <c r="G147" s="27" t="s">
        <v>63</v>
      </c>
      <c r="H147" s="27" t="s">
        <v>57</v>
      </c>
      <c r="I147" s="27" t="s">
        <v>269</v>
      </c>
      <c r="J147" s="27" t="s">
        <v>109</v>
      </c>
      <c r="K147" s="27">
        <v>750</v>
      </c>
      <c r="L147" s="27">
        <v>622</v>
      </c>
      <c r="M147" s="27">
        <v>587</v>
      </c>
      <c r="N147" s="27">
        <v>35</v>
      </c>
      <c r="O147" s="27">
        <v>13</v>
      </c>
      <c r="P147" s="27">
        <v>37</v>
      </c>
      <c r="Q147" s="27" t="s">
        <v>102</v>
      </c>
      <c r="R147" s="27">
        <v>45</v>
      </c>
      <c r="S147" s="27">
        <v>45</v>
      </c>
      <c r="T147" s="29">
        <v>73.3</v>
      </c>
      <c r="U147" s="29">
        <v>1.56</v>
      </c>
      <c r="V147" s="29">
        <v>26.87</v>
      </c>
      <c r="W147" s="30">
        <v>12533.6</v>
      </c>
      <c r="X147" s="27">
        <v>7.09</v>
      </c>
      <c r="Y147" s="27" t="s">
        <v>55</v>
      </c>
      <c r="Z147" s="29">
        <v>9</v>
      </c>
      <c r="AA147" s="30">
        <v>20604.34</v>
      </c>
      <c r="AB147" s="29">
        <v>0.94372990353697805</v>
      </c>
      <c r="AC147" s="30">
        <v>15965.93</v>
      </c>
      <c r="AD147" s="30">
        <v>261.95627009646302</v>
      </c>
      <c r="AE147" s="27">
        <v>562.5</v>
      </c>
      <c r="AF147" s="29">
        <v>0.93422222222222195</v>
      </c>
      <c r="AG147" s="30">
        <v>4376.4537299035401</v>
      </c>
      <c r="AH147" s="31">
        <f t="shared" si="33"/>
        <v>0.82933333333333337</v>
      </c>
      <c r="AI147" s="31">
        <f t="shared" si="34"/>
        <v>5.6270096463022508E-2</v>
      </c>
      <c r="AJ147" s="31">
        <f t="shared" si="35"/>
        <v>2.0900321543408359E-2</v>
      </c>
      <c r="AK147" s="31">
        <f t="shared" si="36"/>
        <v>0.9437299035369775</v>
      </c>
      <c r="AL147" s="29">
        <f t="shared" si="37"/>
        <v>0.6166666666666667</v>
      </c>
      <c r="AM147" s="29">
        <f t="shared" si="38"/>
        <v>525.5</v>
      </c>
      <c r="AN147" s="29">
        <f t="shared" si="39"/>
        <v>1.1836346336822074</v>
      </c>
      <c r="AO147" s="29">
        <f t="shared" si="40"/>
        <v>1.3333333333333333</v>
      </c>
      <c r="AP147" s="31">
        <f t="shared" si="41"/>
        <v>0.88772597526165564</v>
      </c>
      <c r="AQ147" s="31">
        <f t="shared" si="42"/>
        <v>0.9437299035369775</v>
      </c>
      <c r="AR147" s="31">
        <f t="shared" si="43"/>
        <v>0.78266666666666651</v>
      </c>
      <c r="AS147" s="29">
        <f t="shared" si="44"/>
        <v>25.668697749196141</v>
      </c>
      <c r="AT147" s="29">
        <f t="shared" si="45"/>
        <v>7.03609924421791</v>
      </c>
      <c r="AU147" s="27" t="str">
        <f t="shared" si="46"/>
        <v>High</v>
      </c>
      <c r="AV147" s="27" t="str">
        <f t="shared" si="47"/>
        <v>Warning</v>
      </c>
      <c r="AW147" s="27"/>
    </row>
    <row r="148" spans="1:49" x14ac:dyDescent="0.25">
      <c r="A148" s="27">
        <v>147</v>
      </c>
      <c r="B148" s="28">
        <v>46076</v>
      </c>
      <c r="C148" s="28" t="str">
        <f t="shared" si="32"/>
        <v>February</v>
      </c>
      <c r="D148" s="27" t="s">
        <v>67</v>
      </c>
      <c r="E148" s="27" t="s">
        <v>129</v>
      </c>
      <c r="F148" s="27" t="s">
        <v>167</v>
      </c>
      <c r="G148" s="27" t="s">
        <v>50</v>
      </c>
      <c r="H148" s="27" t="s">
        <v>57</v>
      </c>
      <c r="I148" s="27" t="s">
        <v>270</v>
      </c>
      <c r="J148" s="27" t="s">
        <v>197</v>
      </c>
      <c r="K148" s="27">
        <v>932</v>
      </c>
      <c r="L148" s="27">
        <v>789</v>
      </c>
      <c r="M148" s="27">
        <v>723</v>
      </c>
      <c r="N148" s="27">
        <v>66</v>
      </c>
      <c r="O148" s="27">
        <v>13</v>
      </c>
      <c r="P148" s="27">
        <v>39</v>
      </c>
      <c r="Q148" s="27" t="s">
        <v>91</v>
      </c>
      <c r="R148" s="27">
        <v>45</v>
      </c>
      <c r="S148" s="27">
        <v>44</v>
      </c>
      <c r="T148" s="29">
        <v>75.599999999999994</v>
      </c>
      <c r="U148" s="29">
        <v>2.5</v>
      </c>
      <c r="V148" s="29">
        <v>25.31</v>
      </c>
      <c r="W148" s="30">
        <v>15768</v>
      </c>
      <c r="X148" s="27">
        <v>8.33</v>
      </c>
      <c r="Y148" s="27" t="s">
        <v>55</v>
      </c>
      <c r="Z148" s="29">
        <v>36</v>
      </c>
      <c r="AA148" s="30">
        <v>25667.18</v>
      </c>
      <c r="AB148" s="29">
        <v>0.91634980988593195</v>
      </c>
      <c r="AC148" s="30">
        <v>19744.29</v>
      </c>
      <c r="AD148" s="30">
        <v>259.80228136882101</v>
      </c>
      <c r="AE148" s="27">
        <v>699</v>
      </c>
      <c r="AF148" s="29">
        <v>0.94420600858369097</v>
      </c>
      <c r="AG148" s="30">
        <v>5663.08771863118</v>
      </c>
      <c r="AH148" s="31">
        <f t="shared" si="33"/>
        <v>0.84656652360515017</v>
      </c>
      <c r="AI148" s="31">
        <f t="shared" si="34"/>
        <v>8.3650190114068435E-2</v>
      </c>
      <c r="AJ148" s="31">
        <f t="shared" si="35"/>
        <v>1.6476552598225603E-2</v>
      </c>
      <c r="AK148" s="31">
        <f t="shared" si="36"/>
        <v>0.91634980988593151</v>
      </c>
      <c r="AL148" s="29">
        <f t="shared" si="37"/>
        <v>0.65</v>
      </c>
      <c r="AM148" s="29">
        <f t="shared" si="38"/>
        <v>660</v>
      </c>
      <c r="AN148" s="29">
        <f t="shared" si="39"/>
        <v>1.1954545454545455</v>
      </c>
      <c r="AO148" s="29">
        <f t="shared" si="40"/>
        <v>1.3333333333333333</v>
      </c>
      <c r="AP148" s="31">
        <f t="shared" si="41"/>
        <v>0.89659090909090922</v>
      </c>
      <c r="AQ148" s="31">
        <f t="shared" si="42"/>
        <v>0.91634980988593151</v>
      </c>
      <c r="AR148" s="31">
        <f t="shared" si="43"/>
        <v>0.77575107296137336</v>
      </c>
      <c r="AS148" s="29">
        <f t="shared" si="44"/>
        <v>25.024448669201522</v>
      </c>
      <c r="AT148" s="29">
        <f t="shared" si="45"/>
        <v>7.1775509741840047</v>
      </c>
      <c r="AU148" s="27" t="str">
        <f t="shared" si="46"/>
        <v>High</v>
      </c>
      <c r="AV148" s="27" t="str">
        <f t="shared" si="47"/>
        <v>Warning</v>
      </c>
      <c r="AW148" s="27"/>
    </row>
    <row r="149" spans="1:49" x14ac:dyDescent="0.25">
      <c r="A149" s="27">
        <v>148</v>
      </c>
      <c r="B149" s="28">
        <v>46047</v>
      </c>
      <c r="C149" s="28" t="str">
        <f t="shared" si="32"/>
        <v>January</v>
      </c>
      <c r="D149" s="27" t="s">
        <v>47</v>
      </c>
      <c r="E149" s="27" t="s">
        <v>48</v>
      </c>
      <c r="F149" s="27" t="s">
        <v>72</v>
      </c>
      <c r="G149" s="27" t="s">
        <v>63</v>
      </c>
      <c r="H149" s="27" t="s">
        <v>51</v>
      </c>
      <c r="I149" s="27" t="s">
        <v>271</v>
      </c>
      <c r="J149" s="27" t="s">
        <v>170</v>
      </c>
      <c r="K149" s="27">
        <v>944</v>
      </c>
      <c r="L149" s="27">
        <v>1033</v>
      </c>
      <c r="M149" s="27">
        <v>998</v>
      </c>
      <c r="N149" s="27">
        <v>35</v>
      </c>
      <c r="O149" s="27">
        <v>13</v>
      </c>
      <c r="P149" s="27">
        <v>16</v>
      </c>
      <c r="Q149" s="27" t="s">
        <v>75</v>
      </c>
      <c r="R149" s="27">
        <v>42</v>
      </c>
      <c r="S149" s="27">
        <v>42</v>
      </c>
      <c r="T149" s="29">
        <v>75.8</v>
      </c>
      <c r="U149" s="29">
        <v>2.33</v>
      </c>
      <c r="V149" s="29">
        <v>39.049999999999997</v>
      </c>
      <c r="W149" s="30">
        <v>18931.03</v>
      </c>
      <c r="X149" s="27">
        <v>11.08</v>
      </c>
      <c r="Y149" s="27" t="s">
        <v>55</v>
      </c>
      <c r="Z149" s="29">
        <v>23</v>
      </c>
      <c r="AA149" s="30">
        <v>31231.83</v>
      </c>
      <c r="AB149" s="29">
        <v>0.96611810261374598</v>
      </c>
      <c r="AC149" s="30">
        <v>24268.48</v>
      </c>
      <c r="AD149" s="30">
        <v>238.24142303969001</v>
      </c>
      <c r="AE149" s="27">
        <v>660.8</v>
      </c>
      <c r="AF149" s="29">
        <v>0.97578692493946695</v>
      </c>
      <c r="AG149" s="30">
        <v>6725.1085769603096</v>
      </c>
      <c r="AH149" s="31">
        <f t="shared" si="33"/>
        <v>1.0942796610169492</v>
      </c>
      <c r="AI149" s="31">
        <f t="shared" si="34"/>
        <v>3.3881897386253627E-2</v>
      </c>
      <c r="AJ149" s="31">
        <f t="shared" si="35"/>
        <v>1.2584704743465635E-2</v>
      </c>
      <c r="AK149" s="31">
        <f t="shared" si="36"/>
        <v>0.96611810261374642</v>
      </c>
      <c r="AL149" s="29">
        <f t="shared" si="37"/>
        <v>0.26666666666666666</v>
      </c>
      <c r="AM149" s="29">
        <f t="shared" si="38"/>
        <v>644.79999999999995</v>
      </c>
      <c r="AN149" s="29">
        <f t="shared" si="39"/>
        <v>1.6020471464019852</v>
      </c>
      <c r="AO149" s="29">
        <f t="shared" si="40"/>
        <v>1.4285714285714286</v>
      </c>
      <c r="AP149" s="31">
        <f t="shared" si="41"/>
        <v>1.1214330024813897</v>
      </c>
      <c r="AQ149" s="31">
        <f t="shared" si="42"/>
        <v>0.96611810261374642</v>
      </c>
      <c r="AR149" s="31">
        <f t="shared" si="43"/>
        <v>1.0572033898305082</v>
      </c>
      <c r="AS149" s="29">
        <f t="shared" si="44"/>
        <v>23.493204259438528</v>
      </c>
      <c r="AT149" s="29">
        <f t="shared" si="45"/>
        <v>6.510269677599525</v>
      </c>
      <c r="AU149" s="27" t="str">
        <f t="shared" si="46"/>
        <v>Low</v>
      </c>
      <c r="AV149" s="27" t="str">
        <f t="shared" si="47"/>
        <v>Normal</v>
      </c>
      <c r="AW149" s="27"/>
    </row>
    <row r="150" spans="1:49" x14ac:dyDescent="0.25">
      <c r="A150" s="27">
        <v>149</v>
      </c>
      <c r="B150" s="28">
        <v>46038</v>
      </c>
      <c r="C150" s="28" t="str">
        <f t="shared" si="32"/>
        <v>January</v>
      </c>
      <c r="D150" s="27" t="s">
        <v>47</v>
      </c>
      <c r="E150" s="27" t="s">
        <v>48</v>
      </c>
      <c r="F150" s="27" t="s">
        <v>56</v>
      </c>
      <c r="G150" s="27" t="s">
        <v>78</v>
      </c>
      <c r="H150" s="27" t="s">
        <v>124</v>
      </c>
      <c r="I150" s="27" t="s">
        <v>272</v>
      </c>
      <c r="J150" s="27" t="s">
        <v>218</v>
      </c>
      <c r="K150" s="27">
        <v>566</v>
      </c>
      <c r="L150" s="27">
        <v>563</v>
      </c>
      <c r="M150" s="27">
        <v>528</v>
      </c>
      <c r="N150" s="27">
        <v>35</v>
      </c>
      <c r="O150" s="27">
        <v>14</v>
      </c>
      <c r="P150" s="27">
        <v>0</v>
      </c>
      <c r="Q150" s="27" t="s">
        <v>60</v>
      </c>
      <c r="R150" s="27">
        <v>57</v>
      </c>
      <c r="S150" s="27">
        <v>63</v>
      </c>
      <c r="T150" s="29">
        <v>66.5</v>
      </c>
      <c r="U150" s="29">
        <v>2.4700000000000002</v>
      </c>
      <c r="V150" s="29">
        <v>18.989999999999998</v>
      </c>
      <c r="W150" s="30">
        <v>15770.43</v>
      </c>
      <c r="X150" s="27">
        <v>7.2</v>
      </c>
      <c r="Y150" s="27" t="s">
        <v>71</v>
      </c>
      <c r="Z150" s="29">
        <v>27</v>
      </c>
      <c r="AA150" s="30">
        <v>24324.17</v>
      </c>
      <c r="AB150" s="29">
        <v>0.93783303730017797</v>
      </c>
      <c r="AC150" s="30">
        <v>19181.34</v>
      </c>
      <c r="AD150" s="30">
        <v>392.15989342806398</v>
      </c>
      <c r="AE150" s="27">
        <v>537.70000000000005</v>
      </c>
      <c r="AF150" s="29">
        <v>1</v>
      </c>
      <c r="AG150" s="30">
        <v>4750.6701065719299</v>
      </c>
      <c r="AH150" s="31">
        <f t="shared" si="33"/>
        <v>0.9946996466431095</v>
      </c>
      <c r="AI150" s="31">
        <f t="shared" si="34"/>
        <v>6.216696269982238E-2</v>
      </c>
      <c r="AJ150" s="31">
        <f t="shared" si="35"/>
        <v>2.4866785079928951E-2</v>
      </c>
      <c r="AK150" s="31">
        <f t="shared" si="36"/>
        <v>0.93783303730017764</v>
      </c>
      <c r="AL150" s="29">
        <f t="shared" si="37"/>
        <v>0</v>
      </c>
      <c r="AM150" s="29">
        <f t="shared" si="38"/>
        <v>537.70000000000005</v>
      </c>
      <c r="AN150" s="29">
        <f t="shared" si="39"/>
        <v>1.0470522596243257</v>
      </c>
      <c r="AO150" s="29">
        <f t="shared" si="40"/>
        <v>1.0526315789473684</v>
      </c>
      <c r="AP150" s="31">
        <f t="shared" si="41"/>
        <v>0.9946996466431095</v>
      </c>
      <c r="AQ150" s="31">
        <f t="shared" si="42"/>
        <v>0.93783303730017764</v>
      </c>
      <c r="AR150" s="31">
        <f t="shared" si="43"/>
        <v>0.93286219081272082</v>
      </c>
      <c r="AS150" s="29">
        <f t="shared" si="44"/>
        <v>34.069875666074601</v>
      </c>
      <c r="AT150" s="29">
        <f t="shared" si="45"/>
        <v>8.4381351804119529</v>
      </c>
      <c r="AU150" s="27" t="str">
        <f t="shared" si="46"/>
        <v>High</v>
      </c>
      <c r="AV150" s="27" t="str">
        <f t="shared" si="47"/>
        <v>Normal</v>
      </c>
      <c r="AW150" s="27"/>
    </row>
    <row r="151" spans="1:49" x14ac:dyDescent="0.25">
      <c r="A151" s="27">
        <v>150</v>
      </c>
      <c r="B151" s="28">
        <v>46170</v>
      </c>
      <c r="C151" s="28" t="str">
        <f t="shared" si="32"/>
        <v>May</v>
      </c>
      <c r="D151" s="27" t="s">
        <v>47</v>
      </c>
      <c r="E151" s="27" t="s">
        <v>129</v>
      </c>
      <c r="F151" s="27" t="s">
        <v>130</v>
      </c>
      <c r="G151" s="27" t="s">
        <v>63</v>
      </c>
      <c r="H151" s="27" t="s">
        <v>57</v>
      </c>
      <c r="I151" s="27" t="s">
        <v>273</v>
      </c>
      <c r="J151" s="27" t="s">
        <v>53</v>
      </c>
      <c r="K151" s="27">
        <v>901</v>
      </c>
      <c r="L151" s="27">
        <v>864</v>
      </c>
      <c r="M151" s="27">
        <v>755</v>
      </c>
      <c r="N151" s="27">
        <v>109</v>
      </c>
      <c r="O151" s="27">
        <v>33</v>
      </c>
      <c r="P151" s="27">
        <v>0</v>
      </c>
      <c r="Q151" s="27" t="s">
        <v>60</v>
      </c>
      <c r="R151" s="27">
        <v>45</v>
      </c>
      <c r="S151" s="27">
        <v>46</v>
      </c>
      <c r="T151" s="29">
        <v>82.9</v>
      </c>
      <c r="U151" s="29">
        <v>1.85</v>
      </c>
      <c r="V151" s="29">
        <v>29.46</v>
      </c>
      <c r="W151" s="30">
        <v>17000.84</v>
      </c>
      <c r="X151" s="27">
        <v>9.2799999999999994</v>
      </c>
      <c r="Y151" s="27" t="s">
        <v>55</v>
      </c>
      <c r="Z151" s="29">
        <v>27</v>
      </c>
      <c r="AA151" s="30">
        <v>26156.880000000001</v>
      </c>
      <c r="AB151" s="29">
        <v>0.873842592592593</v>
      </c>
      <c r="AC151" s="30">
        <v>21441.98</v>
      </c>
      <c r="AD151" s="30">
        <v>649.33763888888905</v>
      </c>
      <c r="AE151" s="27">
        <v>675.75</v>
      </c>
      <c r="AF151" s="29">
        <v>1</v>
      </c>
      <c r="AG151" s="30">
        <v>4065.56236111111</v>
      </c>
      <c r="AH151" s="31">
        <f t="shared" si="33"/>
        <v>0.95893451720310763</v>
      </c>
      <c r="AI151" s="31">
        <f t="shared" si="34"/>
        <v>0.12615740740740741</v>
      </c>
      <c r="AJ151" s="31">
        <f t="shared" si="35"/>
        <v>3.8194444444444448E-2</v>
      </c>
      <c r="AK151" s="31">
        <f t="shared" si="36"/>
        <v>0.87384259259259256</v>
      </c>
      <c r="AL151" s="29">
        <f t="shared" si="37"/>
        <v>0</v>
      </c>
      <c r="AM151" s="29">
        <f t="shared" si="38"/>
        <v>675.75</v>
      </c>
      <c r="AN151" s="29">
        <f t="shared" si="39"/>
        <v>1.2785793562708103</v>
      </c>
      <c r="AO151" s="29">
        <f t="shared" si="40"/>
        <v>1.3333333333333333</v>
      </c>
      <c r="AP151" s="31">
        <f t="shared" si="41"/>
        <v>0.95893451720310774</v>
      </c>
      <c r="AQ151" s="31">
        <f t="shared" si="42"/>
        <v>0.87384259259259256</v>
      </c>
      <c r="AR151" s="31">
        <f t="shared" si="43"/>
        <v>0.83795782463928969</v>
      </c>
      <c r="AS151" s="29">
        <f t="shared" si="44"/>
        <v>24.817106481481481</v>
      </c>
      <c r="AT151" s="29">
        <f t="shared" si="45"/>
        <v>4.7055119920267474</v>
      </c>
      <c r="AU151" s="27" t="str">
        <f t="shared" si="46"/>
        <v>High</v>
      </c>
      <c r="AV151" s="27" t="str">
        <f t="shared" si="47"/>
        <v>Warning</v>
      </c>
      <c r="AW151" s="27"/>
    </row>
    <row r="152" spans="1:49" x14ac:dyDescent="0.25">
      <c r="A152" s="27">
        <v>151</v>
      </c>
      <c r="B152" s="28">
        <v>46094</v>
      </c>
      <c r="C152" s="28" t="str">
        <f t="shared" si="32"/>
        <v>March</v>
      </c>
      <c r="D152" s="27" t="s">
        <v>47</v>
      </c>
      <c r="E152" s="27" t="s">
        <v>76</v>
      </c>
      <c r="F152" s="27" t="s">
        <v>77</v>
      </c>
      <c r="G152" s="27" t="s">
        <v>63</v>
      </c>
      <c r="H152" s="27" t="s">
        <v>79</v>
      </c>
      <c r="I152" s="27" t="s">
        <v>274</v>
      </c>
      <c r="J152" s="27" t="s">
        <v>115</v>
      </c>
      <c r="K152" s="27">
        <v>660</v>
      </c>
      <c r="L152" s="27">
        <v>660</v>
      </c>
      <c r="M152" s="27">
        <v>619</v>
      </c>
      <c r="N152" s="27">
        <v>41</v>
      </c>
      <c r="O152" s="27">
        <v>13</v>
      </c>
      <c r="P152" s="27">
        <v>6</v>
      </c>
      <c r="Q152" s="27" t="s">
        <v>82</v>
      </c>
      <c r="R152" s="27">
        <v>49</v>
      </c>
      <c r="S152" s="27">
        <v>50</v>
      </c>
      <c r="T152" s="29">
        <v>76</v>
      </c>
      <c r="U152" s="29">
        <v>1.97</v>
      </c>
      <c r="V152" s="29">
        <v>18.71</v>
      </c>
      <c r="W152" s="30">
        <v>14701.56</v>
      </c>
      <c r="X152" s="27">
        <v>9.24</v>
      </c>
      <c r="Y152" s="27" t="s">
        <v>55</v>
      </c>
      <c r="Z152" s="29">
        <v>28</v>
      </c>
      <c r="AA152" s="30">
        <v>23533.77</v>
      </c>
      <c r="AB152" s="29">
        <v>0.93787878787878798</v>
      </c>
      <c r="AC152" s="30">
        <v>19027.95</v>
      </c>
      <c r="AD152" s="30">
        <v>289.57618181818202</v>
      </c>
      <c r="AE152" s="27">
        <v>539</v>
      </c>
      <c r="AF152" s="29">
        <v>0.98886827458255999</v>
      </c>
      <c r="AG152" s="30">
        <v>4216.2438181818197</v>
      </c>
      <c r="AH152" s="31">
        <f t="shared" si="33"/>
        <v>1</v>
      </c>
      <c r="AI152" s="31">
        <f t="shared" si="34"/>
        <v>6.2121212121212119E-2</v>
      </c>
      <c r="AJ152" s="31">
        <f t="shared" si="35"/>
        <v>1.9696969696969695E-2</v>
      </c>
      <c r="AK152" s="31">
        <f t="shared" si="36"/>
        <v>0.93787878787878787</v>
      </c>
      <c r="AL152" s="29">
        <f t="shared" si="37"/>
        <v>0.1</v>
      </c>
      <c r="AM152" s="29">
        <f t="shared" si="38"/>
        <v>533</v>
      </c>
      <c r="AN152" s="29">
        <f t="shared" si="39"/>
        <v>1.2382739212007505</v>
      </c>
      <c r="AO152" s="29">
        <f t="shared" si="40"/>
        <v>1.2244897959183674</v>
      </c>
      <c r="AP152" s="31">
        <f t="shared" si="41"/>
        <v>1.0112570356472796</v>
      </c>
      <c r="AQ152" s="31">
        <f t="shared" si="42"/>
        <v>0.93787878787878787</v>
      </c>
      <c r="AR152" s="31">
        <f t="shared" si="43"/>
        <v>0.93787878787878765</v>
      </c>
      <c r="AS152" s="29">
        <f t="shared" si="44"/>
        <v>28.830227272727274</v>
      </c>
      <c r="AT152" s="29">
        <f t="shared" si="45"/>
        <v>6.3882482093663935</v>
      </c>
      <c r="AU152" s="27" t="str">
        <f t="shared" si="46"/>
        <v>Low</v>
      </c>
      <c r="AV152" s="27" t="str">
        <f t="shared" si="47"/>
        <v>Normal</v>
      </c>
      <c r="AW152" s="27"/>
    </row>
    <row r="153" spans="1:49" x14ac:dyDescent="0.25">
      <c r="A153" s="27">
        <v>152</v>
      </c>
      <c r="B153" s="28">
        <v>46075</v>
      </c>
      <c r="C153" s="28" t="str">
        <f t="shared" si="32"/>
        <v>February</v>
      </c>
      <c r="D153" s="27" t="s">
        <v>67</v>
      </c>
      <c r="E153" s="27" t="s">
        <v>129</v>
      </c>
      <c r="F153" s="27" t="s">
        <v>151</v>
      </c>
      <c r="G153" s="27" t="s">
        <v>78</v>
      </c>
      <c r="H153" s="27" t="s">
        <v>57</v>
      </c>
      <c r="I153" s="27" t="s">
        <v>275</v>
      </c>
      <c r="J153" s="27" t="s">
        <v>117</v>
      </c>
      <c r="K153" s="27">
        <v>849</v>
      </c>
      <c r="L153" s="27">
        <v>700</v>
      </c>
      <c r="M153" s="27">
        <v>660</v>
      </c>
      <c r="N153" s="27">
        <v>40</v>
      </c>
      <c r="O153" s="27">
        <v>10</v>
      </c>
      <c r="P153" s="27">
        <v>8</v>
      </c>
      <c r="Q153" s="27" t="s">
        <v>102</v>
      </c>
      <c r="R153" s="27">
        <v>45</v>
      </c>
      <c r="S153" s="27">
        <v>49</v>
      </c>
      <c r="T153" s="29">
        <v>78.400000000000006</v>
      </c>
      <c r="U153" s="29">
        <v>2.57</v>
      </c>
      <c r="V153" s="29">
        <v>27.74</v>
      </c>
      <c r="W153" s="30">
        <v>13991.8</v>
      </c>
      <c r="X153" s="27">
        <v>7.36</v>
      </c>
      <c r="Y153" s="27" t="s">
        <v>66</v>
      </c>
      <c r="Z153" s="29">
        <v>19</v>
      </c>
      <c r="AA153" s="30">
        <v>22470.45</v>
      </c>
      <c r="AB153" s="29">
        <v>0.94285714285714295</v>
      </c>
      <c r="AC153" s="30">
        <v>17553.46</v>
      </c>
      <c r="AD153" s="30">
        <v>199.88285714285701</v>
      </c>
      <c r="AE153" s="27">
        <v>636.75</v>
      </c>
      <c r="AF153" s="29">
        <v>0.98743619945033401</v>
      </c>
      <c r="AG153" s="30">
        <v>4717.1071428571504</v>
      </c>
      <c r="AH153" s="31">
        <f t="shared" si="33"/>
        <v>0.82449941107184921</v>
      </c>
      <c r="AI153" s="31">
        <f t="shared" si="34"/>
        <v>5.7142857142857141E-2</v>
      </c>
      <c r="AJ153" s="31">
        <f t="shared" si="35"/>
        <v>1.4285714285714285E-2</v>
      </c>
      <c r="AK153" s="31">
        <f t="shared" si="36"/>
        <v>0.94285714285714284</v>
      </c>
      <c r="AL153" s="29">
        <f t="shared" si="37"/>
        <v>0.13333333333333333</v>
      </c>
      <c r="AM153" s="29">
        <f t="shared" si="38"/>
        <v>628.75</v>
      </c>
      <c r="AN153" s="29">
        <f t="shared" si="39"/>
        <v>1.1133200795228628</v>
      </c>
      <c r="AO153" s="29">
        <f t="shared" si="40"/>
        <v>1.3333333333333333</v>
      </c>
      <c r="AP153" s="31">
        <f t="shared" si="41"/>
        <v>0.83499005964214712</v>
      </c>
      <c r="AQ153" s="31">
        <f t="shared" si="42"/>
        <v>0.94285714285714284</v>
      </c>
      <c r="AR153" s="31">
        <f t="shared" si="43"/>
        <v>0.7773851590106009</v>
      </c>
      <c r="AS153" s="29">
        <f t="shared" si="44"/>
        <v>25.076371428571427</v>
      </c>
      <c r="AT153" s="29">
        <f t="shared" si="45"/>
        <v>6.7387244897959295</v>
      </c>
      <c r="AU153" s="27" t="str">
        <f t="shared" si="46"/>
        <v>High</v>
      </c>
      <c r="AV153" s="27" t="str">
        <f t="shared" si="47"/>
        <v>Warning</v>
      </c>
      <c r="AW153" s="27"/>
    </row>
    <row r="154" spans="1:49" x14ac:dyDescent="0.25">
      <c r="A154" s="27">
        <v>153</v>
      </c>
      <c r="B154" s="28">
        <v>46065</v>
      </c>
      <c r="C154" s="28" t="str">
        <f t="shared" si="32"/>
        <v>February</v>
      </c>
      <c r="D154" s="27" t="s">
        <v>67</v>
      </c>
      <c r="E154" s="27" t="s">
        <v>98</v>
      </c>
      <c r="F154" s="27" t="s">
        <v>126</v>
      </c>
      <c r="G154" s="27" t="s">
        <v>63</v>
      </c>
      <c r="H154" s="27" t="s">
        <v>79</v>
      </c>
      <c r="I154" s="27" t="s">
        <v>276</v>
      </c>
      <c r="J154" s="27" t="s">
        <v>59</v>
      </c>
      <c r="K154" s="27">
        <v>720</v>
      </c>
      <c r="L154" s="27">
        <v>656</v>
      </c>
      <c r="M154" s="27">
        <v>605</v>
      </c>
      <c r="N154" s="27">
        <v>51</v>
      </c>
      <c r="O154" s="27">
        <v>19</v>
      </c>
      <c r="P154" s="27">
        <v>19</v>
      </c>
      <c r="Q154" s="27" t="s">
        <v>82</v>
      </c>
      <c r="R154" s="27">
        <v>49</v>
      </c>
      <c r="S154" s="27">
        <v>52</v>
      </c>
      <c r="T154" s="29">
        <v>75.2</v>
      </c>
      <c r="U154" s="29">
        <v>2.88</v>
      </c>
      <c r="V154" s="29">
        <v>23.38</v>
      </c>
      <c r="W154" s="30">
        <v>15222.05</v>
      </c>
      <c r="X154" s="27">
        <v>6.96</v>
      </c>
      <c r="Y154" s="27" t="s">
        <v>66</v>
      </c>
      <c r="Z154" s="29">
        <v>34</v>
      </c>
      <c r="AA154" s="30">
        <v>23031.88</v>
      </c>
      <c r="AB154" s="29">
        <v>0.92225609756097604</v>
      </c>
      <c r="AC154" s="30">
        <v>18564.47</v>
      </c>
      <c r="AD154" s="30">
        <v>440.88254573170701</v>
      </c>
      <c r="AE154" s="27">
        <v>588</v>
      </c>
      <c r="AF154" s="29">
        <v>0.96768707482993199</v>
      </c>
      <c r="AG154" s="30">
        <v>4026.5274542683001</v>
      </c>
      <c r="AH154" s="31">
        <f t="shared" si="33"/>
        <v>0.91111111111111109</v>
      </c>
      <c r="AI154" s="31">
        <f t="shared" si="34"/>
        <v>7.774390243902439E-2</v>
      </c>
      <c r="AJ154" s="31">
        <f t="shared" si="35"/>
        <v>2.8963414634146343E-2</v>
      </c>
      <c r="AK154" s="31">
        <f t="shared" si="36"/>
        <v>0.9222560975609756</v>
      </c>
      <c r="AL154" s="29">
        <f t="shared" si="37"/>
        <v>0.31666666666666665</v>
      </c>
      <c r="AM154" s="29">
        <f t="shared" si="38"/>
        <v>569</v>
      </c>
      <c r="AN154" s="29">
        <f t="shared" si="39"/>
        <v>1.1528998242530755</v>
      </c>
      <c r="AO154" s="29">
        <f t="shared" si="40"/>
        <v>1.2244897959183674</v>
      </c>
      <c r="AP154" s="31">
        <f t="shared" si="41"/>
        <v>0.94153485647334489</v>
      </c>
      <c r="AQ154" s="31">
        <f t="shared" si="42"/>
        <v>0.9222560975609756</v>
      </c>
      <c r="AR154" s="31">
        <f t="shared" si="43"/>
        <v>0.84027777777777768</v>
      </c>
      <c r="AS154" s="29">
        <f t="shared" si="44"/>
        <v>28.299496951219513</v>
      </c>
      <c r="AT154" s="29">
        <f t="shared" si="45"/>
        <v>6.1379991680919206</v>
      </c>
      <c r="AU154" s="27" t="str">
        <f t="shared" si="46"/>
        <v>Medium</v>
      </c>
      <c r="AV154" s="27" t="str">
        <f t="shared" si="47"/>
        <v>Warning</v>
      </c>
      <c r="AW154" s="27"/>
    </row>
    <row r="155" spans="1:49" x14ac:dyDescent="0.25">
      <c r="A155" s="27">
        <v>154</v>
      </c>
      <c r="B155" s="28">
        <v>46035</v>
      </c>
      <c r="C155" s="28" t="str">
        <f t="shared" si="32"/>
        <v>January</v>
      </c>
      <c r="D155" s="27" t="s">
        <v>67</v>
      </c>
      <c r="E155" s="27" t="s">
        <v>76</v>
      </c>
      <c r="F155" s="27" t="s">
        <v>119</v>
      </c>
      <c r="G155" s="27" t="s">
        <v>78</v>
      </c>
      <c r="H155" s="27" t="s">
        <v>57</v>
      </c>
      <c r="I155" s="27" t="s">
        <v>277</v>
      </c>
      <c r="J155" s="27" t="s">
        <v>134</v>
      </c>
      <c r="K155" s="27">
        <v>768</v>
      </c>
      <c r="L155" s="27">
        <v>692</v>
      </c>
      <c r="M155" s="27">
        <v>613</v>
      </c>
      <c r="N155" s="27">
        <v>79</v>
      </c>
      <c r="O155" s="27">
        <v>29</v>
      </c>
      <c r="P155" s="27">
        <v>36</v>
      </c>
      <c r="Q155" s="27" t="s">
        <v>97</v>
      </c>
      <c r="R155" s="27">
        <v>45</v>
      </c>
      <c r="S155" s="27">
        <v>50</v>
      </c>
      <c r="T155" s="29">
        <v>61.6</v>
      </c>
      <c r="U155" s="29">
        <v>2.98</v>
      </c>
      <c r="V155" s="29">
        <v>24.48</v>
      </c>
      <c r="W155" s="30">
        <v>14986.93</v>
      </c>
      <c r="X155" s="27">
        <v>7.83</v>
      </c>
      <c r="Y155" s="27" t="s">
        <v>55</v>
      </c>
      <c r="Z155" s="29">
        <v>13</v>
      </c>
      <c r="AA155" s="30">
        <v>21342.68</v>
      </c>
      <c r="AB155" s="29">
        <v>0.88583815028901702</v>
      </c>
      <c r="AC155" s="30">
        <v>18730.75</v>
      </c>
      <c r="AD155" s="30">
        <v>628.06498554913298</v>
      </c>
      <c r="AE155" s="27">
        <v>576</v>
      </c>
      <c r="AF155" s="29">
        <v>0.9375</v>
      </c>
      <c r="AG155" s="30">
        <v>1983.8650144508699</v>
      </c>
      <c r="AH155" s="31">
        <f t="shared" si="33"/>
        <v>0.90104166666666663</v>
      </c>
      <c r="AI155" s="31">
        <f t="shared" si="34"/>
        <v>0.11416184971098266</v>
      </c>
      <c r="AJ155" s="31">
        <f t="shared" si="35"/>
        <v>4.1907514450867052E-2</v>
      </c>
      <c r="AK155" s="31">
        <f t="shared" si="36"/>
        <v>0.88583815028901736</v>
      </c>
      <c r="AL155" s="29">
        <f t="shared" si="37"/>
        <v>0.6</v>
      </c>
      <c r="AM155" s="29">
        <f t="shared" si="38"/>
        <v>540</v>
      </c>
      <c r="AN155" s="29">
        <f t="shared" si="39"/>
        <v>1.2814814814814814</v>
      </c>
      <c r="AO155" s="29">
        <f t="shared" si="40"/>
        <v>1.3333333333333333</v>
      </c>
      <c r="AP155" s="31">
        <f t="shared" si="41"/>
        <v>0.96111111111111114</v>
      </c>
      <c r="AQ155" s="31">
        <f t="shared" si="42"/>
        <v>0.88583815028901736</v>
      </c>
      <c r="AR155" s="31">
        <f t="shared" si="43"/>
        <v>0.79817708333333337</v>
      </c>
      <c r="AS155" s="29">
        <f t="shared" si="44"/>
        <v>27.067557803468208</v>
      </c>
      <c r="AT155" s="29">
        <f t="shared" si="45"/>
        <v>2.8668569572989449</v>
      </c>
      <c r="AU155" s="27" t="str">
        <f t="shared" si="46"/>
        <v>High</v>
      </c>
      <c r="AV155" s="27" t="str">
        <f t="shared" si="47"/>
        <v>Warning</v>
      </c>
      <c r="AW155" s="27"/>
    </row>
    <row r="156" spans="1:49" x14ac:dyDescent="0.25">
      <c r="A156" s="27">
        <v>155</v>
      </c>
      <c r="B156" s="28">
        <v>46202</v>
      </c>
      <c r="C156" s="28" t="str">
        <f t="shared" si="32"/>
        <v>June</v>
      </c>
      <c r="D156" s="27" t="s">
        <v>67</v>
      </c>
      <c r="E156" s="27" t="s">
        <v>76</v>
      </c>
      <c r="F156" s="27" t="s">
        <v>119</v>
      </c>
      <c r="G156" s="27" t="s">
        <v>63</v>
      </c>
      <c r="H156" s="27" t="s">
        <v>68</v>
      </c>
      <c r="I156" s="27" t="s">
        <v>278</v>
      </c>
      <c r="J156" s="27" t="s">
        <v>161</v>
      </c>
      <c r="K156" s="27">
        <v>501</v>
      </c>
      <c r="L156" s="27">
        <v>449</v>
      </c>
      <c r="M156" s="27">
        <v>402</v>
      </c>
      <c r="N156" s="27">
        <v>47</v>
      </c>
      <c r="O156" s="27">
        <v>16</v>
      </c>
      <c r="P156" s="27">
        <v>0</v>
      </c>
      <c r="Q156" s="27" t="s">
        <v>60</v>
      </c>
      <c r="R156" s="27">
        <v>64</v>
      </c>
      <c r="S156" s="27">
        <v>65</v>
      </c>
      <c r="T156" s="29">
        <v>60</v>
      </c>
      <c r="U156" s="29">
        <v>2.39</v>
      </c>
      <c r="V156" s="29">
        <v>17.010000000000002</v>
      </c>
      <c r="W156" s="30">
        <v>14057.31</v>
      </c>
      <c r="X156" s="27">
        <v>9.24</v>
      </c>
      <c r="Y156" s="27" t="s">
        <v>66</v>
      </c>
      <c r="Z156" s="29">
        <v>19</v>
      </c>
      <c r="AA156" s="30">
        <v>21122.54</v>
      </c>
      <c r="AB156" s="29">
        <v>0.89532293986637002</v>
      </c>
      <c r="AC156" s="30">
        <v>18368.400000000001</v>
      </c>
      <c r="AD156" s="30">
        <v>500.92864142539003</v>
      </c>
      <c r="AE156" s="27">
        <v>534.4</v>
      </c>
      <c r="AF156" s="29">
        <v>1</v>
      </c>
      <c r="AG156" s="30">
        <v>2253.2113585746101</v>
      </c>
      <c r="AH156" s="31">
        <f t="shared" si="33"/>
        <v>0.89620758483033935</v>
      </c>
      <c r="AI156" s="31">
        <f t="shared" si="34"/>
        <v>0.10467706013363029</v>
      </c>
      <c r="AJ156" s="31">
        <f t="shared" si="35"/>
        <v>3.5634743875278395E-2</v>
      </c>
      <c r="AK156" s="31">
        <f t="shared" si="36"/>
        <v>0.89532293986636968</v>
      </c>
      <c r="AL156" s="29">
        <f t="shared" si="37"/>
        <v>0</v>
      </c>
      <c r="AM156" s="29">
        <f t="shared" si="38"/>
        <v>534.4</v>
      </c>
      <c r="AN156" s="29">
        <f t="shared" si="39"/>
        <v>0.84019461077844315</v>
      </c>
      <c r="AO156" s="29">
        <f t="shared" si="40"/>
        <v>0.9375</v>
      </c>
      <c r="AP156" s="31">
        <f t="shared" si="41"/>
        <v>0.89620758483033935</v>
      </c>
      <c r="AQ156" s="31">
        <f t="shared" si="42"/>
        <v>0.89532293986636968</v>
      </c>
      <c r="AR156" s="31">
        <f t="shared" si="43"/>
        <v>0.80239520958083832</v>
      </c>
      <c r="AS156" s="29">
        <f t="shared" si="44"/>
        <v>40.909576837416488</v>
      </c>
      <c r="AT156" s="29">
        <f t="shared" si="45"/>
        <v>5.0182881037296436</v>
      </c>
      <c r="AU156" s="27" t="str">
        <f t="shared" si="46"/>
        <v>Medium</v>
      </c>
      <c r="AV156" s="27" t="str">
        <f t="shared" si="47"/>
        <v>Warning</v>
      </c>
      <c r="AW156" s="27"/>
    </row>
    <row r="157" spans="1:49" x14ac:dyDescent="0.25">
      <c r="A157" s="27">
        <v>156</v>
      </c>
      <c r="B157" s="28">
        <v>46159</v>
      </c>
      <c r="C157" s="28" t="str">
        <f t="shared" si="32"/>
        <v>May</v>
      </c>
      <c r="D157" s="27" t="s">
        <v>67</v>
      </c>
      <c r="E157" s="27" t="s">
        <v>61</v>
      </c>
      <c r="F157" s="27" t="s">
        <v>88</v>
      </c>
      <c r="G157" s="27" t="s">
        <v>63</v>
      </c>
      <c r="H157" s="27" t="s">
        <v>51</v>
      </c>
      <c r="I157" s="27" t="s">
        <v>279</v>
      </c>
      <c r="J157" s="27" t="s">
        <v>101</v>
      </c>
      <c r="K157" s="27">
        <v>747</v>
      </c>
      <c r="L157" s="27">
        <v>794</v>
      </c>
      <c r="M157" s="27">
        <v>762</v>
      </c>
      <c r="N157" s="27">
        <v>32</v>
      </c>
      <c r="O157" s="27">
        <v>8</v>
      </c>
      <c r="P157" s="27">
        <v>33</v>
      </c>
      <c r="Q157" s="27" t="s">
        <v>54</v>
      </c>
      <c r="R157" s="27">
        <v>42</v>
      </c>
      <c r="S157" s="27">
        <v>42</v>
      </c>
      <c r="T157" s="29">
        <v>72</v>
      </c>
      <c r="U157" s="29">
        <v>2.9</v>
      </c>
      <c r="V157" s="29">
        <v>31.21</v>
      </c>
      <c r="W157" s="30">
        <v>15242.53</v>
      </c>
      <c r="X157" s="27">
        <v>8.01</v>
      </c>
      <c r="Y157" s="27" t="s">
        <v>71</v>
      </c>
      <c r="Z157" s="29">
        <v>37</v>
      </c>
      <c r="AA157" s="30">
        <v>24734.39</v>
      </c>
      <c r="AB157" s="29">
        <v>0.95969773299748096</v>
      </c>
      <c r="AC157" s="30">
        <v>19127.919999999998</v>
      </c>
      <c r="AD157" s="30">
        <v>153.57712846347599</v>
      </c>
      <c r="AE157" s="27">
        <v>522.9</v>
      </c>
      <c r="AF157" s="29">
        <v>0.93689041881812996</v>
      </c>
      <c r="AG157" s="30">
        <v>5452.89287153653</v>
      </c>
      <c r="AH157" s="31">
        <f t="shared" si="33"/>
        <v>1.0629183400267737</v>
      </c>
      <c r="AI157" s="31">
        <f t="shared" si="34"/>
        <v>4.0302267002518891E-2</v>
      </c>
      <c r="AJ157" s="31">
        <f t="shared" si="35"/>
        <v>1.0075566750629723E-2</v>
      </c>
      <c r="AK157" s="31">
        <f t="shared" si="36"/>
        <v>0.95969773299748107</v>
      </c>
      <c r="AL157" s="29">
        <f t="shared" si="37"/>
        <v>0.55000000000000004</v>
      </c>
      <c r="AM157" s="29">
        <f t="shared" si="38"/>
        <v>489.9</v>
      </c>
      <c r="AN157" s="29">
        <f t="shared" si="39"/>
        <v>1.6207389263114922</v>
      </c>
      <c r="AO157" s="29">
        <f t="shared" si="40"/>
        <v>1.4285714285714286</v>
      </c>
      <c r="AP157" s="31">
        <f t="shared" si="41"/>
        <v>1.1345172484180446</v>
      </c>
      <c r="AQ157" s="31">
        <f t="shared" si="42"/>
        <v>0.95969773299748107</v>
      </c>
      <c r="AR157" s="31">
        <f t="shared" si="43"/>
        <v>1.0200803212851408</v>
      </c>
      <c r="AS157" s="29">
        <f t="shared" si="44"/>
        <v>24.090579345088159</v>
      </c>
      <c r="AT157" s="29">
        <f t="shared" si="45"/>
        <v>6.8676232638999117</v>
      </c>
      <c r="AU157" s="27" t="str">
        <f t="shared" si="46"/>
        <v>High</v>
      </c>
      <c r="AV157" s="27" t="str">
        <f t="shared" si="47"/>
        <v>Normal</v>
      </c>
      <c r="AW157" s="27"/>
    </row>
    <row r="158" spans="1:49" x14ac:dyDescent="0.25">
      <c r="A158" s="27">
        <v>157</v>
      </c>
      <c r="B158" s="28">
        <v>46080</v>
      </c>
      <c r="C158" s="28" t="str">
        <f t="shared" si="32"/>
        <v>February</v>
      </c>
      <c r="D158" s="27" t="s">
        <v>67</v>
      </c>
      <c r="E158" s="27" t="s">
        <v>98</v>
      </c>
      <c r="F158" s="27" t="s">
        <v>126</v>
      </c>
      <c r="G158" s="27" t="s">
        <v>78</v>
      </c>
      <c r="H158" s="27" t="s">
        <v>57</v>
      </c>
      <c r="I158" s="27" t="s">
        <v>280</v>
      </c>
      <c r="J158" s="27" t="s">
        <v>143</v>
      </c>
      <c r="K158" s="27">
        <v>704</v>
      </c>
      <c r="L158" s="27">
        <v>628</v>
      </c>
      <c r="M158" s="27">
        <v>572</v>
      </c>
      <c r="N158" s="27">
        <v>56</v>
      </c>
      <c r="O158" s="27">
        <v>21</v>
      </c>
      <c r="P158" s="27">
        <v>49</v>
      </c>
      <c r="Q158" s="27" t="s">
        <v>75</v>
      </c>
      <c r="R158" s="27">
        <v>45</v>
      </c>
      <c r="S158" s="27">
        <v>48</v>
      </c>
      <c r="T158" s="29">
        <v>72.3</v>
      </c>
      <c r="U158" s="29">
        <v>1.54</v>
      </c>
      <c r="V158" s="29">
        <v>28.12</v>
      </c>
      <c r="W158" s="30">
        <v>13102.07</v>
      </c>
      <c r="X158" s="27">
        <v>8.65</v>
      </c>
      <c r="Y158" s="27" t="s">
        <v>55</v>
      </c>
      <c r="Z158" s="29">
        <v>1</v>
      </c>
      <c r="AA158" s="30">
        <v>20144.189999999999</v>
      </c>
      <c r="AB158" s="29">
        <v>0.91082802547770703</v>
      </c>
      <c r="AC158" s="30">
        <v>17247.650000000001</v>
      </c>
      <c r="AD158" s="30">
        <v>438.12654458598701</v>
      </c>
      <c r="AE158" s="27">
        <v>528</v>
      </c>
      <c r="AF158" s="29">
        <v>0.90719696969696995</v>
      </c>
      <c r="AG158" s="30">
        <v>2458.4134554140101</v>
      </c>
      <c r="AH158" s="31">
        <f t="shared" si="33"/>
        <v>0.89204545454545459</v>
      </c>
      <c r="AI158" s="31">
        <f t="shared" si="34"/>
        <v>8.9171974522292988E-2</v>
      </c>
      <c r="AJ158" s="31">
        <f t="shared" si="35"/>
        <v>3.3439490445859872E-2</v>
      </c>
      <c r="AK158" s="31">
        <f t="shared" si="36"/>
        <v>0.91082802547770703</v>
      </c>
      <c r="AL158" s="29">
        <f t="shared" si="37"/>
        <v>0.81666666666666665</v>
      </c>
      <c r="AM158" s="29">
        <f t="shared" si="38"/>
        <v>479</v>
      </c>
      <c r="AN158" s="29">
        <f t="shared" si="39"/>
        <v>1.3110647181628392</v>
      </c>
      <c r="AO158" s="29">
        <f t="shared" si="40"/>
        <v>1.3333333333333333</v>
      </c>
      <c r="AP158" s="31">
        <f t="shared" si="41"/>
        <v>0.98329853862212946</v>
      </c>
      <c r="AQ158" s="31">
        <f t="shared" si="42"/>
        <v>0.91082802547770703</v>
      </c>
      <c r="AR158" s="31">
        <f t="shared" si="43"/>
        <v>0.81250000000000022</v>
      </c>
      <c r="AS158" s="29">
        <f t="shared" si="44"/>
        <v>27.464410828025478</v>
      </c>
      <c r="AT158" s="29">
        <f t="shared" si="45"/>
        <v>3.9146711073471496</v>
      </c>
      <c r="AU158" s="27" t="str">
        <f t="shared" si="46"/>
        <v>Medium</v>
      </c>
      <c r="AV158" s="27" t="str">
        <f t="shared" si="47"/>
        <v>Warning</v>
      </c>
      <c r="AW158" s="27"/>
    </row>
    <row r="159" spans="1:49" x14ac:dyDescent="0.25">
      <c r="A159" s="27">
        <v>158</v>
      </c>
      <c r="B159" s="28">
        <v>46072</v>
      </c>
      <c r="C159" s="28" t="str">
        <f t="shared" si="32"/>
        <v>February</v>
      </c>
      <c r="D159" s="27" t="s">
        <v>67</v>
      </c>
      <c r="E159" s="27" t="s">
        <v>61</v>
      </c>
      <c r="F159" s="27" t="s">
        <v>88</v>
      </c>
      <c r="G159" s="27" t="s">
        <v>78</v>
      </c>
      <c r="H159" s="27" t="s">
        <v>51</v>
      </c>
      <c r="I159" s="27" t="s">
        <v>281</v>
      </c>
      <c r="J159" s="27" t="s">
        <v>134</v>
      </c>
      <c r="K159" s="27">
        <v>781</v>
      </c>
      <c r="L159" s="27">
        <v>741</v>
      </c>
      <c r="M159" s="27">
        <v>712</v>
      </c>
      <c r="N159" s="27">
        <v>29</v>
      </c>
      <c r="O159" s="27">
        <v>10</v>
      </c>
      <c r="P159" s="27">
        <v>0</v>
      </c>
      <c r="Q159" s="27" t="s">
        <v>60</v>
      </c>
      <c r="R159" s="27">
        <v>42</v>
      </c>
      <c r="S159" s="27">
        <v>42</v>
      </c>
      <c r="T159" s="29">
        <v>68.7</v>
      </c>
      <c r="U159" s="29">
        <v>1.86</v>
      </c>
      <c r="V159" s="29">
        <v>22.24</v>
      </c>
      <c r="W159" s="30">
        <v>13416.72</v>
      </c>
      <c r="X159" s="27">
        <v>6.99</v>
      </c>
      <c r="Y159" s="27" t="s">
        <v>110</v>
      </c>
      <c r="Z159" s="29">
        <v>9</v>
      </c>
      <c r="AA159" s="30">
        <v>22942.04</v>
      </c>
      <c r="AB159" s="29">
        <v>0.96086369770580304</v>
      </c>
      <c r="AC159" s="30">
        <v>16762.38</v>
      </c>
      <c r="AD159" s="30">
        <v>181.062348178138</v>
      </c>
      <c r="AE159" s="27">
        <v>546.70000000000005</v>
      </c>
      <c r="AF159" s="29">
        <v>1</v>
      </c>
      <c r="AG159" s="30">
        <v>5998.5976518218604</v>
      </c>
      <c r="AH159" s="31">
        <f t="shared" si="33"/>
        <v>0.94878361075544171</v>
      </c>
      <c r="AI159" s="31">
        <f t="shared" si="34"/>
        <v>3.9136302294197033E-2</v>
      </c>
      <c r="AJ159" s="31">
        <f t="shared" si="35"/>
        <v>1.3495276653171391E-2</v>
      </c>
      <c r="AK159" s="31">
        <f t="shared" si="36"/>
        <v>0.96086369770580293</v>
      </c>
      <c r="AL159" s="29">
        <f t="shared" si="37"/>
        <v>0</v>
      </c>
      <c r="AM159" s="29">
        <f t="shared" si="38"/>
        <v>546.70000000000005</v>
      </c>
      <c r="AN159" s="29">
        <f t="shared" si="39"/>
        <v>1.3554051582220594</v>
      </c>
      <c r="AO159" s="29">
        <f t="shared" si="40"/>
        <v>1.4285714285714286</v>
      </c>
      <c r="AP159" s="31">
        <f t="shared" si="41"/>
        <v>0.9487836107554416</v>
      </c>
      <c r="AQ159" s="31">
        <f t="shared" si="42"/>
        <v>0.96086369770580293</v>
      </c>
      <c r="AR159" s="31">
        <f t="shared" si="43"/>
        <v>0.91165172855313681</v>
      </c>
      <c r="AS159" s="29">
        <f t="shared" si="44"/>
        <v>22.621295546558706</v>
      </c>
      <c r="AT159" s="29">
        <f t="shared" si="45"/>
        <v>8.0952734842400282</v>
      </c>
      <c r="AU159" s="27" t="str">
        <f t="shared" si="46"/>
        <v>Medium</v>
      </c>
      <c r="AV159" s="27" t="str">
        <f t="shared" si="47"/>
        <v>Normal</v>
      </c>
      <c r="AW159" s="27"/>
    </row>
    <row r="160" spans="1:49" x14ac:dyDescent="0.25">
      <c r="A160" s="27">
        <v>159</v>
      </c>
      <c r="B160" s="28">
        <v>46192</v>
      </c>
      <c r="C160" s="28" t="str">
        <f t="shared" si="32"/>
        <v>June</v>
      </c>
      <c r="D160" s="27" t="s">
        <v>67</v>
      </c>
      <c r="E160" s="27" t="s">
        <v>61</v>
      </c>
      <c r="F160" s="27" t="s">
        <v>95</v>
      </c>
      <c r="G160" s="27" t="s">
        <v>63</v>
      </c>
      <c r="H160" s="27" t="s">
        <v>51</v>
      </c>
      <c r="I160" s="27" t="s">
        <v>282</v>
      </c>
      <c r="J160" s="27" t="s">
        <v>70</v>
      </c>
      <c r="K160" s="27">
        <v>832</v>
      </c>
      <c r="L160" s="27">
        <v>873</v>
      </c>
      <c r="M160" s="27">
        <v>828</v>
      </c>
      <c r="N160" s="27">
        <v>45</v>
      </c>
      <c r="O160" s="27">
        <v>11</v>
      </c>
      <c r="P160" s="27">
        <v>18</v>
      </c>
      <c r="Q160" s="27" t="s">
        <v>54</v>
      </c>
      <c r="R160" s="27">
        <v>42</v>
      </c>
      <c r="S160" s="27">
        <v>44</v>
      </c>
      <c r="T160" s="29">
        <v>74.599999999999994</v>
      </c>
      <c r="U160" s="29">
        <v>2.57</v>
      </c>
      <c r="V160" s="29">
        <v>36.299999999999997</v>
      </c>
      <c r="W160" s="30">
        <v>16101.77</v>
      </c>
      <c r="X160" s="27">
        <v>9.5</v>
      </c>
      <c r="Y160" s="27" t="s">
        <v>66</v>
      </c>
      <c r="Z160" s="29">
        <v>3</v>
      </c>
      <c r="AA160" s="30">
        <v>26733.35</v>
      </c>
      <c r="AB160" s="29">
        <v>0.94845360824742297</v>
      </c>
      <c r="AC160" s="30">
        <v>20703.47</v>
      </c>
      <c r="AD160" s="30">
        <v>202.88599083619701</v>
      </c>
      <c r="AE160" s="27">
        <v>582.4</v>
      </c>
      <c r="AF160" s="29">
        <v>0.96909340659340704</v>
      </c>
      <c r="AG160" s="30">
        <v>5826.9940091638</v>
      </c>
      <c r="AH160" s="31">
        <f t="shared" si="33"/>
        <v>1.0492788461538463</v>
      </c>
      <c r="AI160" s="31">
        <f t="shared" si="34"/>
        <v>5.1546391752577317E-2</v>
      </c>
      <c r="AJ160" s="31">
        <f t="shared" si="35"/>
        <v>1.2600229095074456E-2</v>
      </c>
      <c r="AK160" s="31">
        <f t="shared" si="36"/>
        <v>0.94845360824742264</v>
      </c>
      <c r="AL160" s="29">
        <f t="shared" si="37"/>
        <v>0.3</v>
      </c>
      <c r="AM160" s="29">
        <f t="shared" si="38"/>
        <v>564.4</v>
      </c>
      <c r="AN160" s="29">
        <f t="shared" si="39"/>
        <v>1.5467753366406805</v>
      </c>
      <c r="AO160" s="29">
        <f t="shared" si="40"/>
        <v>1.4285714285714286</v>
      </c>
      <c r="AP160" s="31">
        <f t="shared" si="41"/>
        <v>1.0827427356484762</v>
      </c>
      <c r="AQ160" s="31">
        <f t="shared" si="42"/>
        <v>0.94845360824742264</v>
      </c>
      <c r="AR160" s="31">
        <f t="shared" si="43"/>
        <v>0.99519230769230815</v>
      </c>
      <c r="AS160" s="29">
        <f t="shared" si="44"/>
        <v>23.71531500572738</v>
      </c>
      <c r="AT160" s="29">
        <f t="shared" si="45"/>
        <v>6.6746781319172968</v>
      </c>
      <c r="AU160" s="27" t="str">
        <f t="shared" si="46"/>
        <v>Low</v>
      </c>
      <c r="AV160" s="27" t="str">
        <f t="shared" si="47"/>
        <v>Normal</v>
      </c>
      <c r="AW160" s="27"/>
    </row>
    <row r="161" spans="1:49" x14ac:dyDescent="0.25">
      <c r="A161" s="27">
        <v>160</v>
      </c>
      <c r="B161" s="28">
        <v>46052</v>
      </c>
      <c r="C161" s="28" t="str">
        <f t="shared" si="32"/>
        <v>January</v>
      </c>
      <c r="D161" s="27" t="s">
        <v>67</v>
      </c>
      <c r="E161" s="27" t="s">
        <v>61</v>
      </c>
      <c r="F161" s="27" t="s">
        <v>88</v>
      </c>
      <c r="G161" s="27" t="s">
        <v>78</v>
      </c>
      <c r="H161" s="27" t="s">
        <v>124</v>
      </c>
      <c r="I161" s="27" t="s">
        <v>283</v>
      </c>
      <c r="J161" s="27" t="s">
        <v>115</v>
      </c>
      <c r="K161" s="27">
        <v>530</v>
      </c>
      <c r="L161" s="27">
        <v>573</v>
      </c>
      <c r="M161" s="27">
        <v>551</v>
      </c>
      <c r="N161" s="27">
        <v>22</v>
      </c>
      <c r="O161" s="27">
        <v>9</v>
      </c>
      <c r="P161" s="27">
        <v>0</v>
      </c>
      <c r="Q161" s="27" t="s">
        <v>60</v>
      </c>
      <c r="R161" s="27">
        <v>57</v>
      </c>
      <c r="S161" s="27">
        <v>64</v>
      </c>
      <c r="T161" s="29">
        <v>67.3</v>
      </c>
      <c r="U161" s="29">
        <v>2.4</v>
      </c>
      <c r="V161" s="29">
        <v>22.17</v>
      </c>
      <c r="W161" s="30">
        <v>16330.1</v>
      </c>
      <c r="X161" s="27">
        <v>9.3699999999999992</v>
      </c>
      <c r="Y161" s="27" t="s">
        <v>55</v>
      </c>
      <c r="Z161" s="29">
        <v>12</v>
      </c>
      <c r="AA161" s="30">
        <v>25951.69</v>
      </c>
      <c r="AB161" s="29">
        <v>0.961605584642234</v>
      </c>
      <c r="AC161" s="30">
        <v>20746.13</v>
      </c>
      <c r="AD161" s="30">
        <v>256.49371727748701</v>
      </c>
      <c r="AE161" s="27">
        <v>503.5</v>
      </c>
      <c r="AF161" s="29">
        <v>1</v>
      </c>
      <c r="AG161" s="30">
        <v>4949.0662827225096</v>
      </c>
      <c r="AH161" s="31">
        <f t="shared" si="33"/>
        <v>1.0811320754716982</v>
      </c>
      <c r="AI161" s="31">
        <f t="shared" si="34"/>
        <v>3.8394415357766144E-2</v>
      </c>
      <c r="AJ161" s="31">
        <f t="shared" si="35"/>
        <v>1.5706806282722512E-2</v>
      </c>
      <c r="AK161" s="31">
        <f t="shared" si="36"/>
        <v>0.96160558464223389</v>
      </c>
      <c r="AL161" s="29">
        <f t="shared" si="37"/>
        <v>0</v>
      </c>
      <c r="AM161" s="29">
        <f t="shared" si="38"/>
        <v>503.5</v>
      </c>
      <c r="AN161" s="29">
        <f t="shared" si="39"/>
        <v>1.1380337636544191</v>
      </c>
      <c r="AO161" s="29">
        <f t="shared" si="40"/>
        <v>1.0526315789473684</v>
      </c>
      <c r="AP161" s="31">
        <f t="shared" si="41"/>
        <v>1.0811320754716982</v>
      </c>
      <c r="AQ161" s="31">
        <f t="shared" si="42"/>
        <v>0.96160558464223389</v>
      </c>
      <c r="AR161" s="31">
        <f t="shared" si="43"/>
        <v>1.0396226415094341</v>
      </c>
      <c r="AS161" s="29">
        <f t="shared" si="44"/>
        <v>36.206160558464227</v>
      </c>
      <c r="AT161" s="29">
        <f t="shared" si="45"/>
        <v>8.6371139314528964</v>
      </c>
      <c r="AU161" s="27" t="str">
        <f t="shared" si="46"/>
        <v>Low</v>
      </c>
      <c r="AV161" s="27" t="str">
        <f t="shared" si="47"/>
        <v>Normal</v>
      </c>
      <c r="AW161" s="27"/>
    </row>
    <row r="162" spans="1:49" x14ac:dyDescent="0.25">
      <c r="A162" s="27">
        <v>161</v>
      </c>
      <c r="B162" s="28">
        <v>46072</v>
      </c>
      <c r="C162" s="28" t="str">
        <f t="shared" si="32"/>
        <v>February</v>
      </c>
      <c r="D162" s="27" t="s">
        <v>67</v>
      </c>
      <c r="E162" s="27" t="s">
        <v>76</v>
      </c>
      <c r="F162" s="27" t="s">
        <v>77</v>
      </c>
      <c r="G162" s="27" t="s">
        <v>78</v>
      </c>
      <c r="H162" s="27" t="s">
        <v>51</v>
      </c>
      <c r="I162" s="27" t="s">
        <v>284</v>
      </c>
      <c r="J162" s="27" t="s">
        <v>128</v>
      </c>
      <c r="K162" s="27">
        <v>723</v>
      </c>
      <c r="L162" s="27">
        <v>622</v>
      </c>
      <c r="M162" s="27">
        <v>574</v>
      </c>
      <c r="N162" s="27">
        <v>48</v>
      </c>
      <c r="O162" s="27">
        <v>14</v>
      </c>
      <c r="P162" s="27">
        <v>44</v>
      </c>
      <c r="Q162" s="27" t="s">
        <v>54</v>
      </c>
      <c r="R162" s="27">
        <v>42</v>
      </c>
      <c r="S162" s="27">
        <v>46</v>
      </c>
      <c r="T162" s="29">
        <v>69.099999999999994</v>
      </c>
      <c r="U162" s="29">
        <v>2.5299999999999998</v>
      </c>
      <c r="V162" s="29">
        <v>25.69</v>
      </c>
      <c r="W162" s="30">
        <v>11763.9</v>
      </c>
      <c r="X162" s="27">
        <v>6.26</v>
      </c>
      <c r="Y162" s="27" t="s">
        <v>110</v>
      </c>
      <c r="Z162" s="29">
        <v>28</v>
      </c>
      <c r="AA162" s="30">
        <v>17858.71</v>
      </c>
      <c r="AB162" s="29">
        <v>0.92282958199356901</v>
      </c>
      <c r="AC162" s="30">
        <v>14812.11</v>
      </c>
      <c r="AD162" s="30">
        <v>264.78231511254</v>
      </c>
      <c r="AE162" s="27">
        <v>506.1</v>
      </c>
      <c r="AF162" s="29">
        <v>0.91306065994862695</v>
      </c>
      <c r="AG162" s="30">
        <v>2781.81768488746</v>
      </c>
      <c r="AH162" s="31">
        <f t="shared" si="33"/>
        <v>0.86030428769017986</v>
      </c>
      <c r="AI162" s="31">
        <f t="shared" si="34"/>
        <v>7.7170418006430874E-2</v>
      </c>
      <c r="AJ162" s="31">
        <f t="shared" si="35"/>
        <v>2.2508038585209004E-2</v>
      </c>
      <c r="AK162" s="31">
        <f t="shared" si="36"/>
        <v>0.92282958199356913</v>
      </c>
      <c r="AL162" s="29">
        <f t="shared" si="37"/>
        <v>0.73333333333333328</v>
      </c>
      <c r="AM162" s="29">
        <f t="shared" si="38"/>
        <v>462.1</v>
      </c>
      <c r="AN162" s="29">
        <f t="shared" si="39"/>
        <v>1.3460289980523696</v>
      </c>
      <c r="AO162" s="29">
        <f t="shared" si="40"/>
        <v>1.4285714285714286</v>
      </c>
      <c r="AP162" s="31">
        <f t="shared" si="41"/>
        <v>0.94222029863665868</v>
      </c>
      <c r="AQ162" s="31">
        <f t="shared" si="42"/>
        <v>0.92282958199356913</v>
      </c>
      <c r="AR162" s="31">
        <f t="shared" si="43"/>
        <v>0.79391424619640405</v>
      </c>
      <c r="AS162" s="29">
        <f t="shared" si="44"/>
        <v>23.813681672025723</v>
      </c>
      <c r="AT162" s="29">
        <f t="shared" si="45"/>
        <v>4.4723756991759807</v>
      </c>
      <c r="AU162" s="27" t="str">
        <f t="shared" si="46"/>
        <v>High</v>
      </c>
      <c r="AV162" s="27" t="str">
        <f t="shared" si="47"/>
        <v>Warning</v>
      </c>
      <c r="AW162" s="27"/>
    </row>
    <row r="163" spans="1:49" x14ac:dyDescent="0.25">
      <c r="A163" s="27">
        <v>162</v>
      </c>
      <c r="B163" s="28">
        <v>46041</v>
      </c>
      <c r="C163" s="28" t="str">
        <f t="shared" si="32"/>
        <v>January</v>
      </c>
      <c r="D163" s="27" t="s">
        <v>47</v>
      </c>
      <c r="E163" s="27" t="s">
        <v>98</v>
      </c>
      <c r="F163" s="27" t="s">
        <v>99</v>
      </c>
      <c r="G163" s="27" t="s">
        <v>63</v>
      </c>
      <c r="H163" s="27" t="s">
        <v>124</v>
      </c>
      <c r="I163" s="27" t="s">
        <v>285</v>
      </c>
      <c r="J163" s="27" t="s">
        <v>286</v>
      </c>
      <c r="K163" s="27">
        <v>753</v>
      </c>
      <c r="L163" s="27">
        <v>721</v>
      </c>
      <c r="M163" s="27">
        <v>688</v>
      </c>
      <c r="N163" s="27">
        <v>33</v>
      </c>
      <c r="O163" s="27">
        <v>11</v>
      </c>
      <c r="P163" s="27">
        <v>0</v>
      </c>
      <c r="Q163" s="27" t="s">
        <v>60</v>
      </c>
      <c r="R163" s="27">
        <v>57</v>
      </c>
      <c r="S163" s="27">
        <v>58</v>
      </c>
      <c r="T163" s="29">
        <v>79.400000000000006</v>
      </c>
      <c r="U163" s="29">
        <v>2.13</v>
      </c>
      <c r="V163" s="29">
        <v>25.98</v>
      </c>
      <c r="W163" s="30">
        <v>20031.189999999999</v>
      </c>
      <c r="X163" s="27">
        <v>9.11</v>
      </c>
      <c r="Y163" s="27" t="s">
        <v>55</v>
      </c>
      <c r="Z163" s="29">
        <v>2</v>
      </c>
      <c r="AA163" s="30">
        <v>32460.81</v>
      </c>
      <c r="AB163" s="29">
        <v>0.95423023578363397</v>
      </c>
      <c r="AC163" s="30">
        <v>24364.51</v>
      </c>
      <c r="AD163" s="30">
        <v>305.607614424411</v>
      </c>
      <c r="AE163" s="27">
        <v>715.35</v>
      </c>
      <c r="AF163" s="29">
        <v>1</v>
      </c>
      <c r="AG163" s="30">
        <v>7790.6923855755904</v>
      </c>
      <c r="AH163" s="31">
        <f t="shared" si="33"/>
        <v>0.95750332005312089</v>
      </c>
      <c r="AI163" s="31">
        <f t="shared" si="34"/>
        <v>4.5769764216366159E-2</v>
      </c>
      <c r="AJ163" s="31">
        <f t="shared" si="35"/>
        <v>1.5256588072122053E-2</v>
      </c>
      <c r="AK163" s="31">
        <f t="shared" si="36"/>
        <v>0.95423023578363386</v>
      </c>
      <c r="AL163" s="29">
        <f t="shared" si="37"/>
        <v>0</v>
      </c>
      <c r="AM163" s="29">
        <f t="shared" si="38"/>
        <v>715.35</v>
      </c>
      <c r="AN163" s="29">
        <f t="shared" si="39"/>
        <v>1.0078982316348639</v>
      </c>
      <c r="AO163" s="29">
        <f t="shared" si="40"/>
        <v>1.0526315789473684</v>
      </c>
      <c r="AP163" s="31">
        <f t="shared" si="41"/>
        <v>0.95750332005312078</v>
      </c>
      <c r="AQ163" s="31">
        <f t="shared" si="42"/>
        <v>0.95423023578363386</v>
      </c>
      <c r="AR163" s="31">
        <f t="shared" si="43"/>
        <v>0.91367861885790169</v>
      </c>
      <c r="AS163" s="29">
        <f t="shared" si="44"/>
        <v>33.792662968099862</v>
      </c>
      <c r="AT163" s="29">
        <f t="shared" si="45"/>
        <v>10.805398593031333</v>
      </c>
      <c r="AU163" s="27" t="str">
        <f t="shared" si="46"/>
        <v>Low</v>
      </c>
      <c r="AV163" s="27" t="str">
        <f t="shared" si="47"/>
        <v>Normal</v>
      </c>
      <c r="AW163" s="27"/>
    </row>
    <row r="164" spans="1:49" x14ac:dyDescent="0.25">
      <c r="A164" s="27">
        <v>163</v>
      </c>
      <c r="B164" s="28">
        <v>46050</v>
      </c>
      <c r="C164" s="28" t="str">
        <f t="shared" si="32"/>
        <v>January</v>
      </c>
      <c r="D164" s="27" t="s">
        <v>67</v>
      </c>
      <c r="E164" s="27" t="s">
        <v>129</v>
      </c>
      <c r="F164" s="27" t="s">
        <v>130</v>
      </c>
      <c r="G164" s="27" t="s">
        <v>50</v>
      </c>
      <c r="H164" s="27" t="s">
        <v>57</v>
      </c>
      <c r="I164" s="27" t="s">
        <v>287</v>
      </c>
      <c r="J164" s="27" t="s">
        <v>218</v>
      </c>
      <c r="K164" s="27">
        <v>875</v>
      </c>
      <c r="L164" s="27">
        <v>821</v>
      </c>
      <c r="M164" s="27">
        <v>714</v>
      </c>
      <c r="N164" s="27">
        <v>107</v>
      </c>
      <c r="O164" s="27">
        <v>36</v>
      </c>
      <c r="P164" s="27">
        <v>17</v>
      </c>
      <c r="Q164" s="27" t="s">
        <v>91</v>
      </c>
      <c r="R164" s="27">
        <v>45</v>
      </c>
      <c r="S164" s="27">
        <v>50</v>
      </c>
      <c r="T164" s="29">
        <v>76</v>
      </c>
      <c r="U164" s="29">
        <v>3.3</v>
      </c>
      <c r="V164" s="29">
        <v>33.81</v>
      </c>
      <c r="W164" s="30">
        <v>17587.400000000001</v>
      </c>
      <c r="X164" s="27">
        <v>7.19</v>
      </c>
      <c r="Y164" s="27" t="s">
        <v>55</v>
      </c>
      <c r="Z164" s="29">
        <v>38</v>
      </c>
      <c r="AA164" s="30">
        <v>25099.03</v>
      </c>
      <c r="AB164" s="29">
        <v>0.86967113276492103</v>
      </c>
      <c r="AC164" s="30">
        <v>21127.19</v>
      </c>
      <c r="AD164" s="30">
        <v>771.18928136419004</v>
      </c>
      <c r="AE164" s="27">
        <v>656.25</v>
      </c>
      <c r="AF164" s="29">
        <v>0.97409523809523801</v>
      </c>
      <c r="AG164" s="30">
        <v>3200.6507186358099</v>
      </c>
      <c r="AH164" s="31">
        <f t="shared" si="33"/>
        <v>0.93828571428571428</v>
      </c>
      <c r="AI164" s="31">
        <f t="shared" si="34"/>
        <v>0.13032886723507917</v>
      </c>
      <c r="AJ164" s="31">
        <f t="shared" si="35"/>
        <v>4.38489646772229E-2</v>
      </c>
      <c r="AK164" s="31">
        <f t="shared" si="36"/>
        <v>0.86967113276492081</v>
      </c>
      <c r="AL164" s="29">
        <f t="shared" si="37"/>
        <v>0.28333333333333333</v>
      </c>
      <c r="AM164" s="29">
        <f t="shared" si="38"/>
        <v>639.25</v>
      </c>
      <c r="AN164" s="29">
        <f t="shared" si="39"/>
        <v>1.2843175596402034</v>
      </c>
      <c r="AO164" s="29">
        <f t="shared" si="40"/>
        <v>1.3333333333333333</v>
      </c>
      <c r="AP164" s="31">
        <f t="shared" si="41"/>
        <v>0.96323816973015264</v>
      </c>
      <c r="AQ164" s="31">
        <f t="shared" si="42"/>
        <v>0.86967113276492081</v>
      </c>
      <c r="AR164" s="31">
        <f t="shared" si="43"/>
        <v>0.81599999999999995</v>
      </c>
      <c r="AS164" s="29">
        <f t="shared" si="44"/>
        <v>25.733483556638244</v>
      </c>
      <c r="AT164" s="29">
        <f t="shared" si="45"/>
        <v>3.8984783418219364</v>
      </c>
      <c r="AU164" s="27" t="str">
        <f t="shared" si="46"/>
        <v>High</v>
      </c>
      <c r="AV164" s="27" t="str">
        <f t="shared" si="47"/>
        <v>Warning</v>
      </c>
      <c r="AW164" s="27"/>
    </row>
    <row r="165" spans="1:49" x14ac:dyDescent="0.25">
      <c r="A165" s="27">
        <v>164</v>
      </c>
      <c r="B165" s="28">
        <v>46123</v>
      </c>
      <c r="C165" s="28" t="str">
        <f t="shared" si="32"/>
        <v>April</v>
      </c>
      <c r="D165" s="27" t="s">
        <v>47</v>
      </c>
      <c r="E165" s="27" t="s">
        <v>129</v>
      </c>
      <c r="F165" s="27" t="s">
        <v>167</v>
      </c>
      <c r="G165" s="27" t="s">
        <v>63</v>
      </c>
      <c r="H165" s="27" t="s">
        <v>68</v>
      </c>
      <c r="I165" s="27" t="s">
        <v>288</v>
      </c>
      <c r="J165" s="27" t="s">
        <v>170</v>
      </c>
      <c r="K165" s="27">
        <v>504</v>
      </c>
      <c r="L165" s="27">
        <v>425</v>
      </c>
      <c r="M165" s="27">
        <v>388</v>
      </c>
      <c r="N165" s="27">
        <v>37</v>
      </c>
      <c r="O165" s="27">
        <v>14</v>
      </c>
      <c r="P165" s="27">
        <v>12</v>
      </c>
      <c r="Q165" s="27" t="s">
        <v>54</v>
      </c>
      <c r="R165" s="27">
        <v>64</v>
      </c>
      <c r="S165" s="27">
        <v>63</v>
      </c>
      <c r="T165" s="29">
        <v>73.7</v>
      </c>
      <c r="U165" s="29">
        <v>1.87</v>
      </c>
      <c r="V165" s="29">
        <v>17.440000000000001</v>
      </c>
      <c r="W165" s="30">
        <v>13858.58</v>
      </c>
      <c r="X165" s="27">
        <v>8.84</v>
      </c>
      <c r="Y165" s="27" t="s">
        <v>55</v>
      </c>
      <c r="Z165" s="29">
        <v>16</v>
      </c>
      <c r="AA165" s="30">
        <v>20236.12</v>
      </c>
      <c r="AB165" s="29">
        <v>0.91294117647058803</v>
      </c>
      <c r="AC165" s="30">
        <v>17993.54</v>
      </c>
      <c r="AD165" s="30">
        <v>456.51792941176501</v>
      </c>
      <c r="AE165" s="27">
        <v>537.6</v>
      </c>
      <c r="AF165" s="29">
        <v>0.97767857142857095</v>
      </c>
      <c r="AG165" s="30">
        <v>1786.06207058823</v>
      </c>
      <c r="AH165" s="31">
        <f t="shared" si="33"/>
        <v>0.84325396825396826</v>
      </c>
      <c r="AI165" s="31">
        <f t="shared" si="34"/>
        <v>8.7058823529411758E-2</v>
      </c>
      <c r="AJ165" s="31">
        <f t="shared" si="35"/>
        <v>3.2941176470588238E-2</v>
      </c>
      <c r="AK165" s="31">
        <f t="shared" si="36"/>
        <v>0.91294117647058826</v>
      </c>
      <c r="AL165" s="29">
        <f t="shared" si="37"/>
        <v>0.2</v>
      </c>
      <c r="AM165" s="29">
        <f t="shared" si="38"/>
        <v>525.6</v>
      </c>
      <c r="AN165" s="29">
        <f t="shared" si="39"/>
        <v>0.80859969558599687</v>
      </c>
      <c r="AO165" s="29">
        <f t="shared" si="40"/>
        <v>0.9375</v>
      </c>
      <c r="AP165" s="31">
        <f t="shared" si="41"/>
        <v>0.86250634195839671</v>
      </c>
      <c r="AQ165" s="31">
        <f t="shared" si="42"/>
        <v>0.91294117647058826</v>
      </c>
      <c r="AR165" s="31">
        <f t="shared" si="43"/>
        <v>0.76984126984126944</v>
      </c>
      <c r="AS165" s="29">
        <f t="shared" si="44"/>
        <v>42.337741176470587</v>
      </c>
      <c r="AT165" s="29">
        <f t="shared" si="45"/>
        <v>4.2024989896193645</v>
      </c>
      <c r="AU165" s="27" t="str">
        <f t="shared" si="46"/>
        <v>High</v>
      </c>
      <c r="AV165" s="27" t="str">
        <f t="shared" si="47"/>
        <v>Warning</v>
      </c>
      <c r="AW165" s="27"/>
    </row>
    <row r="166" spans="1:49" x14ac:dyDescent="0.25">
      <c r="A166" s="27">
        <v>165</v>
      </c>
      <c r="B166" s="28">
        <v>46097</v>
      </c>
      <c r="C166" s="28" t="str">
        <f t="shared" si="32"/>
        <v>March</v>
      </c>
      <c r="D166" s="27" t="s">
        <v>47</v>
      </c>
      <c r="E166" s="27" t="s">
        <v>129</v>
      </c>
      <c r="F166" s="27" t="s">
        <v>167</v>
      </c>
      <c r="G166" s="27" t="s">
        <v>50</v>
      </c>
      <c r="H166" s="27" t="s">
        <v>124</v>
      </c>
      <c r="I166" s="27" t="s">
        <v>289</v>
      </c>
      <c r="J166" s="27" t="s">
        <v>226</v>
      </c>
      <c r="K166" s="27">
        <v>611</v>
      </c>
      <c r="L166" s="27">
        <v>525</v>
      </c>
      <c r="M166" s="27">
        <v>480</v>
      </c>
      <c r="N166" s="27">
        <v>45</v>
      </c>
      <c r="O166" s="27">
        <v>14</v>
      </c>
      <c r="P166" s="27">
        <v>18</v>
      </c>
      <c r="Q166" s="27" t="s">
        <v>102</v>
      </c>
      <c r="R166" s="27">
        <v>57</v>
      </c>
      <c r="S166" s="27">
        <v>62</v>
      </c>
      <c r="T166" s="29">
        <v>77</v>
      </c>
      <c r="U166" s="29">
        <v>1.84</v>
      </c>
      <c r="V166" s="29">
        <v>18.05</v>
      </c>
      <c r="W166" s="30">
        <v>14313.29</v>
      </c>
      <c r="X166" s="27">
        <v>6.2</v>
      </c>
      <c r="Y166" s="27" t="s">
        <v>55</v>
      </c>
      <c r="Z166" s="29">
        <v>20</v>
      </c>
      <c r="AA166" s="30">
        <v>21711.08</v>
      </c>
      <c r="AB166" s="29">
        <v>0.91428571428571404</v>
      </c>
      <c r="AC166" s="30">
        <v>17265.740000000002</v>
      </c>
      <c r="AD166" s="30">
        <v>381.68773333333297</v>
      </c>
      <c r="AE166" s="27">
        <v>580.45000000000005</v>
      </c>
      <c r="AF166" s="29">
        <v>0.96898957705228705</v>
      </c>
      <c r="AG166" s="30">
        <v>4063.6522666666701</v>
      </c>
      <c r="AH166" s="31">
        <f t="shared" si="33"/>
        <v>0.85924713584288048</v>
      </c>
      <c r="AI166" s="31">
        <f t="shared" si="34"/>
        <v>8.5714285714285715E-2</v>
      </c>
      <c r="AJ166" s="31">
        <f t="shared" si="35"/>
        <v>2.6666666666666668E-2</v>
      </c>
      <c r="AK166" s="31">
        <f t="shared" si="36"/>
        <v>0.91428571428571426</v>
      </c>
      <c r="AL166" s="29">
        <f t="shared" si="37"/>
        <v>0.3</v>
      </c>
      <c r="AM166" s="29">
        <f t="shared" si="38"/>
        <v>562.45000000000005</v>
      </c>
      <c r="AN166" s="29">
        <f t="shared" si="39"/>
        <v>0.93341630367143735</v>
      </c>
      <c r="AO166" s="29">
        <f t="shared" si="40"/>
        <v>1.0526315789473684</v>
      </c>
      <c r="AP166" s="31">
        <f t="shared" si="41"/>
        <v>0.8867454884878655</v>
      </c>
      <c r="AQ166" s="31">
        <f t="shared" si="42"/>
        <v>0.91428571428571426</v>
      </c>
      <c r="AR166" s="31">
        <f t="shared" si="43"/>
        <v>0.78559738134206214</v>
      </c>
      <c r="AS166" s="29">
        <f t="shared" si="44"/>
        <v>32.887123809523814</v>
      </c>
      <c r="AT166" s="29">
        <f t="shared" si="45"/>
        <v>7.7402900317460386</v>
      </c>
      <c r="AU166" s="27" t="str">
        <f t="shared" si="46"/>
        <v>High</v>
      </c>
      <c r="AV166" s="27" t="str">
        <f t="shared" si="47"/>
        <v>Warning</v>
      </c>
      <c r="AW166" s="27"/>
    </row>
    <row r="167" spans="1:49" x14ac:dyDescent="0.25">
      <c r="A167" s="27">
        <v>166</v>
      </c>
      <c r="B167" s="28">
        <v>46187</v>
      </c>
      <c r="C167" s="28" t="str">
        <f t="shared" si="32"/>
        <v>June</v>
      </c>
      <c r="D167" s="27" t="s">
        <v>67</v>
      </c>
      <c r="E167" s="27" t="s">
        <v>129</v>
      </c>
      <c r="F167" s="27" t="s">
        <v>151</v>
      </c>
      <c r="G167" s="27" t="s">
        <v>50</v>
      </c>
      <c r="H167" s="27" t="s">
        <v>57</v>
      </c>
      <c r="I167" s="27" t="s">
        <v>290</v>
      </c>
      <c r="J167" s="27" t="s">
        <v>84</v>
      </c>
      <c r="K167" s="27">
        <v>916</v>
      </c>
      <c r="L167" s="27">
        <v>810</v>
      </c>
      <c r="M167" s="27">
        <v>761</v>
      </c>
      <c r="N167" s="27">
        <v>49</v>
      </c>
      <c r="O167" s="27">
        <v>19</v>
      </c>
      <c r="P167" s="27">
        <v>24</v>
      </c>
      <c r="Q167" s="27" t="s">
        <v>54</v>
      </c>
      <c r="R167" s="27">
        <v>45</v>
      </c>
      <c r="S167" s="27">
        <v>47</v>
      </c>
      <c r="T167" s="29">
        <v>75.5</v>
      </c>
      <c r="U167" s="29">
        <v>2.25</v>
      </c>
      <c r="V167" s="29">
        <v>26.29</v>
      </c>
      <c r="W167" s="30">
        <v>16857.3</v>
      </c>
      <c r="X167" s="27">
        <v>8.49</v>
      </c>
      <c r="Y167" s="27" t="s">
        <v>110</v>
      </c>
      <c r="Z167" s="29">
        <v>17</v>
      </c>
      <c r="AA167" s="30">
        <v>27193.68</v>
      </c>
      <c r="AB167" s="29">
        <v>0.93950617283950599</v>
      </c>
      <c r="AC167" s="30">
        <v>20914.41</v>
      </c>
      <c r="AD167" s="30">
        <v>395.41814814814802</v>
      </c>
      <c r="AE167" s="27">
        <v>687</v>
      </c>
      <c r="AF167" s="29">
        <v>0.96506550218340603</v>
      </c>
      <c r="AG167" s="30">
        <v>5883.8518518518504</v>
      </c>
      <c r="AH167" s="31">
        <f t="shared" si="33"/>
        <v>0.88427947598253276</v>
      </c>
      <c r="AI167" s="31">
        <f t="shared" si="34"/>
        <v>6.0493827160493827E-2</v>
      </c>
      <c r="AJ167" s="31">
        <f t="shared" si="35"/>
        <v>2.3456790123456792E-2</v>
      </c>
      <c r="AK167" s="31">
        <f t="shared" si="36"/>
        <v>0.93950617283950622</v>
      </c>
      <c r="AL167" s="29">
        <f t="shared" si="37"/>
        <v>0.4</v>
      </c>
      <c r="AM167" s="29">
        <f t="shared" si="38"/>
        <v>663</v>
      </c>
      <c r="AN167" s="29">
        <f t="shared" si="39"/>
        <v>1.2217194570135748</v>
      </c>
      <c r="AO167" s="29">
        <f t="shared" si="40"/>
        <v>1.3333333333333333</v>
      </c>
      <c r="AP167" s="31">
        <f t="shared" si="41"/>
        <v>0.91628959276018107</v>
      </c>
      <c r="AQ167" s="31">
        <f t="shared" si="42"/>
        <v>0.93950617283950622</v>
      </c>
      <c r="AR167" s="31">
        <f t="shared" si="43"/>
        <v>0.83078602620087338</v>
      </c>
      <c r="AS167" s="29">
        <f t="shared" si="44"/>
        <v>25.820259259259259</v>
      </c>
      <c r="AT167" s="29">
        <f t="shared" si="45"/>
        <v>7.2640146319158649</v>
      </c>
      <c r="AU167" s="27" t="str">
        <f t="shared" si="46"/>
        <v>Medium</v>
      </c>
      <c r="AV167" s="27" t="str">
        <f t="shared" si="47"/>
        <v>Warning</v>
      </c>
      <c r="AW167" s="27"/>
    </row>
    <row r="168" spans="1:49" x14ac:dyDescent="0.25">
      <c r="A168" s="27">
        <v>167</v>
      </c>
      <c r="B168" s="28">
        <v>46184</v>
      </c>
      <c r="C168" s="28" t="str">
        <f t="shared" si="32"/>
        <v>June</v>
      </c>
      <c r="D168" s="27" t="s">
        <v>47</v>
      </c>
      <c r="E168" s="27" t="s">
        <v>76</v>
      </c>
      <c r="F168" s="27" t="s">
        <v>113</v>
      </c>
      <c r="G168" s="27" t="s">
        <v>50</v>
      </c>
      <c r="H168" s="27" t="s">
        <v>124</v>
      </c>
      <c r="I168" s="27" t="s">
        <v>291</v>
      </c>
      <c r="J168" s="27" t="s">
        <v>86</v>
      </c>
      <c r="K168" s="27">
        <v>661</v>
      </c>
      <c r="L168" s="27">
        <v>589</v>
      </c>
      <c r="M168" s="27">
        <v>567</v>
      </c>
      <c r="N168" s="27">
        <v>22</v>
      </c>
      <c r="O168" s="27">
        <v>7</v>
      </c>
      <c r="P168" s="27">
        <v>12</v>
      </c>
      <c r="Q168" s="27" t="s">
        <v>102</v>
      </c>
      <c r="R168" s="27">
        <v>57</v>
      </c>
      <c r="S168" s="27">
        <v>56</v>
      </c>
      <c r="T168" s="29">
        <v>78.599999999999994</v>
      </c>
      <c r="U168" s="29">
        <v>1.3</v>
      </c>
      <c r="V168" s="29">
        <v>17.78</v>
      </c>
      <c r="W168" s="30">
        <v>15246.24</v>
      </c>
      <c r="X168" s="27">
        <v>7.12</v>
      </c>
      <c r="Y168" s="27" t="s">
        <v>71</v>
      </c>
      <c r="Z168" s="29">
        <v>35</v>
      </c>
      <c r="AA168" s="30">
        <v>26836.06</v>
      </c>
      <c r="AB168" s="29">
        <v>0.96264855687606099</v>
      </c>
      <c r="AC168" s="30">
        <v>18610.259999999998</v>
      </c>
      <c r="AD168" s="30">
        <v>181.194702886248</v>
      </c>
      <c r="AE168" s="27">
        <v>627.95000000000005</v>
      </c>
      <c r="AF168" s="29">
        <v>0.98089019826419299</v>
      </c>
      <c r="AG168" s="30">
        <v>8044.6052971137597</v>
      </c>
      <c r="AH168" s="31">
        <f t="shared" si="33"/>
        <v>0.8910741301059002</v>
      </c>
      <c r="AI168" s="31">
        <f t="shared" si="34"/>
        <v>3.7351443123938878E-2</v>
      </c>
      <c r="AJ168" s="31">
        <f t="shared" si="35"/>
        <v>1.1884550084889643E-2</v>
      </c>
      <c r="AK168" s="31">
        <f t="shared" si="36"/>
        <v>0.9626485568760611</v>
      </c>
      <c r="AL168" s="29">
        <f t="shared" si="37"/>
        <v>0.2</v>
      </c>
      <c r="AM168" s="29">
        <f t="shared" si="38"/>
        <v>615.95000000000005</v>
      </c>
      <c r="AN168" s="29">
        <f t="shared" si="39"/>
        <v>0.95624644857537133</v>
      </c>
      <c r="AO168" s="29">
        <f t="shared" si="40"/>
        <v>1.0526315789473684</v>
      </c>
      <c r="AP168" s="31">
        <f t="shared" si="41"/>
        <v>0.90843412614660279</v>
      </c>
      <c r="AQ168" s="31">
        <f t="shared" si="42"/>
        <v>0.9626485568760611</v>
      </c>
      <c r="AR168" s="31">
        <f t="shared" si="43"/>
        <v>0.85779122541603625</v>
      </c>
      <c r="AS168" s="29">
        <f t="shared" si="44"/>
        <v>31.596366723259759</v>
      </c>
      <c r="AT168" s="29">
        <f t="shared" si="45"/>
        <v>13.658073509531</v>
      </c>
      <c r="AU168" s="27" t="str">
        <f t="shared" si="46"/>
        <v>High</v>
      </c>
      <c r="AV168" s="27" t="str">
        <f t="shared" si="47"/>
        <v>Normal</v>
      </c>
      <c r="AW168" s="27"/>
    </row>
    <row r="169" spans="1:49" x14ac:dyDescent="0.25">
      <c r="A169" s="27">
        <v>168</v>
      </c>
      <c r="B169" s="28">
        <v>46198</v>
      </c>
      <c r="C169" s="28" t="str">
        <f t="shared" si="32"/>
        <v>June</v>
      </c>
      <c r="D169" s="27" t="s">
        <v>47</v>
      </c>
      <c r="E169" s="27" t="s">
        <v>76</v>
      </c>
      <c r="F169" s="27" t="s">
        <v>77</v>
      </c>
      <c r="G169" s="27" t="s">
        <v>63</v>
      </c>
      <c r="H169" s="27" t="s">
        <v>51</v>
      </c>
      <c r="I169" s="27" t="s">
        <v>292</v>
      </c>
      <c r="J169" s="27" t="s">
        <v>101</v>
      </c>
      <c r="K169" s="27">
        <v>967</v>
      </c>
      <c r="L169" s="27">
        <v>949</v>
      </c>
      <c r="M169" s="27">
        <v>887</v>
      </c>
      <c r="N169" s="27">
        <v>62</v>
      </c>
      <c r="O169" s="27">
        <v>23</v>
      </c>
      <c r="P169" s="27">
        <v>48</v>
      </c>
      <c r="Q169" s="27" t="s">
        <v>54</v>
      </c>
      <c r="R169" s="27">
        <v>42</v>
      </c>
      <c r="S169" s="27">
        <v>42</v>
      </c>
      <c r="T169" s="29">
        <v>72.7</v>
      </c>
      <c r="U169" s="29">
        <v>2.76</v>
      </c>
      <c r="V169" s="29">
        <v>34.799999999999997</v>
      </c>
      <c r="W169" s="30">
        <v>18360.349999999999</v>
      </c>
      <c r="X169" s="27">
        <v>7.2</v>
      </c>
      <c r="Y169" s="27" t="s">
        <v>66</v>
      </c>
      <c r="Z169" s="29">
        <v>11</v>
      </c>
      <c r="AA169" s="30">
        <v>27708.28</v>
      </c>
      <c r="AB169" s="29">
        <v>0.93466807165437304</v>
      </c>
      <c r="AC169" s="30">
        <v>21913.55</v>
      </c>
      <c r="AD169" s="30">
        <v>444.98213909378302</v>
      </c>
      <c r="AE169" s="27">
        <v>676.9</v>
      </c>
      <c r="AF169" s="29">
        <v>0.92908849165312501</v>
      </c>
      <c r="AG169" s="30">
        <v>5349.74786090622</v>
      </c>
      <c r="AH169" s="31">
        <f t="shared" si="33"/>
        <v>0.98138572905894517</v>
      </c>
      <c r="AI169" s="31">
        <f t="shared" si="34"/>
        <v>6.5331928345626969E-2</v>
      </c>
      <c r="AJ169" s="31">
        <f t="shared" si="35"/>
        <v>2.4236037934668071E-2</v>
      </c>
      <c r="AK169" s="31">
        <f t="shared" si="36"/>
        <v>0.93466807165437304</v>
      </c>
      <c r="AL169" s="29">
        <f t="shared" si="37"/>
        <v>0.8</v>
      </c>
      <c r="AM169" s="29">
        <f t="shared" si="38"/>
        <v>628.9</v>
      </c>
      <c r="AN169" s="29">
        <f t="shared" si="39"/>
        <v>1.5089839402130705</v>
      </c>
      <c r="AO169" s="29">
        <f t="shared" si="40"/>
        <v>1.4285714285714286</v>
      </c>
      <c r="AP169" s="31">
        <f t="shared" si="41"/>
        <v>1.0562887581491494</v>
      </c>
      <c r="AQ169" s="31">
        <f t="shared" si="42"/>
        <v>0.93466807165437304</v>
      </c>
      <c r="AR169" s="31">
        <f t="shared" si="43"/>
        <v>0.91726990692864585</v>
      </c>
      <c r="AS169" s="29">
        <f t="shared" si="44"/>
        <v>23.091201264488934</v>
      </c>
      <c r="AT169" s="29">
        <f t="shared" si="45"/>
        <v>5.6372474825144572</v>
      </c>
      <c r="AU169" s="27" t="str">
        <f t="shared" si="46"/>
        <v>Low</v>
      </c>
      <c r="AV169" s="27" t="str">
        <f t="shared" si="47"/>
        <v>Normal</v>
      </c>
      <c r="AW169" s="27"/>
    </row>
    <row r="170" spans="1:49" x14ac:dyDescent="0.25">
      <c r="A170" s="27">
        <v>169</v>
      </c>
      <c r="B170" s="28">
        <v>46156</v>
      </c>
      <c r="C170" s="28" t="str">
        <f t="shared" si="32"/>
        <v>May</v>
      </c>
      <c r="D170" s="27" t="s">
        <v>67</v>
      </c>
      <c r="E170" s="27" t="s">
        <v>129</v>
      </c>
      <c r="F170" s="27" t="s">
        <v>130</v>
      </c>
      <c r="G170" s="27" t="s">
        <v>63</v>
      </c>
      <c r="H170" s="27" t="s">
        <v>51</v>
      </c>
      <c r="I170" s="27" t="s">
        <v>293</v>
      </c>
      <c r="J170" s="27" t="s">
        <v>90</v>
      </c>
      <c r="K170" s="27">
        <v>907</v>
      </c>
      <c r="L170" s="27">
        <v>776</v>
      </c>
      <c r="M170" s="27">
        <v>680</v>
      </c>
      <c r="N170" s="27">
        <v>96</v>
      </c>
      <c r="O170" s="27">
        <v>21</v>
      </c>
      <c r="P170" s="27">
        <v>30</v>
      </c>
      <c r="Q170" s="27" t="s">
        <v>97</v>
      </c>
      <c r="R170" s="27">
        <v>42</v>
      </c>
      <c r="S170" s="27">
        <v>45</v>
      </c>
      <c r="T170" s="29">
        <v>86</v>
      </c>
      <c r="U170" s="29">
        <v>2.62</v>
      </c>
      <c r="V170" s="29">
        <v>24.33</v>
      </c>
      <c r="W170" s="30">
        <v>13859.02</v>
      </c>
      <c r="X170" s="27">
        <v>6.69</v>
      </c>
      <c r="Y170" s="27" t="s">
        <v>66</v>
      </c>
      <c r="Z170" s="29">
        <v>40</v>
      </c>
      <c r="AA170" s="30">
        <v>22043.71</v>
      </c>
      <c r="AB170" s="29">
        <v>0.87628865979381398</v>
      </c>
      <c r="AC170" s="30">
        <v>17088.490000000002</v>
      </c>
      <c r="AD170" s="30">
        <v>375.05079896907199</v>
      </c>
      <c r="AE170" s="27">
        <v>634.9</v>
      </c>
      <c r="AF170" s="29">
        <v>0.95274846432509097</v>
      </c>
      <c r="AG170" s="30">
        <v>4580.1692010309298</v>
      </c>
      <c r="AH170" s="31">
        <f t="shared" si="33"/>
        <v>0.85556780595369353</v>
      </c>
      <c r="AI170" s="31">
        <f t="shared" si="34"/>
        <v>0.12371134020618557</v>
      </c>
      <c r="AJ170" s="31">
        <f t="shared" si="35"/>
        <v>2.7061855670103094E-2</v>
      </c>
      <c r="AK170" s="31">
        <f t="shared" si="36"/>
        <v>0.87628865979381443</v>
      </c>
      <c r="AL170" s="29">
        <f t="shared" si="37"/>
        <v>0.5</v>
      </c>
      <c r="AM170" s="29">
        <f t="shared" si="38"/>
        <v>604.9</v>
      </c>
      <c r="AN170" s="29">
        <f t="shared" si="39"/>
        <v>1.2828566705240536</v>
      </c>
      <c r="AO170" s="29">
        <f t="shared" si="40"/>
        <v>1.4285714285714286</v>
      </c>
      <c r="AP170" s="31">
        <f t="shared" si="41"/>
        <v>0.89799966936683751</v>
      </c>
      <c r="AQ170" s="31">
        <f t="shared" si="42"/>
        <v>0.87628865979381443</v>
      </c>
      <c r="AR170" s="31">
        <f t="shared" si="43"/>
        <v>0.74972436604189663</v>
      </c>
      <c r="AS170" s="29">
        <f t="shared" si="44"/>
        <v>22.021250000000002</v>
      </c>
      <c r="AT170" s="29">
        <f t="shared" si="45"/>
        <v>5.9022798982357338</v>
      </c>
      <c r="AU170" s="27" t="str">
        <f t="shared" si="46"/>
        <v>High</v>
      </c>
      <c r="AV170" s="27" t="str">
        <f t="shared" si="47"/>
        <v>Critical</v>
      </c>
      <c r="AW170" s="27"/>
    </row>
    <row r="171" spans="1:49" x14ac:dyDescent="0.25">
      <c r="A171" s="27">
        <v>170</v>
      </c>
      <c r="B171" s="28">
        <v>46053</v>
      </c>
      <c r="C171" s="28" t="str">
        <f t="shared" si="32"/>
        <v>January</v>
      </c>
      <c r="D171" s="27" t="s">
        <v>47</v>
      </c>
      <c r="E171" s="27" t="s">
        <v>61</v>
      </c>
      <c r="F171" s="27" t="s">
        <v>62</v>
      </c>
      <c r="G171" s="27" t="s">
        <v>63</v>
      </c>
      <c r="H171" s="27" t="s">
        <v>124</v>
      </c>
      <c r="I171" s="27" t="s">
        <v>294</v>
      </c>
      <c r="J171" s="27" t="s">
        <v>84</v>
      </c>
      <c r="K171" s="27">
        <v>642</v>
      </c>
      <c r="L171" s="27">
        <v>637</v>
      </c>
      <c r="M171" s="27">
        <v>607</v>
      </c>
      <c r="N171" s="27">
        <v>30</v>
      </c>
      <c r="O171" s="27">
        <v>6</v>
      </c>
      <c r="P171" s="27">
        <v>36</v>
      </c>
      <c r="Q171" s="27" t="s">
        <v>54</v>
      </c>
      <c r="R171" s="27">
        <v>57</v>
      </c>
      <c r="S171" s="27">
        <v>55</v>
      </c>
      <c r="T171" s="29">
        <v>69.3</v>
      </c>
      <c r="U171" s="29">
        <v>1.94</v>
      </c>
      <c r="V171" s="29">
        <v>23.92</v>
      </c>
      <c r="W171" s="30">
        <v>17009.34</v>
      </c>
      <c r="X171" s="27">
        <v>7.73</v>
      </c>
      <c r="Y171" s="27" t="s">
        <v>71</v>
      </c>
      <c r="Z171" s="29">
        <v>25</v>
      </c>
      <c r="AA171" s="30">
        <v>28088.46</v>
      </c>
      <c r="AB171" s="29">
        <v>0.95290423861852402</v>
      </c>
      <c r="AC171" s="30">
        <v>20703.12</v>
      </c>
      <c r="AD171" s="30">
        <v>160.213563579278</v>
      </c>
      <c r="AE171" s="27">
        <v>609.9</v>
      </c>
      <c r="AF171" s="29">
        <v>0.94097393015248398</v>
      </c>
      <c r="AG171" s="30">
        <v>7225.12643642072</v>
      </c>
      <c r="AH171" s="31">
        <f t="shared" si="33"/>
        <v>0.99221183800623058</v>
      </c>
      <c r="AI171" s="31">
        <f t="shared" si="34"/>
        <v>4.709576138147567E-2</v>
      </c>
      <c r="AJ171" s="31">
        <f t="shared" si="35"/>
        <v>9.4191522762951327E-3</v>
      </c>
      <c r="AK171" s="31">
        <f t="shared" si="36"/>
        <v>0.95290423861852436</v>
      </c>
      <c r="AL171" s="29">
        <f t="shared" si="37"/>
        <v>0.6</v>
      </c>
      <c r="AM171" s="29">
        <f t="shared" si="38"/>
        <v>573.9</v>
      </c>
      <c r="AN171" s="29">
        <f t="shared" si="39"/>
        <v>1.1099494685485276</v>
      </c>
      <c r="AO171" s="29">
        <f t="shared" si="40"/>
        <v>1.0526315789473684</v>
      </c>
      <c r="AP171" s="31">
        <f t="shared" si="41"/>
        <v>1.0544519951211013</v>
      </c>
      <c r="AQ171" s="31">
        <f t="shared" si="42"/>
        <v>0.95290423861852436</v>
      </c>
      <c r="AR171" s="31">
        <f t="shared" si="43"/>
        <v>0.94548286604361376</v>
      </c>
      <c r="AS171" s="29">
        <f t="shared" si="44"/>
        <v>32.500973312401882</v>
      </c>
      <c r="AT171" s="29">
        <f t="shared" si="45"/>
        <v>11.342427686688728</v>
      </c>
      <c r="AU171" s="27" t="str">
        <f t="shared" si="46"/>
        <v>High</v>
      </c>
      <c r="AV171" s="27" t="str">
        <f t="shared" si="47"/>
        <v>Normal</v>
      </c>
      <c r="AW171" s="27"/>
    </row>
    <row r="172" spans="1:49" x14ac:dyDescent="0.25">
      <c r="A172" s="27">
        <v>171</v>
      </c>
      <c r="B172" s="28">
        <v>46167</v>
      </c>
      <c r="C172" s="28" t="str">
        <f t="shared" si="32"/>
        <v>May</v>
      </c>
      <c r="D172" s="27" t="s">
        <v>47</v>
      </c>
      <c r="E172" s="27" t="s">
        <v>129</v>
      </c>
      <c r="F172" s="27" t="s">
        <v>167</v>
      </c>
      <c r="G172" s="27" t="s">
        <v>50</v>
      </c>
      <c r="H172" s="27" t="s">
        <v>124</v>
      </c>
      <c r="I172" s="27" t="s">
        <v>295</v>
      </c>
      <c r="J172" s="27" t="s">
        <v>84</v>
      </c>
      <c r="K172" s="27">
        <v>742</v>
      </c>
      <c r="L172" s="27">
        <v>670</v>
      </c>
      <c r="M172" s="27">
        <v>611</v>
      </c>
      <c r="N172" s="27">
        <v>59</v>
      </c>
      <c r="O172" s="27">
        <v>24</v>
      </c>
      <c r="P172" s="27">
        <v>40</v>
      </c>
      <c r="Q172" s="27" t="s">
        <v>54</v>
      </c>
      <c r="R172" s="27">
        <v>57</v>
      </c>
      <c r="S172" s="27">
        <v>59</v>
      </c>
      <c r="T172" s="29">
        <v>65.099999999999994</v>
      </c>
      <c r="U172" s="29">
        <v>1.85</v>
      </c>
      <c r="V172" s="29">
        <v>25.47</v>
      </c>
      <c r="W172" s="30">
        <v>18155.73</v>
      </c>
      <c r="X172" s="27">
        <v>6.9</v>
      </c>
      <c r="Y172" s="27" t="s">
        <v>55</v>
      </c>
      <c r="Z172" s="29">
        <v>26</v>
      </c>
      <c r="AA172" s="30">
        <v>28144.3</v>
      </c>
      <c r="AB172" s="29">
        <v>0.91194029850746305</v>
      </c>
      <c r="AC172" s="30">
        <v>21489.96</v>
      </c>
      <c r="AD172" s="30">
        <v>650.35450746268702</v>
      </c>
      <c r="AE172" s="27">
        <v>704.9</v>
      </c>
      <c r="AF172" s="29">
        <v>0.94325436232089699</v>
      </c>
      <c r="AG172" s="30">
        <v>6003.9854925373102</v>
      </c>
      <c r="AH172" s="31">
        <f t="shared" si="33"/>
        <v>0.90296495956873313</v>
      </c>
      <c r="AI172" s="31">
        <f t="shared" si="34"/>
        <v>8.8059701492537307E-2</v>
      </c>
      <c r="AJ172" s="31">
        <f t="shared" si="35"/>
        <v>3.5820895522388062E-2</v>
      </c>
      <c r="AK172" s="31">
        <f t="shared" si="36"/>
        <v>0.91194029850746272</v>
      </c>
      <c r="AL172" s="29">
        <f t="shared" si="37"/>
        <v>0.66666666666666663</v>
      </c>
      <c r="AM172" s="29">
        <f t="shared" si="38"/>
        <v>664.9</v>
      </c>
      <c r="AN172" s="29">
        <f t="shared" si="39"/>
        <v>1.007670326364867</v>
      </c>
      <c r="AO172" s="29">
        <f t="shared" si="40"/>
        <v>1.0526315789473684</v>
      </c>
      <c r="AP172" s="31">
        <f t="shared" si="41"/>
        <v>0.95728681004662364</v>
      </c>
      <c r="AQ172" s="31">
        <f t="shared" si="42"/>
        <v>0.91194029850746272</v>
      </c>
      <c r="AR172" s="31">
        <f t="shared" si="43"/>
        <v>0.82345013477088991</v>
      </c>
      <c r="AS172" s="29">
        <f t="shared" si="44"/>
        <v>32.074567164179101</v>
      </c>
      <c r="AT172" s="29">
        <f t="shared" si="45"/>
        <v>8.9611723769213576</v>
      </c>
      <c r="AU172" s="27" t="str">
        <f t="shared" si="46"/>
        <v>Medium</v>
      </c>
      <c r="AV172" s="27" t="str">
        <f t="shared" si="47"/>
        <v>Warning</v>
      </c>
      <c r="AW172" s="27"/>
    </row>
    <row r="173" spans="1:49" x14ac:dyDescent="0.25">
      <c r="A173" s="27">
        <v>172</v>
      </c>
      <c r="B173" s="28">
        <v>46152</v>
      </c>
      <c r="C173" s="28" t="str">
        <f t="shared" si="32"/>
        <v>May</v>
      </c>
      <c r="D173" s="27" t="s">
        <v>67</v>
      </c>
      <c r="E173" s="27" t="s">
        <v>98</v>
      </c>
      <c r="F173" s="27" t="s">
        <v>126</v>
      </c>
      <c r="G173" s="27" t="s">
        <v>50</v>
      </c>
      <c r="H173" s="27" t="s">
        <v>124</v>
      </c>
      <c r="I173" s="27" t="s">
        <v>296</v>
      </c>
      <c r="J173" s="27" t="s">
        <v>86</v>
      </c>
      <c r="K173" s="27">
        <v>744</v>
      </c>
      <c r="L173" s="27">
        <v>758</v>
      </c>
      <c r="M173" s="27">
        <v>698</v>
      </c>
      <c r="N173" s="27">
        <v>60</v>
      </c>
      <c r="O173" s="27">
        <v>20</v>
      </c>
      <c r="P173" s="27">
        <v>15</v>
      </c>
      <c r="Q173" s="27" t="s">
        <v>54</v>
      </c>
      <c r="R173" s="27">
        <v>57</v>
      </c>
      <c r="S173" s="27">
        <v>60</v>
      </c>
      <c r="T173" s="29">
        <v>77</v>
      </c>
      <c r="U173" s="29">
        <v>1.26</v>
      </c>
      <c r="V173" s="29">
        <v>27.12</v>
      </c>
      <c r="W173" s="30">
        <v>19702.96</v>
      </c>
      <c r="X173" s="27">
        <v>9.1199999999999992</v>
      </c>
      <c r="Y173" s="27" t="s">
        <v>55</v>
      </c>
      <c r="Z173" s="29">
        <v>23</v>
      </c>
      <c r="AA173" s="30">
        <v>32690.38</v>
      </c>
      <c r="AB173" s="29">
        <v>0.920844327176781</v>
      </c>
      <c r="AC173" s="30">
        <v>24051.040000000001</v>
      </c>
      <c r="AD173" s="30">
        <v>519.86701846965695</v>
      </c>
      <c r="AE173" s="27">
        <v>706.8</v>
      </c>
      <c r="AF173" s="29">
        <v>0.97877758913412605</v>
      </c>
      <c r="AG173" s="30">
        <v>8119.4729815303399</v>
      </c>
      <c r="AH173" s="31">
        <f t="shared" si="33"/>
        <v>1.0188172043010753</v>
      </c>
      <c r="AI173" s="31">
        <f t="shared" si="34"/>
        <v>7.9155672823219003E-2</v>
      </c>
      <c r="AJ173" s="31">
        <f t="shared" si="35"/>
        <v>2.6385224274406333E-2</v>
      </c>
      <c r="AK173" s="31">
        <f t="shared" si="36"/>
        <v>0.920844327176781</v>
      </c>
      <c r="AL173" s="29">
        <f t="shared" si="37"/>
        <v>0.25</v>
      </c>
      <c r="AM173" s="29">
        <f t="shared" si="38"/>
        <v>691.8</v>
      </c>
      <c r="AN173" s="29">
        <f t="shared" si="39"/>
        <v>1.0956923966464296</v>
      </c>
      <c r="AO173" s="29">
        <f t="shared" si="40"/>
        <v>1.0526315789473684</v>
      </c>
      <c r="AP173" s="31">
        <f t="shared" si="41"/>
        <v>1.0409077768141082</v>
      </c>
      <c r="AQ173" s="31">
        <f t="shared" si="42"/>
        <v>0.920844327176781</v>
      </c>
      <c r="AR173" s="31">
        <f t="shared" si="43"/>
        <v>0.93817204301075308</v>
      </c>
      <c r="AS173" s="29">
        <f t="shared" si="44"/>
        <v>31.729604221635885</v>
      </c>
      <c r="AT173" s="29">
        <f t="shared" si="45"/>
        <v>10.711705780383035</v>
      </c>
      <c r="AU173" s="27" t="str">
        <f t="shared" si="46"/>
        <v>Low</v>
      </c>
      <c r="AV173" s="27" t="str">
        <f t="shared" si="47"/>
        <v>Normal</v>
      </c>
      <c r="AW173" s="27"/>
    </row>
    <row r="174" spans="1:49" x14ac:dyDescent="0.25">
      <c r="A174" s="27">
        <v>173</v>
      </c>
      <c r="B174" s="28">
        <v>46120</v>
      </c>
      <c r="C174" s="28" t="str">
        <f t="shared" si="32"/>
        <v>April</v>
      </c>
      <c r="D174" s="27" t="s">
        <v>67</v>
      </c>
      <c r="E174" s="27" t="s">
        <v>76</v>
      </c>
      <c r="F174" s="27" t="s">
        <v>113</v>
      </c>
      <c r="G174" s="27" t="s">
        <v>78</v>
      </c>
      <c r="H174" s="27" t="s">
        <v>57</v>
      </c>
      <c r="I174" s="27" t="s">
        <v>297</v>
      </c>
      <c r="J174" s="27" t="s">
        <v>53</v>
      </c>
      <c r="K174" s="27">
        <v>897</v>
      </c>
      <c r="L174" s="27">
        <v>749</v>
      </c>
      <c r="M174" s="27">
        <v>706</v>
      </c>
      <c r="N174" s="27">
        <v>43</v>
      </c>
      <c r="O174" s="27">
        <v>14</v>
      </c>
      <c r="P174" s="27">
        <v>22</v>
      </c>
      <c r="Q174" s="27" t="s">
        <v>82</v>
      </c>
      <c r="R174" s="27">
        <v>45</v>
      </c>
      <c r="S174" s="27">
        <v>46</v>
      </c>
      <c r="T174" s="29">
        <v>68.400000000000006</v>
      </c>
      <c r="U174" s="29">
        <v>2.3199999999999998</v>
      </c>
      <c r="V174" s="29">
        <v>22.9</v>
      </c>
      <c r="W174" s="30">
        <v>15639.26</v>
      </c>
      <c r="X174" s="27">
        <v>7.91</v>
      </c>
      <c r="Y174" s="27" t="s">
        <v>55</v>
      </c>
      <c r="Z174" s="29">
        <v>15</v>
      </c>
      <c r="AA174" s="30">
        <v>24505.8</v>
      </c>
      <c r="AB174" s="29">
        <v>0.94259012016021404</v>
      </c>
      <c r="AC174" s="30">
        <v>19404.86</v>
      </c>
      <c r="AD174" s="30">
        <v>292.32261682243001</v>
      </c>
      <c r="AE174" s="27">
        <v>672.75</v>
      </c>
      <c r="AF174" s="29">
        <v>0.96729840208101103</v>
      </c>
      <c r="AG174" s="30">
        <v>4808.6173831775704</v>
      </c>
      <c r="AH174" s="31">
        <f t="shared" si="33"/>
        <v>0.83500557413600895</v>
      </c>
      <c r="AI174" s="31">
        <f t="shared" si="34"/>
        <v>5.7409879839786383E-2</v>
      </c>
      <c r="AJ174" s="31">
        <f t="shared" si="35"/>
        <v>1.8691588785046728E-2</v>
      </c>
      <c r="AK174" s="31">
        <f t="shared" si="36"/>
        <v>0.9425901201602136</v>
      </c>
      <c r="AL174" s="29">
        <f t="shared" si="37"/>
        <v>0.36666666666666664</v>
      </c>
      <c r="AM174" s="29">
        <f t="shared" si="38"/>
        <v>650.75</v>
      </c>
      <c r="AN174" s="29">
        <f t="shared" si="39"/>
        <v>1.1509796388782174</v>
      </c>
      <c r="AO174" s="29">
        <f t="shared" si="40"/>
        <v>1.3333333333333333</v>
      </c>
      <c r="AP174" s="31">
        <f t="shared" si="41"/>
        <v>0.86323472915866306</v>
      </c>
      <c r="AQ174" s="31">
        <f t="shared" si="42"/>
        <v>0.9425901201602136</v>
      </c>
      <c r="AR174" s="31">
        <f t="shared" si="43"/>
        <v>0.78706800445930891</v>
      </c>
      <c r="AS174" s="29">
        <f t="shared" si="44"/>
        <v>25.907690253671564</v>
      </c>
      <c r="AT174" s="29">
        <f t="shared" si="45"/>
        <v>6.4200499107844733</v>
      </c>
      <c r="AU174" s="27" t="str">
        <f t="shared" si="46"/>
        <v>High</v>
      </c>
      <c r="AV174" s="27" t="str">
        <f t="shared" si="47"/>
        <v>Warning</v>
      </c>
      <c r="AW174" s="27"/>
    </row>
    <row r="175" spans="1:49" x14ac:dyDescent="0.25">
      <c r="A175" s="27">
        <v>174</v>
      </c>
      <c r="B175" s="28">
        <v>46062</v>
      </c>
      <c r="C175" s="28" t="str">
        <f t="shared" si="32"/>
        <v>February</v>
      </c>
      <c r="D175" s="27" t="s">
        <v>67</v>
      </c>
      <c r="E175" s="27" t="s">
        <v>76</v>
      </c>
      <c r="F175" s="27" t="s">
        <v>119</v>
      </c>
      <c r="G175" s="27" t="s">
        <v>50</v>
      </c>
      <c r="H175" s="27" t="s">
        <v>124</v>
      </c>
      <c r="I175" s="27" t="s">
        <v>298</v>
      </c>
      <c r="J175" s="27" t="s">
        <v>155</v>
      </c>
      <c r="K175" s="27">
        <v>676</v>
      </c>
      <c r="L175" s="27">
        <v>598</v>
      </c>
      <c r="M175" s="27">
        <v>544</v>
      </c>
      <c r="N175" s="27">
        <v>54</v>
      </c>
      <c r="O175" s="27">
        <v>14</v>
      </c>
      <c r="P175" s="27">
        <v>21</v>
      </c>
      <c r="Q175" s="27" t="s">
        <v>82</v>
      </c>
      <c r="R175" s="27">
        <v>57</v>
      </c>
      <c r="S175" s="27">
        <v>61</v>
      </c>
      <c r="T175" s="29">
        <v>67.599999999999994</v>
      </c>
      <c r="U175" s="29">
        <v>2.56</v>
      </c>
      <c r="V175" s="29">
        <v>20.75</v>
      </c>
      <c r="W175" s="30">
        <v>16910.29</v>
      </c>
      <c r="X175" s="27">
        <v>8.8699999999999992</v>
      </c>
      <c r="Y175" s="27" t="s">
        <v>71</v>
      </c>
      <c r="Z175" s="29">
        <v>41</v>
      </c>
      <c r="AA175" s="30">
        <v>25396.080000000002</v>
      </c>
      <c r="AB175" s="29">
        <v>0.90969899665551801</v>
      </c>
      <c r="AC175" s="30">
        <v>21088.54</v>
      </c>
      <c r="AD175" s="30">
        <v>395.89307692307699</v>
      </c>
      <c r="AE175" s="27">
        <v>642.20000000000005</v>
      </c>
      <c r="AF175" s="29">
        <v>0.96729990657116205</v>
      </c>
      <c r="AG175" s="30">
        <v>3911.6469230769198</v>
      </c>
      <c r="AH175" s="31">
        <f t="shared" si="33"/>
        <v>0.88461538461538458</v>
      </c>
      <c r="AI175" s="31">
        <f t="shared" si="34"/>
        <v>9.0301003344481601E-2</v>
      </c>
      <c r="AJ175" s="31">
        <f t="shared" si="35"/>
        <v>2.3411371237458192E-2</v>
      </c>
      <c r="AK175" s="31">
        <f t="shared" si="36"/>
        <v>0.90969899665551834</v>
      </c>
      <c r="AL175" s="29">
        <f t="shared" si="37"/>
        <v>0.35</v>
      </c>
      <c r="AM175" s="29">
        <f t="shared" si="38"/>
        <v>621.20000000000005</v>
      </c>
      <c r="AN175" s="29">
        <f t="shared" si="39"/>
        <v>0.96265292981326456</v>
      </c>
      <c r="AO175" s="29">
        <f t="shared" si="40"/>
        <v>1.0526315789473684</v>
      </c>
      <c r="AP175" s="31">
        <f t="shared" si="41"/>
        <v>0.91452028332260138</v>
      </c>
      <c r="AQ175" s="31">
        <f t="shared" si="42"/>
        <v>0.90969899665551834</v>
      </c>
      <c r="AR175" s="31">
        <f t="shared" si="43"/>
        <v>0.80473372781065111</v>
      </c>
      <c r="AS175" s="29">
        <f t="shared" si="44"/>
        <v>35.265117056856191</v>
      </c>
      <c r="AT175" s="29">
        <f t="shared" si="45"/>
        <v>6.5412155904296316</v>
      </c>
      <c r="AU175" s="27" t="str">
        <f t="shared" si="46"/>
        <v>High</v>
      </c>
      <c r="AV175" s="27" t="str">
        <f t="shared" si="47"/>
        <v>Warning</v>
      </c>
      <c r="AW175" s="27"/>
    </row>
    <row r="176" spans="1:49" x14ac:dyDescent="0.25">
      <c r="A176" s="27">
        <v>175</v>
      </c>
      <c r="B176" s="28">
        <v>46137</v>
      </c>
      <c r="C176" s="28" t="str">
        <f t="shared" si="32"/>
        <v>April</v>
      </c>
      <c r="D176" s="27" t="s">
        <v>47</v>
      </c>
      <c r="E176" s="27" t="s">
        <v>48</v>
      </c>
      <c r="F176" s="27" t="s">
        <v>72</v>
      </c>
      <c r="G176" s="27" t="s">
        <v>63</v>
      </c>
      <c r="H176" s="27" t="s">
        <v>57</v>
      </c>
      <c r="I176" s="27" t="s">
        <v>299</v>
      </c>
      <c r="J176" s="27" t="s">
        <v>150</v>
      </c>
      <c r="K176" s="27">
        <v>762</v>
      </c>
      <c r="L176" s="27">
        <v>711</v>
      </c>
      <c r="M176" s="27">
        <v>688</v>
      </c>
      <c r="N176" s="27">
        <v>23</v>
      </c>
      <c r="O176" s="27">
        <v>8</v>
      </c>
      <c r="P176" s="27">
        <v>0</v>
      </c>
      <c r="Q176" s="27" t="s">
        <v>60</v>
      </c>
      <c r="R176" s="27">
        <v>45</v>
      </c>
      <c r="S176" s="27">
        <v>48</v>
      </c>
      <c r="T176" s="29">
        <v>73.2</v>
      </c>
      <c r="U176" s="29">
        <v>2.34</v>
      </c>
      <c r="V176" s="29">
        <v>26.6</v>
      </c>
      <c r="W176" s="30">
        <v>14401.72</v>
      </c>
      <c r="X176" s="27">
        <v>8.74</v>
      </c>
      <c r="Y176" s="27" t="s">
        <v>55</v>
      </c>
      <c r="Z176" s="29">
        <v>9</v>
      </c>
      <c r="AA176" s="30">
        <v>24749.71</v>
      </c>
      <c r="AB176" s="29">
        <v>0.96765119549929701</v>
      </c>
      <c r="AC176" s="30">
        <v>18574.12</v>
      </c>
      <c r="AD176" s="30">
        <v>162.044669479606</v>
      </c>
      <c r="AE176" s="27">
        <v>571.5</v>
      </c>
      <c r="AF176" s="29">
        <v>1</v>
      </c>
      <c r="AG176" s="30">
        <v>6013.5453305203901</v>
      </c>
      <c r="AH176" s="31">
        <f t="shared" si="33"/>
        <v>0.93307086614173229</v>
      </c>
      <c r="AI176" s="31">
        <f t="shared" si="34"/>
        <v>3.2348804500703238E-2</v>
      </c>
      <c r="AJ176" s="31">
        <f t="shared" si="35"/>
        <v>1.1251758087201125E-2</v>
      </c>
      <c r="AK176" s="31">
        <f t="shared" si="36"/>
        <v>0.96765119549929679</v>
      </c>
      <c r="AL176" s="29">
        <f t="shared" si="37"/>
        <v>0</v>
      </c>
      <c r="AM176" s="29">
        <f t="shared" si="38"/>
        <v>571.5</v>
      </c>
      <c r="AN176" s="29">
        <f t="shared" si="39"/>
        <v>1.2440944881889764</v>
      </c>
      <c r="AO176" s="29">
        <f t="shared" si="40"/>
        <v>1.3333333333333333</v>
      </c>
      <c r="AP176" s="31">
        <f t="shared" si="41"/>
        <v>0.93307086614173229</v>
      </c>
      <c r="AQ176" s="31">
        <f t="shared" si="42"/>
        <v>0.96765119549929679</v>
      </c>
      <c r="AR176" s="31">
        <f t="shared" si="43"/>
        <v>0.90288713910761154</v>
      </c>
      <c r="AS176" s="29">
        <f t="shared" si="44"/>
        <v>26.123938115330517</v>
      </c>
      <c r="AT176" s="29">
        <f t="shared" si="45"/>
        <v>8.4578696631791708</v>
      </c>
      <c r="AU176" s="27" t="str">
        <f t="shared" si="46"/>
        <v>Low</v>
      </c>
      <c r="AV176" s="27" t="str">
        <f t="shared" si="47"/>
        <v>Normal</v>
      </c>
      <c r="AW176" s="27"/>
    </row>
    <row r="177" spans="1:49" x14ac:dyDescent="0.25">
      <c r="A177" s="27">
        <v>176</v>
      </c>
      <c r="B177" s="28">
        <v>46037</v>
      </c>
      <c r="C177" s="28" t="str">
        <f t="shared" si="32"/>
        <v>January</v>
      </c>
      <c r="D177" s="27" t="s">
        <v>47</v>
      </c>
      <c r="E177" s="27" t="s">
        <v>61</v>
      </c>
      <c r="F177" s="27" t="s">
        <v>62</v>
      </c>
      <c r="G177" s="27" t="s">
        <v>50</v>
      </c>
      <c r="H177" s="27" t="s">
        <v>68</v>
      </c>
      <c r="I177" s="27" t="s">
        <v>300</v>
      </c>
      <c r="J177" s="27" t="s">
        <v>175</v>
      </c>
      <c r="K177" s="27">
        <v>523</v>
      </c>
      <c r="L177" s="27">
        <v>479</v>
      </c>
      <c r="M177" s="27">
        <v>452</v>
      </c>
      <c r="N177" s="27">
        <v>27</v>
      </c>
      <c r="O177" s="27">
        <v>11</v>
      </c>
      <c r="P177" s="27">
        <v>24</v>
      </c>
      <c r="Q177" s="27" t="s">
        <v>91</v>
      </c>
      <c r="R177" s="27">
        <v>64</v>
      </c>
      <c r="S177" s="27">
        <v>67</v>
      </c>
      <c r="T177" s="29">
        <v>69.8</v>
      </c>
      <c r="U177" s="29">
        <v>1.68</v>
      </c>
      <c r="V177" s="29">
        <v>15.06</v>
      </c>
      <c r="W177" s="30">
        <v>14669.8</v>
      </c>
      <c r="X177" s="27">
        <v>8.6199999999999992</v>
      </c>
      <c r="Y177" s="27" t="s">
        <v>66</v>
      </c>
      <c r="Z177" s="29">
        <v>28</v>
      </c>
      <c r="AA177" s="30">
        <v>23081.37</v>
      </c>
      <c r="AB177" s="29">
        <v>0.94363256784968697</v>
      </c>
      <c r="AC177" s="30">
        <v>18684.34</v>
      </c>
      <c r="AD177" s="30">
        <v>336.88475991649301</v>
      </c>
      <c r="AE177" s="27">
        <v>557.86666666666702</v>
      </c>
      <c r="AF177" s="29">
        <v>0.95697896749522005</v>
      </c>
      <c r="AG177" s="30">
        <v>4060.1452400835101</v>
      </c>
      <c r="AH177" s="31">
        <f t="shared" si="33"/>
        <v>0.91586998087954108</v>
      </c>
      <c r="AI177" s="31">
        <f t="shared" si="34"/>
        <v>5.6367432150313153E-2</v>
      </c>
      <c r="AJ177" s="31">
        <f t="shared" si="35"/>
        <v>2.2964509394572025E-2</v>
      </c>
      <c r="AK177" s="31">
        <f t="shared" si="36"/>
        <v>0.94363256784968685</v>
      </c>
      <c r="AL177" s="29">
        <f t="shared" si="37"/>
        <v>0.4</v>
      </c>
      <c r="AM177" s="29">
        <f t="shared" si="38"/>
        <v>533.86666666666702</v>
      </c>
      <c r="AN177" s="29">
        <f t="shared" si="39"/>
        <v>0.89722777222777161</v>
      </c>
      <c r="AO177" s="29">
        <f t="shared" si="40"/>
        <v>0.9375</v>
      </c>
      <c r="AP177" s="31">
        <f t="shared" si="41"/>
        <v>0.95704295704295639</v>
      </c>
      <c r="AQ177" s="31">
        <f t="shared" si="42"/>
        <v>0.94363256784968685</v>
      </c>
      <c r="AR177" s="31">
        <f t="shared" si="43"/>
        <v>0.86424474187380451</v>
      </c>
      <c r="AS177" s="29">
        <f t="shared" si="44"/>
        <v>39.006972860125259</v>
      </c>
      <c r="AT177" s="29">
        <f t="shared" si="45"/>
        <v>8.4762948644749692</v>
      </c>
      <c r="AU177" s="27" t="str">
        <f t="shared" si="46"/>
        <v>Low</v>
      </c>
      <c r="AV177" s="27" t="str">
        <f t="shared" si="47"/>
        <v>Normal</v>
      </c>
      <c r="AW177" s="27"/>
    </row>
    <row r="178" spans="1:49" x14ac:dyDescent="0.25">
      <c r="A178" s="27">
        <v>177</v>
      </c>
      <c r="B178" s="28">
        <v>46026</v>
      </c>
      <c r="C178" s="28" t="str">
        <f t="shared" si="32"/>
        <v>January</v>
      </c>
      <c r="D178" s="27" t="s">
        <v>47</v>
      </c>
      <c r="E178" s="27" t="s">
        <v>48</v>
      </c>
      <c r="F178" s="27" t="s">
        <v>49</v>
      </c>
      <c r="G178" s="27" t="s">
        <v>50</v>
      </c>
      <c r="H178" s="27" t="s">
        <v>57</v>
      </c>
      <c r="I178" s="27" t="s">
        <v>301</v>
      </c>
      <c r="J178" s="27" t="s">
        <v>170</v>
      </c>
      <c r="K178" s="27">
        <v>857</v>
      </c>
      <c r="L178" s="27">
        <v>878</v>
      </c>
      <c r="M178" s="27">
        <v>846</v>
      </c>
      <c r="N178" s="27">
        <v>32</v>
      </c>
      <c r="O178" s="27">
        <v>8</v>
      </c>
      <c r="P178" s="27">
        <v>42</v>
      </c>
      <c r="Q178" s="27" t="s">
        <v>54</v>
      </c>
      <c r="R178" s="27">
        <v>45</v>
      </c>
      <c r="S178" s="27">
        <v>49</v>
      </c>
      <c r="T178" s="29">
        <v>70.2</v>
      </c>
      <c r="U178" s="29">
        <v>1.88</v>
      </c>
      <c r="V178" s="29">
        <v>38.21</v>
      </c>
      <c r="W178" s="30">
        <v>18985.439999999999</v>
      </c>
      <c r="X178" s="27">
        <v>10.34</v>
      </c>
      <c r="Y178" s="27" t="s">
        <v>110</v>
      </c>
      <c r="Z178" s="29">
        <v>21</v>
      </c>
      <c r="AA178" s="30">
        <v>29743.06</v>
      </c>
      <c r="AB178" s="29">
        <v>0.96355353075170902</v>
      </c>
      <c r="AC178" s="30">
        <v>23982.33</v>
      </c>
      <c r="AD178" s="30">
        <v>172.98806378132099</v>
      </c>
      <c r="AE178" s="27">
        <v>642.75</v>
      </c>
      <c r="AF178" s="29">
        <v>0.93465577596266103</v>
      </c>
      <c r="AG178" s="30">
        <v>5587.7419362186802</v>
      </c>
      <c r="AH178" s="31">
        <f t="shared" si="33"/>
        <v>1.0245040840140023</v>
      </c>
      <c r="AI178" s="31">
        <f t="shared" si="34"/>
        <v>3.644646924829157E-2</v>
      </c>
      <c r="AJ178" s="31">
        <f t="shared" si="35"/>
        <v>9.1116173120728925E-3</v>
      </c>
      <c r="AK178" s="31">
        <f t="shared" si="36"/>
        <v>0.96355353075170846</v>
      </c>
      <c r="AL178" s="29">
        <f t="shared" si="37"/>
        <v>0.7</v>
      </c>
      <c r="AM178" s="29">
        <f t="shared" si="38"/>
        <v>600.75</v>
      </c>
      <c r="AN178" s="29">
        <f t="shared" si="39"/>
        <v>1.4615064502704953</v>
      </c>
      <c r="AO178" s="29">
        <f t="shared" si="40"/>
        <v>1.3333333333333333</v>
      </c>
      <c r="AP178" s="31">
        <f t="shared" si="41"/>
        <v>1.0961298377028716</v>
      </c>
      <c r="AQ178" s="31">
        <f t="shared" si="42"/>
        <v>0.96355353075170846</v>
      </c>
      <c r="AR178" s="31">
        <f t="shared" si="43"/>
        <v>0.98716452742123773</v>
      </c>
      <c r="AS178" s="29">
        <f t="shared" si="44"/>
        <v>27.31472665148064</v>
      </c>
      <c r="AT178" s="29">
        <f t="shared" si="45"/>
        <v>6.3641707701807295</v>
      </c>
      <c r="AU178" s="27" t="str">
        <f t="shared" si="46"/>
        <v>Medium</v>
      </c>
      <c r="AV178" s="27" t="str">
        <f t="shared" si="47"/>
        <v>Normal</v>
      </c>
      <c r="AW178" s="27"/>
    </row>
    <row r="179" spans="1:49" x14ac:dyDescent="0.25">
      <c r="A179" s="27">
        <v>178</v>
      </c>
      <c r="B179" s="28">
        <v>46200</v>
      </c>
      <c r="C179" s="28" t="str">
        <f t="shared" si="32"/>
        <v>June</v>
      </c>
      <c r="D179" s="27" t="s">
        <v>67</v>
      </c>
      <c r="E179" s="27" t="s">
        <v>61</v>
      </c>
      <c r="F179" s="27" t="s">
        <v>95</v>
      </c>
      <c r="G179" s="27" t="s">
        <v>63</v>
      </c>
      <c r="H179" s="27" t="s">
        <v>51</v>
      </c>
      <c r="I179" s="27" t="s">
        <v>302</v>
      </c>
      <c r="J179" s="27" t="s">
        <v>226</v>
      </c>
      <c r="K179" s="27">
        <v>954</v>
      </c>
      <c r="L179" s="27">
        <v>903</v>
      </c>
      <c r="M179" s="27">
        <v>859</v>
      </c>
      <c r="N179" s="27">
        <v>44</v>
      </c>
      <c r="O179" s="27">
        <v>15</v>
      </c>
      <c r="P179" s="27">
        <v>47</v>
      </c>
      <c r="Q179" s="27" t="s">
        <v>94</v>
      </c>
      <c r="R179" s="27">
        <v>42</v>
      </c>
      <c r="S179" s="27">
        <v>42</v>
      </c>
      <c r="T179" s="29">
        <v>65.5</v>
      </c>
      <c r="U179" s="29">
        <v>2.61</v>
      </c>
      <c r="V179" s="29">
        <v>37.1</v>
      </c>
      <c r="W179" s="30">
        <v>16411.009999999998</v>
      </c>
      <c r="X179" s="27">
        <v>8.49</v>
      </c>
      <c r="Y179" s="27" t="s">
        <v>110</v>
      </c>
      <c r="Z179" s="29">
        <v>27</v>
      </c>
      <c r="AA179" s="30">
        <v>27097.7</v>
      </c>
      <c r="AB179" s="29">
        <v>0.95127353266888204</v>
      </c>
      <c r="AC179" s="30">
        <v>20565.41</v>
      </c>
      <c r="AD179" s="30">
        <v>272.608139534884</v>
      </c>
      <c r="AE179" s="27">
        <v>667.8</v>
      </c>
      <c r="AF179" s="29">
        <v>0.929619646600779</v>
      </c>
      <c r="AG179" s="30">
        <v>6259.6818604651198</v>
      </c>
      <c r="AH179" s="31">
        <f t="shared" si="33"/>
        <v>0.94654088050314467</v>
      </c>
      <c r="AI179" s="31">
        <f t="shared" si="34"/>
        <v>4.8726467331118496E-2</v>
      </c>
      <c r="AJ179" s="31">
        <f t="shared" si="35"/>
        <v>1.6611295681063124E-2</v>
      </c>
      <c r="AK179" s="31">
        <f t="shared" si="36"/>
        <v>0.95127353266888148</v>
      </c>
      <c r="AL179" s="29">
        <f t="shared" si="37"/>
        <v>0.78333333333333333</v>
      </c>
      <c r="AM179" s="29">
        <f t="shared" si="38"/>
        <v>620.79999999999995</v>
      </c>
      <c r="AN179" s="29">
        <f t="shared" si="39"/>
        <v>1.4545747422680413</v>
      </c>
      <c r="AO179" s="29">
        <f t="shared" si="40"/>
        <v>1.4285714285714286</v>
      </c>
      <c r="AP179" s="31">
        <f t="shared" si="41"/>
        <v>1.0182023195876289</v>
      </c>
      <c r="AQ179" s="31">
        <f t="shared" si="42"/>
        <v>0.95127353266888148</v>
      </c>
      <c r="AR179" s="31">
        <f t="shared" si="43"/>
        <v>0.90041928721174036</v>
      </c>
      <c r="AS179" s="29">
        <f t="shared" si="44"/>
        <v>22.774540420819491</v>
      </c>
      <c r="AT179" s="29">
        <f t="shared" si="45"/>
        <v>6.9320950835715616</v>
      </c>
      <c r="AU179" s="27" t="str">
        <f t="shared" si="46"/>
        <v>Medium</v>
      </c>
      <c r="AV179" s="27" t="str">
        <f t="shared" si="47"/>
        <v>Normal</v>
      </c>
      <c r="AW179" s="27"/>
    </row>
    <row r="180" spans="1:49" x14ac:dyDescent="0.25">
      <c r="A180" s="27">
        <v>179</v>
      </c>
      <c r="B180" s="28">
        <v>46096</v>
      </c>
      <c r="C180" s="28" t="str">
        <f t="shared" si="32"/>
        <v>March</v>
      </c>
      <c r="D180" s="27" t="s">
        <v>47</v>
      </c>
      <c r="E180" s="27" t="s">
        <v>61</v>
      </c>
      <c r="F180" s="27" t="s">
        <v>95</v>
      </c>
      <c r="G180" s="27" t="s">
        <v>63</v>
      </c>
      <c r="H180" s="27" t="s">
        <v>79</v>
      </c>
      <c r="I180" s="27" t="s">
        <v>303</v>
      </c>
      <c r="J180" s="27" t="s">
        <v>134</v>
      </c>
      <c r="K180" s="27">
        <v>863</v>
      </c>
      <c r="L180" s="27">
        <v>818</v>
      </c>
      <c r="M180" s="27">
        <v>777</v>
      </c>
      <c r="N180" s="27">
        <v>41</v>
      </c>
      <c r="O180" s="27">
        <v>10</v>
      </c>
      <c r="P180" s="27">
        <v>42</v>
      </c>
      <c r="Q180" s="27" t="s">
        <v>54</v>
      </c>
      <c r="R180" s="27">
        <v>49</v>
      </c>
      <c r="S180" s="27">
        <v>52</v>
      </c>
      <c r="T180" s="29">
        <v>70.599999999999994</v>
      </c>
      <c r="U180" s="29">
        <v>2.0499999999999998</v>
      </c>
      <c r="V180" s="29">
        <v>28.21</v>
      </c>
      <c r="W180" s="30">
        <v>18722.32</v>
      </c>
      <c r="X180" s="27">
        <v>7.94</v>
      </c>
      <c r="Y180" s="27" t="s">
        <v>110</v>
      </c>
      <c r="Z180" s="29">
        <v>27</v>
      </c>
      <c r="AA180" s="30">
        <v>28852.59</v>
      </c>
      <c r="AB180" s="29">
        <v>0.94987775061124702</v>
      </c>
      <c r="AC180" s="30">
        <v>22549.21</v>
      </c>
      <c r="AD180" s="30">
        <v>228.879217603912</v>
      </c>
      <c r="AE180" s="27">
        <v>704.78333333333296</v>
      </c>
      <c r="AF180" s="29">
        <v>0.94040721734812105</v>
      </c>
      <c r="AG180" s="30">
        <v>6074.5007823960896</v>
      </c>
      <c r="AH180" s="31">
        <f t="shared" si="33"/>
        <v>0.947856315179606</v>
      </c>
      <c r="AI180" s="31">
        <f t="shared" si="34"/>
        <v>5.0122249388753058E-2</v>
      </c>
      <c r="AJ180" s="31">
        <f t="shared" si="35"/>
        <v>1.2224938875305624E-2</v>
      </c>
      <c r="AK180" s="31">
        <f t="shared" si="36"/>
        <v>0.94987775061124691</v>
      </c>
      <c r="AL180" s="29">
        <f t="shared" si="37"/>
        <v>0.7</v>
      </c>
      <c r="AM180" s="29">
        <f t="shared" si="38"/>
        <v>662.78333333333296</v>
      </c>
      <c r="AN180" s="29">
        <f t="shared" si="39"/>
        <v>1.2341891518092898</v>
      </c>
      <c r="AO180" s="29">
        <f t="shared" si="40"/>
        <v>1.2244897959183674</v>
      </c>
      <c r="AP180" s="31">
        <f t="shared" si="41"/>
        <v>1.0079211406442532</v>
      </c>
      <c r="AQ180" s="31">
        <f t="shared" si="42"/>
        <v>0.94987775061124691</v>
      </c>
      <c r="AR180" s="31">
        <f t="shared" si="43"/>
        <v>0.90034762456546957</v>
      </c>
      <c r="AS180" s="29">
        <f t="shared" si="44"/>
        <v>27.566271393643031</v>
      </c>
      <c r="AT180" s="29">
        <f t="shared" si="45"/>
        <v>7.4260400762788379</v>
      </c>
      <c r="AU180" s="27" t="str">
        <f t="shared" si="46"/>
        <v>Medium</v>
      </c>
      <c r="AV180" s="27" t="str">
        <f t="shared" si="47"/>
        <v>Normal</v>
      </c>
      <c r="AW180" s="27"/>
    </row>
    <row r="181" spans="1:49" x14ac:dyDescent="0.25">
      <c r="A181" s="27">
        <v>180</v>
      </c>
      <c r="B181" s="28">
        <v>46043</v>
      </c>
      <c r="C181" s="28" t="str">
        <f t="shared" si="32"/>
        <v>January</v>
      </c>
      <c r="D181" s="27" t="s">
        <v>67</v>
      </c>
      <c r="E181" s="27" t="s">
        <v>76</v>
      </c>
      <c r="F181" s="27" t="s">
        <v>77</v>
      </c>
      <c r="G181" s="27" t="s">
        <v>63</v>
      </c>
      <c r="H181" s="27" t="s">
        <v>124</v>
      </c>
      <c r="I181" s="27" t="s">
        <v>304</v>
      </c>
      <c r="J181" s="27" t="s">
        <v>86</v>
      </c>
      <c r="K181" s="27">
        <v>737</v>
      </c>
      <c r="L181" s="27">
        <v>687</v>
      </c>
      <c r="M181" s="27">
        <v>636</v>
      </c>
      <c r="N181" s="27">
        <v>51</v>
      </c>
      <c r="O181" s="27">
        <v>20</v>
      </c>
      <c r="P181" s="27">
        <v>9</v>
      </c>
      <c r="Q181" s="27" t="s">
        <v>97</v>
      </c>
      <c r="R181" s="27">
        <v>57</v>
      </c>
      <c r="S181" s="27">
        <v>62</v>
      </c>
      <c r="T181" s="29">
        <v>75.900000000000006</v>
      </c>
      <c r="U181" s="29">
        <v>1.71</v>
      </c>
      <c r="V181" s="29">
        <v>22.13</v>
      </c>
      <c r="W181" s="30">
        <v>19066.310000000001</v>
      </c>
      <c r="X181" s="27">
        <v>6.88</v>
      </c>
      <c r="Y181" s="27" t="s">
        <v>66</v>
      </c>
      <c r="Z181" s="29">
        <v>15</v>
      </c>
      <c r="AA181" s="30">
        <v>29217.94</v>
      </c>
      <c r="AB181" s="29">
        <v>0.92576419213973804</v>
      </c>
      <c r="AC181" s="30">
        <v>22361.48</v>
      </c>
      <c r="AD181" s="30">
        <v>555.05997088791901</v>
      </c>
      <c r="AE181" s="27">
        <v>700.15</v>
      </c>
      <c r="AF181" s="29">
        <v>0.98714561165464498</v>
      </c>
      <c r="AG181" s="30">
        <v>6301.4000291120801</v>
      </c>
      <c r="AH181" s="31">
        <f t="shared" si="33"/>
        <v>0.93215739484396198</v>
      </c>
      <c r="AI181" s="31">
        <f t="shared" si="34"/>
        <v>7.4235807860262015E-2</v>
      </c>
      <c r="AJ181" s="31">
        <f t="shared" si="35"/>
        <v>2.9112081513828238E-2</v>
      </c>
      <c r="AK181" s="31">
        <f t="shared" si="36"/>
        <v>0.92576419213973804</v>
      </c>
      <c r="AL181" s="29">
        <f t="shared" si="37"/>
        <v>0.15</v>
      </c>
      <c r="AM181" s="29">
        <f t="shared" si="38"/>
        <v>691.15</v>
      </c>
      <c r="AN181" s="29">
        <f t="shared" si="39"/>
        <v>0.99399551472184045</v>
      </c>
      <c r="AO181" s="29">
        <f t="shared" si="40"/>
        <v>1.0526315789473684</v>
      </c>
      <c r="AP181" s="31">
        <f t="shared" si="41"/>
        <v>0.94429573898574848</v>
      </c>
      <c r="AQ181" s="31">
        <f t="shared" si="42"/>
        <v>0.92576419213973804</v>
      </c>
      <c r="AR181" s="31">
        <f t="shared" si="43"/>
        <v>0.86295793758480299</v>
      </c>
      <c r="AS181" s="29">
        <f t="shared" si="44"/>
        <v>32.549461426491995</v>
      </c>
      <c r="AT181" s="29">
        <f t="shared" si="45"/>
        <v>9.1723435649375258</v>
      </c>
      <c r="AU181" s="27" t="str">
        <f t="shared" si="46"/>
        <v>Low</v>
      </c>
      <c r="AV181" s="27" t="str">
        <f t="shared" si="47"/>
        <v>Normal</v>
      </c>
      <c r="AW181" s="27"/>
    </row>
    <row r="182" spans="1:49" x14ac:dyDescent="0.25">
      <c r="A182" s="27">
        <v>181</v>
      </c>
      <c r="B182" s="28">
        <v>46161</v>
      </c>
      <c r="C182" s="28" t="str">
        <f t="shared" si="32"/>
        <v>May</v>
      </c>
      <c r="D182" s="27" t="s">
        <v>47</v>
      </c>
      <c r="E182" s="27" t="s">
        <v>76</v>
      </c>
      <c r="F182" s="27" t="s">
        <v>119</v>
      </c>
      <c r="G182" s="27" t="s">
        <v>50</v>
      </c>
      <c r="H182" s="27" t="s">
        <v>57</v>
      </c>
      <c r="I182" s="27" t="s">
        <v>305</v>
      </c>
      <c r="J182" s="27" t="s">
        <v>134</v>
      </c>
      <c r="K182" s="27">
        <v>914</v>
      </c>
      <c r="L182" s="27">
        <v>969</v>
      </c>
      <c r="M182" s="27">
        <v>877</v>
      </c>
      <c r="N182" s="27">
        <v>92</v>
      </c>
      <c r="O182" s="27">
        <v>22</v>
      </c>
      <c r="P182" s="27">
        <v>8</v>
      </c>
      <c r="Q182" s="27" t="s">
        <v>54</v>
      </c>
      <c r="R182" s="27">
        <v>45</v>
      </c>
      <c r="S182" s="27">
        <v>46</v>
      </c>
      <c r="T182" s="29">
        <v>69.8</v>
      </c>
      <c r="U182" s="29">
        <v>1.88</v>
      </c>
      <c r="V182" s="29">
        <v>33.549999999999997</v>
      </c>
      <c r="W182" s="30">
        <v>19544.900000000001</v>
      </c>
      <c r="X182" s="27">
        <v>9.3800000000000008</v>
      </c>
      <c r="Y182" s="27" t="s">
        <v>55</v>
      </c>
      <c r="Z182" s="29">
        <v>19</v>
      </c>
      <c r="AA182" s="30">
        <v>31064.65</v>
      </c>
      <c r="AB182" s="29">
        <v>0.90505675954592402</v>
      </c>
      <c r="AC182" s="30">
        <v>24067.85</v>
      </c>
      <c r="AD182" s="30">
        <v>443.74385964912301</v>
      </c>
      <c r="AE182" s="27">
        <v>685.5</v>
      </c>
      <c r="AF182" s="29">
        <v>0.98832968636032104</v>
      </c>
      <c r="AG182" s="30">
        <v>6553.05614035088</v>
      </c>
      <c r="AH182" s="31">
        <f t="shared" si="33"/>
        <v>1.0601750547045952</v>
      </c>
      <c r="AI182" s="31">
        <f t="shared" si="34"/>
        <v>9.4943240454076372E-2</v>
      </c>
      <c r="AJ182" s="31">
        <f t="shared" si="35"/>
        <v>2.2703818369453045E-2</v>
      </c>
      <c r="AK182" s="31">
        <f t="shared" si="36"/>
        <v>0.90505675954592368</v>
      </c>
      <c r="AL182" s="29">
        <f t="shared" si="37"/>
        <v>0.13333333333333333</v>
      </c>
      <c r="AM182" s="29">
        <f t="shared" si="38"/>
        <v>677.5</v>
      </c>
      <c r="AN182" s="29">
        <f t="shared" si="39"/>
        <v>1.4302583025830258</v>
      </c>
      <c r="AO182" s="29">
        <f t="shared" si="40"/>
        <v>1.3333333333333333</v>
      </c>
      <c r="AP182" s="31">
        <f t="shared" si="41"/>
        <v>1.0726937269372694</v>
      </c>
      <c r="AQ182" s="31">
        <f t="shared" si="42"/>
        <v>0.90505675954592368</v>
      </c>
      <c r="AR182" s="31">
        <f t="shared" si="43"/>
        <v>0.95951859956236352</v>
      </c>
      <c r="AS182" s="29">
        <f t="shared" si="44"/>
        <v>24.837822497420021</v>
      </c>
      <c r="AT182" s="29">
        <f t="shared" si="45"/>
        <v>6.762699835243426</v>
      </c>
      <c r="AU182" s="27" t="str">
        <f t="shared" si="46"/>
        <v>Medium</v>
      </c>
      <c r="AV182" s="27" t="str">
        <f t="shared" si="47"/>
        <v>Warning</v>
      </c>
      <c r="AW182" s="27"/>
    </row>
    <row r="183" spans="1:49" x14ac:dyDescent="0.25">
      <c r="A183" s="27">
        <v>182</v>
      </c>
      <c r="B183" s="28">
        <v>46118</v>
      </c>
      <c r="C183" s="28" t="str">
        <f t="shared" si="32"/>
        <v>April</v>
      </c>
      <c r="D183" s="27" t="s">
        <v>67</v>
      </c>
      <c r="E183" s="27" t="s">
        <v>61</v>
      </c>
      <c r="F183" s="27" t="s">
        <v>62</v>
      </c>
      <c r="G183" s="27" t="s">
        <v>63</v>
      </c>
      <c r="H183" s="27" t="s">
        <v>124</v>
      </c>
      <c r="I183" s="27" t="s">
        <v>306</v>
      </c>
      <c r="J183" s="27" t="s">
        <v>286</v>
      </c>
      <c r="K183" s="27">
        <v>728</v>
      </c>
      <c r="L183" s="27">
        <v>699</v>
      </c>
      <c r="M183" s="27">
        <v>671</v>
      </c>
      <c r="N183" s="27">
        <v>28</v>
      </c>
      <c r="O183" s="27">
        <v>10</v>
      </c>
      <c r="P183" s="27">
        <v>19</v>
      </c>
      <c r="Q183" s="27" t="s">
        <v>104</v>
      </c>
      <c r="R183" s="27">
        <v>57</v>
      </c>
      <c r="S183" s="27">
        <v>58</v>
      </c>
      <c r="T183" s="29">
        <v>79.7</v>
      </c>
      <c r="U183" s="29">
        <v>2.96</v>
      </c>
      <c r="V183" s="29">
        <v>22.22</v>
      </c>
      <c r="W183" s="30">
        <v>20365.61</v>
      </c>
      <c r="X183" s="27">
        <v>9.6</v>
      </c>
      <c r="Y183" s="27" t="s">
        <v>55</v>
      </c>
      <c r="Z183" s="29">
        <v>17</v>
      </c>
      <c r="AA183" s="30">
        <v>31274.47</v>
      </c>
      <c r="AB183" s="29">
        <v>0.95994277539341899</v>
      </c>
      <c r="AC183" s="30">
        <v>24885.59</v>
      </c>
      <c r="AD183" s="30">
        <v>291.35350500715299</v>
      </c>
      <c r="AE183" s="27">
        <v>691.6</v>
      </c>
      <c r="AF183" s="29">
        <v>0.97252747252747296</v>
      </c>
      <c r="AG183" s="30">
        <v>6097.5264949928496</v>
      </c>
      <c r="AH183" s="31">
        <f t="shared" si="33"/>
        <v>0.9601648351648352</v>
      </c>
      <c r="AI183" s="31">
        <f t="shared" si="34"/>
        <v>4.005722460658083E-2</v>
      </c>
      <c r="AJ183" s="31">
        <f t="shared" si="35"/>
        <v>1.4306151645207439E-2</v>
      </c>
      <c r="AK183" s="31">
        <f t="shared" si="36"/>
        <v>0.95994277539341921</v>
      </c>
      <c r="AL183" s="29">
        <f t="shared" si="37"/>
        <v>0.31666666666666665</v>
      </c>
      <c r="AM183" s="29">
        <f t="shared" si="38"/>
        <v>672.6</v>
      </c>
      <c r="AN183" s="29">
        <f t="shared" si="39"/>
        <v>1.039250669045495</v>
      </c>
      <c r="AO183" s="29">
        <f t="shared" si="40"/>
        <v>1.0526315789473684</v>
      </c>
      <c r="AP183" s="31">
        <f t="shared" si="41"/>
        <v>0.98728813559322026</v>
      </c>
      <c r="AQ183" s="31">
        <f t="shared" si="42"/>
        <v>0.95994277539341921</v>
      </c>
      <c r="AR183" s="31">
        <f t="shared" si="43"/>
        <v>0.92170329670329709</v>
      </c>
      <c r="AS183" s="29">
        <f t="shared" si="44"/>
        <v>35.601702432045776</v>
      </c>
      <c r="AT183" s="29">
        <f t="shared" si="45"/>
        <v>8.7232138698037911</v>
      </c>
      <c r="AU183" s="27" t="str">
        <f t="shared" si="46"/>
        <v>Low</v>
      </c>
      <c r="AV183" s="27" t="str">
        <f t="shared" si="47"/>
        <v>Normal</v>
      </c>
      <c r="AW183" s="27"/>
    </row>
    <row r="184" spans="1:49" x14ac:dyDescent="0.25">
      <c r="A184" s="27">
        <v>183</v>
      </c>
      <c r="B184" s="28">
        <v>46147</v>
      </c>
      <c r="C184" s="28" t="str">
        <f t="shared" si="32"/>
        <v>May</v>
      </c>
      <c r="D184" s="27" t="s">
        <v>67</v>
      </c>
      <c r="E184" s="27" t="s">
        <v>129</v>
      </c>
      <c r="F184" s="27" t="s">
        <v>130</v>
      </c>
      <c r="G184" s="27" t="s">
        <v>78</v>
      </c>
      <c r="H184" s="27" t="s">
        <v>51</v>
      </c>
      <c r="I184" s="27" t="s">
        <v>307</v>
      </c>
      <c r="J184" s="27" t="s">
        <v>53</v>
      </c>
      <c r="K184" s="27">
        <v>803</v>
      </c>
      <c r="L184" s="27">
        <v>580</v>
      </c>
      <c r="M184" s="27">
        <v>476</v>
      </c>
      <c r="N184" s="27">
        <v>104</v>
      </c>
      <c r="O184" s="27">
        <v>35</v>
      </c>
      <c r="P184" s="27">
        <v>27</v>
      </c>
      <c r="Q184" s="27" t="s">
        <v>91</v>
      </c>
      <c r="R184" s="27">
        <v>42</v>
      </c>
      <c r="S184" s="27">
        <v>45</v>
      </c>
      <c r="T184" s="29">
        <v>87.4</v>
      </c>
      <c r="U184" s="29">
        <v>3.96</v>
      </c>
      <c r="V184" s="29">
        <v>22.3</v>
      </c>
      <c r="W184" s="30">
        <v>10452.66</v>
      </c>
      <c r="X184" s="27">
        <v>5.98</v>
      </c>
      <c r="Y184" s="27" t="s">
        <v>71</v>
      </c>
      <c r="Z184" s="29">
        <v>54</v>
      </c>
      <c r="AA184" s="30">
        <v>15483.09</v>
      </c>
      <c r="AB184" s="29">
        <v>0.82068965517241399</v>
      </c>
      <c r="AC184" s="30">
        <v>13344.36</v>
      </c>
      <c r="AD184" s="30">
        <v>630.76396551724099</v>
      </c>
      <c r="AE184" s="27">
        <v>562.1</v>
      </c>
      <c r="AF184" s="29">
        <v>0.95196584237680104</v>
      </c>
      <c r="AG184" s="30">
        <v>1507.9660344827601</v>
      </c>
      <c r="AH184" s="31">
        <f t="shared" si="33"/>
        <v>0.72229140722291407</v>
      </c>
      <c r="AI184" s="31">
        <f t="shared" si="34"/>
        <v>0.1793103448275862</v>
      </c>
      <c r="AJ184" s="31">
        <f t="shared" si="35"/>
        <v>6.0344827586206899E-2</v>
      </c>
      <c r="AK184" s="31">
        <f t="shared" si="36"/>
        <v>0.82068965517241377</v>
      </c>
      <c r="AL184" s="29">
        <f t="shared" si="37"/>
        <v>0.45</v>
      </c>
      <c r="AM184" s="29">
        <f t="shared" si="38"/>
        <v>535.1</v>
      </c>
      <c r="AN184" s="29">
        <f t="shared" si="39"/>
        <v>1.083909549616894</v>
      </c>
      <c r="AO184" s="29">
        <f t="shared" si="40"/>
        <v>1.4285714285714286</v>
      </c>
      <c r="AP184" s="31">
        <f t="shared" si="41"/>
        <v>0.75873668473182576</v>
      </c>
      <c r="AQ184" s="31">
        <f t="shared" si="42"/>
        <v>0.82068965517241377</v>
      </c>
      <c r="AR184" s="31">
        <f t="shared" si="43"/>
        <v>0.59277708592777067</v>
      </c>
      <c r="AS184" s="29">
        <f t="shared" si="44"/>
        <v>23.007517241379311</v>
      </c>
      <c r="AT184" s="29">
        <f t="shared" si="45"/>
        <v>2.5999414387633792</v>
      </c>
      <c r="AU184" s="27" t="str">
        <f t="shared" si="46"/>
        <v>High</v>
      </c>
      <c r="AV184" s="27" t="str">
        <f t="shared" si="47"/>
        <v>Critical</v>
      </c>
      <c r="AW184" s="27"/>
    </row>
    <row r="185" spans="1:49" x14ac:dyDescent="0.25">
      <c r="A185" s="27">
        <v>184</v>
      </c>
      <c r="B185" s="28">
        <v>46137</v>
      </c>
      <c r="C185" s="28" t="str">
        <f t="shared" si="32"/>
        <v>April</v>
      </c>
      <c r="D185" s="27" t="s">
        <v>47</v>
      </c>
      <c r="E185" s="27" t="s">
        <v>61</v>
      </c>
      <c r="F185" s="27" t="s">
        <v>95</v>
      </c>
      <c r="G185" s="27" t="s">
        <v>50</v>
      </c>
      <c r="H185" s="27" t="s">
        <v>124</v>
      </c>
      <c r="I185" s="27" t="s">
        <v>308</v>
      </c>
      <c r="J185" s="27" t="s">
        <v>101</v>
      </c>
      <c r="K185" s="27">
        <v>742</v>
      </c>
      <c r="L185" s="27">
        <v>697</v>
      </c>
      <c r="M185" s="27">
        <v>663</v>
      </c>
      <c r="N185" s="27">
        <v>34</v>
      </c>
      <c r="O185" s="27">
        <v>8</v>
      </c>
      <c r="P185" s="27">
        <v>26</v>
      </c>
      <c r="Q185" s="27" t="s">
        <v>102</v>
      </c>
      <c r="R185" s="27">
        <v>57</v>
      </c>
      <c r="S185" s="27">
        <v>59</v>
      </c>
      <c r="T185" s="29">
        <v>73.099999999999994</v>
      </c>
      <c r="U185" s="29">
        <v>1.93</v>
      </c>
      <c r="V185" s="29">
        <v>23.6</v>
      </c>
      <c r="W185" s="30">
        <v>18632.66</v>
      </c>
      <c r="X185" s="27">
        <v>8.76</v>
      </c>
      <c r="Y185" s="27" t="s">
        <v>55</v>
      </c>
      <c r="Z185" s="29">
        <v>13</v>
      </c>
      <c r="AA185" s="30">
        <v>30397.17</v>
      </c>
      <c r="AB185" s="29">
        <v>0.95121951219512202</v>
      </c>
      <c r="AC185" s="30">
        <v>22787.06</v>
      </c>
      <c r="AD185" s="30">
        <v>213.861233859397</v>
      </c>
      <c r="AE185" s="27">
        <v>704.9</v>
      </c>
      <c r="AF185" s="29">
        <v>0.96311533550858297</v>
      </c>
      <c r="AG185" s="30">
        <v>7396.2487661406003</v>
      </c>
      <c r="AH185" s="31">
        <f t="shared" si="33"/>
        <v>0.93935309973045822</v>
      </c>
      <c r="AI185" s="31">
        <f t="shared" si="34"/>
        <v>4.878048780487805E-2</v>
      </c>
      <c r="AJ185" s="31">
        <f t="shared" si="35"/>
        <v>1.1477761836441894E-2</v>
      </c>
      <c r="AK185" s="31">
        <f t="shared" si="36"/>
        <v>0.95121951219512191</v>
      </c>
      <c r="AL185" s="29">
        <f t="shared" si="37"/>
        <v>0.43333333333333335</v>
      </c>
      <c r="AM185" s="29">
        <f t="shared" si="38"/>
        <v>678.9</v>
      </c>
      <c r="AN185" s="29">
        <f t="shared" si="39"/>
        <v>1.0266607747827368</v>
      </c>
      <c r="AO185" s="29">
        <f t="shared" si="40"/>
        <v>1.0526315789473684</v>
      </c>
      <c r="AP185" s="31">
        <f t="shared" si="41"/>
        <v>0.97532773604360001</v>
      </c>
      <c r="AQ185" s="31">
        <f t="shared" si="42"/>
        <v>0.95121951219512191</v>
      </c>
      <c r="AR185" s="31">
        <f t="shared" si="43"/>
        <v>0.89353099730458241</v>
      </c>
      <c r="AS185" s="29">
        <f t="shared" si="44"/>
        <v>32.693055954088955</v>
      </c>
      <c r="AT185" s="29">
        <f t="shared" si="45"/>
        <v>10.611547727604879</v>
      </c>
      <c r="AU185" s="27" t="str">
        <f t="shared" si="46"/>
        <v>Low</v>
      </c>
      <c r="AV185" s="27" t="str">
        <f t="shared" si="47"/>
        <v>Normal</v>
      </c>
      <c r="AW185" s="27"/>
    </row>
    <row r="186" spans="1:49" x14ac:dyDescent="0.25">
      <c r="A186" s="27">
        <v>185</v>
      </c>
      <c r="B186" s="28">
        <v>46115</v>
      </c>
      <c r="C186" s="28" t="str">
        <f t="shared" si="32"/>
        <v>April</v>
      </c>
      <c r="D186" s="27" t="s">
        <v>67</v>
      </c>
      <c r="E186" s="27" t="s">
        <v>61</v>
      </c>
      <c r="F186" s="27" t="s">
        <v>88</v>
      </c>
      <c r="G186" s="27" t="s">
        <v>50</v>
      </c>
      <c r="H186" s="27" t="s">
        <v>51</v>
      </c>
      <c r="I186" s="27" t="s">
        <v>309</v>
      </c>
      <c r="J186" s="27" t="s">
        <v>115</v>
      </c>
      <c r="K186" s="27">
        <v>848</v>
      </c>
      <c r="L186" s="27">
        <v>1007</v>
      </c>
      <c r="M186" s="27">
        <v>974</v>
      </c>
      <c r="N186" s="27">
        <v>33</v>
      </c>
      <c r="O186" s="27">
        <v>12</v>
      </c>
      <c r="P186" s="27">
        <v>13</v>
      </c>
      <c r="Q186" s="27" t="s">
        <v>54</v>
      </c>
      <c r="R186" s="27">
        <v>42</v>
      </c>
      <c r="S186" s="27">
        <v>41</v>
      </c>
      <c r="T186" s="29">
        <v>76</v>
      </c>
      <c r="U186" s="29">
        <v>1.94</v>
      </c>
      <c r="V186" s="29">
        <v>29.88</v>
      </c>
      <c r="W186" s="30">
        <v>17858.849999999999</v>
      </c>
      <c r="X186" s="27">
        <v>11.12</v>
      </c>
      <c r="Y186" s="27" t="s">
        <v>71</v>
      </c>
      <c r="Z186" s="29">
        <v>22</v>
      </c>
      <c r="AA186" s="30">
        <v>30811.51</v>
      </c>
      <c r="AB186" s="29">
        <v>0.96722939424031795</v>
      </c>
      <c r="AC186" s="30">
        <v>23131.77</v>
      </c>
      <c r="AD186" s="30">
        <v>212.81648460774599</v>
      </c>
      <c r="AE186" s="27">
        <v>593.6</v>
      </c>
      <c r="AF186" s="29">
        <v>0.97809973045822096</v>
      </c>
      <c r="AG186" s="30">
        <v>7466.92351539226</v>
      </c>
      <c r="AH186" s="31">
        <f t="shared" si="33"/>
        <v>1.1875</v>
      </c>
      <c r="AI186" s="31">
        <f t="shared" si="34"/>
        <v>3.2770605759682221E-2</v>
      </c>
      <c r="AJ186" s="31">
        <f t="shared" si="35"/>
        <v>1.1916583912611719E-2</v>
      </c>
      <c r="AK186" s="31">
        <f t="shared" si="36"/>
        <v>0.96722939424031773</v>
      </c>
      <c r="AL186" s="29">
        <f t="shared" si="37"/>
        <v>0.21666666666666667</v>
      </c>
      <c r="AM186" s="29">
        <f t="shared" si="38"/>
        <v>580.6</v>
      </c>
      <c r="AN186" s="29">
        <f t="shared" si="39"/>
        <v>1.7344126765415087</v>
      </c>
      <c r="AO186" s="29">
        <f t="shared" si="40"/>
        <v>1.4285714285714286</v>
      </c>
      <c r="AP186" s="31">
        <f t="shared" si="41"/>
        <v>1.214088873579056</v>
      </c>
      <c r="AQ186" s="31">
        <f t="shared" si="42"/>
        <v>0.96722939424031773</v>
      </c>
      <c r="AR186" s="31">
        <f t="shared" si="43"/>
        <v>1.1485849056603772</v>
      </c>
      <c r="AS186" s="29">
        <f t="shared" si="44"/>
        <v>22.970973187686198</v>
      </c>
      <c r="AT186" s="29">
        <f t="shared" si="45"/>
        <v>7.4150183866854622</v>
      </c>
      <c r="AU186" s="27" t="str">
        <f t="shared" si="46"/>
        <v>High</v>
      </c>
      <c r="AV186" s="27" t="str">
        <f t="shared" si="47"/>
        <v>Normal</v>
      </c>
      <c r="AW186" s="27"/>
    </row>
    <row r="187" spans="1:49" x14ac:dyDescent="0.25">
      <c r="A187" s="27">
        <v>186</v>
      </c>
      <c r="B187" s="28">
        <v>46086</v>
      </c>
      <c r="C187" s="28" t="str">
        <f t="shared" si="32"/>
        <v>March</v>
      </c>
      <c r="D187" s="27" t="s">
        <v>67</v>
      </c>
      <c r="E187" s="27" t="s">
        <v>61</v>
      </c>
      <c r="F187" s="27" t="s">
        <v>95</v>
      </c>
      <c r="G187" s="27" t="s">
        <v>50</v>
      </c>
      <c r="H187" s="27" t="s">
        <v>124</v>
      </c>
      <c r="I187" s="27" t="s">
        <v>310</v>
      </c>
      <c r="J187" s="27" t="s">
        <v>65</v>
      </c>
      <c r="K187" s="27">
        <v>527</v>
      </c>
      <c r="L187" s="27">
        <v>571</v>
      </c>
      <c r="M187" s="27">
        <v>535</v>
      </c>
      <c r="N187" s="27">
        <v>36</v>
      </c>
      <c r="O187" s="27">
        <v>11</v>
      </c>
      <c r="P187" s="27">
        <v>0</v>
      </c>
      <c r="Q187" s="27" t="s">
        <v>60</v>
      </c>
      <c r="R187" s="27">
        <v>57</v>
      </c>
      <c r="S187" s="27">
        <v>62</v>
      </c>
      <c r="T187" s="29">
        <v>62.1</v>
      </c>
      <c r="U187" s="29">
        <v>2.2599999999999998</v>
      </c>
      <c r="V187" s="29">
        <v>16.989999999999998</v>
      </c>
      <c r="W187" s="30">
        <v>15776.53</v>
      </c>
      <c r="X187" s="27">
        <v>9.91</v>
      </c>
      <c r="Y187" s="27" t="s">
        <v>66</v>
      </c>
      <c r="Z187" s="29">
        <v>23</v>
      </c>
      <c r="AA187" s="30">
        <v>24977.54</v>
      </c>
      <c r="AB187" s="29">
        <v>0.93695271453590201</v>
      </c>
      <c r="AC187" s="30">
        <v>20388.939999999999</v>
      </c>
      <c r="AD187" s="30">
        <v>303.92614711033298</v>
      </c>
      <c r="AE187" s="27">
        <v>500.65</v>
      </c>
      <c r="AF187" s="29">
        <v>1</v>
      </c>
      <c r="AG187" s="30">
        <v>4284.6738528896703</v>
      </c>
      <c r="AH187" s="31">
        <f t="shared" si="33"/>
        <v>1.0834914611005693</v>
      </c>
      <c r="AI187" s="31">
        <f t="shared" si="34"/>
        <v>6.3047285464098074E-2</v>
      </c>
      <c r="AJ187" s="31">
        <f t="shared" si="35"/>
        <v>1.9264448336252189E-2</v>
      </c>
      <c r="AK187" s="31">
        <f t="shared" si="36"/>
        <v>0.9369527145359019</v>
      </c>
      <c r="AL187" s="29">
        <f t="shared" si="37"/>
        <v>0</v>
      </c>
      <c r="AM187" s="29">
        <f t="shared" si="38"/>
        <v>500.65</v>
      </c>
      <c r="AN187" s="29">
        <f t="shared" si="39"/>
        <v>1.1405173274742835</v>
      </c>
      <c r="AO187" s="29">
        <f t="shared" si="40"/>
        <v>1.0526315789473684</v>
      </c>
      <c r="AP187" s="31">
        <f t="shared" si="41"/>
        <v>1.0834914611005693</v>
      </c>
      <c r="AQ187" s="31">
        <f t="shared" si="42"/>
        <v>0.9369527145359019</v>
      </c>
      <c r="AR187" s="31">
        <f t="shared" si="43"/>
        <v>1.0151802656546489</v>
      </c>
      <c r="AS187" s="29">
        <f t="shared" si="44"/>
        <v>35.707425569176877</v>
      </c>
      <c r="AT187" s="29">
        <f t="shared" si="45"/>
        <v>7.5038070978803333</v>
      </c>
      <c r="AU187" s="27" t="str">
        <f t="shared" si="46"/>
        <v>Low</v>
      </c>
      <c r="AV187" s="27" t="str">
        <f t="shared" si="47"/>
        <v>Normal</v>
      </c>
      <c r="AW187" s="27"/>
    </row>
    <row r="188" spans="1:49" x14ac:dyDescent="0.25">
      <c r="A188" s="27">
        <v>187</v>
      </c>
      <c r="B188" s="28">
        <v>46167</v>
      </c>
      <c r="C188" s="28" t="str">
        <f t="shared" si="32"/>
        <v>May</v>
      </c>
      <c r="D188" s="27" t="s">
        <v>67</v>
      </c>
      <c r="E188" s="27" t="s">
        <v>76</v>
      </c>
      <c r="F188" s="27" t="s">
        <v>113</v>
      </c>
      <c r="G188" s="27" t="s">
        <v>63</v>
      </c>
      <c r="H188" s="27" t="s">
        <v>79</v>
      </c>
      <c r="I188" s="27" t="s">
        <v>311</v>
      </c>
      <c r="J188" s="27" t="s">
        <v>170</v>
      </c>
      <c r="K188" s="27">
        <v>866</v>
      </c>
      <c r="L188" s="27">
        <v>853</v>
      </c>
      <c r="M188" s="27">
        <v>808</v>
      </c>
      <c r="N188" s="27">
        <v>45</v>
      </c>
      <c r="O188" s="27">
        <v>12</v>
      </c>
      <c r="P188" s="27">
        <v>0</v>
      </c>
      <c r="Q188" s="27" t="s">
        <v>60</v>
      </c>
      <c r="R188" s="27">
        <v>49</v>
      </c>
      <c r="S188" s="27">
        <v>50</v>
      </c>
      <c r="T188" s="29">
        <v>76.2</v>
      </c>
      <c r="U188" s="29">
        <v>2.88</v>
      </c>
      <c r="V188" s="29">
        <v>29.09</v>
      </c>
      <c r="W188" s="30">
        <v>19716.509999999998</v>
      </c>
      <c r="X188" s="27">
        <v>10.17</v>
      </c>
      <c r="Y188" s="27" t="s">
        <v>66</v>
      </c>
      <c r="Z188" s="29">
        <v>28</v>
      </c>
      <c r="AA188" s="30">
        <v>29799.7</v>
      </c>
      <c r="AB188" s="29">
        <v>0.94724501758499402</v>
      </c>
      <c r="AC188" s="30">
        <v>24554.82</v>
      </c>
      <c r="AD188" s="30">
        <v>277.37177022274301</v>
      </c>
      <c r="AE188" s="27">
        <v>707.23333333333301</v>
      </c>
      <c r="AF188" s="29">
        <v>1</v>
      </c>
      <c r="AG188" s="30">
        <v>4967.5082297772597</v>
      </c>
      <c r="AH188" s="31">
        <f t="shared" si="33"/>
        <v>0.98498845265588919</v>
      </c>
      <c r="AI188" s="31">
        <f t="shared" si="34"/>
        <v>5.2754982415005862E-2</v>
      </c>
      <c r="AJ188" s="31">
        <f t="shared" si="35"/>
        <v>1.4067995310668231E-2</v>
      </c>
      <c r="AK188" s="31">
        <f t="shared" si="36"/>
        <v>0.94724501758499413</v>
      </c>
      <c r="AL188" s="29">
        <f t="shared" si="37"/>
        <v>0</v>
      </c>
      <c r="AM188" s="29">
        <f t="shared" si="38"/>
        <v>707.23333333333301</v>
      </c>
      <c r="AN188" s="29">
        <f t="shared" si="39"/>
        <v>1.2061083093745586</v>
      </c>
      <c r="AO188" s="29">
        <f t="shared" si="40"/>
        <v>1.2244897959183674</v>
      </c>
      <c r="AP188" s="31">
        <f t="shared" si="41"/>
        <v>0.98498845265588952</v>
      </c>
      <c r="AQ188" s="31">
        <f t="shared" si="42"/>
        <v>0.94724501758499413</v>
      </c>
      <c r="AR188" s="31">
        <f t="shared" si="43"/>
        <v>0.93302540415704427</v>
      </c>
      <c r="AS188" s="29">
        <f t="shared" si="44"/>
        <v>28.786424384525205</v>
      </c>
      <c r="AT188" s="29">
        <f t="shared" si="45"/>
        <v>5.8235735401843609</v>
      </c>
      <c r="AU188" s="27" t="str">
        <f t="shared" si="46"/>
        <v>Low</v>
      </c>
      <c r="AV188" s="27" t="str">
        <f t="shared" si="47"/>
        <v>Normal</v>
      </c>
      <c r="AW188" s="27"/>
    </row>
    <row r="189" spans="1:49" x14ac:dyDescent="0.25">
      <c r="A189" s="27">
        <v>188</v>
      </c>
      <c r="B189" s="28">
        <v>46133</v>
      </c>
      <c r="C189" s="28" t="str">
        <f t="shared" si="32"/>
        <v>April</v>
      </c>
      <c r="D189" s="27" t="s">
        <v>67</v>
      </c>
      <c r="E189" s="27" t="s">
        <v>76</v>
      </c>
      <c r="F189" s="27" t="s">
        <v>77</v>
      </c>
      <c r="G189" s="27" t="s">
        <v>78</v>
      </c>
      <c r="H189" s="27" t="s">
        <v>124</v>
      </c>
      <c r="I189" s="27" t="s">
        <v>312</v>
      </c>
      <c r="J189" s="27" t="s">
        <v>138</v>
      </c>
      <c r="K189" s="27">
        <v>625</v>
      </c>
      <c r="L189" s="27">
        <v>595</v>
      </c>
      <c r="M189" s="27">
        <v>557</v>
      </c>
      <c r="N189" s="27">
        <v>38</v>
      </c>
      <c r="O189" s="27">
        <v>13</v>
      </c>
      <c r="P189" s="27">
        <v>11</v>
      </c>
      <c r="Q189" s="27" t="s">
        <v>91</v>
      </c>
      <c r="R189" s="27">
        <v>57</v>
      </c>
      <c r="S189" s="27">
        <v>62</v>
      </c>
      <c r="T189" s="29">
        <v>73.7</v>
      </c>
      <c r="U189" s="29">
        <v>1.81</v>
      </c>
      <c r="V189" s="29">
        <v>21.39</v>
      </c>
      <c r="W189" s="30">
        <v>16584.8</v>
      </c>
      <c r="X189" s="27">
        <v>9.0299999999999994</v>
      </c>
      <c r="Y189" s="27" t="s">
        <v>55</v>
      </c>
      <c r="Z189" s="29">
        <v>24</v>
      </c>
      <c r="AA189" s="30">
        <v>25850.23</v>
      </c>
      <c r="AB189" s="29">
        <v>0.93613445378151305</v>
      </c>
      <c r="AC189" s="30">
        <v>20840.810000000001</v>
      </c>
      <c r="AD189" s="30">
        <v>362.35697478991602</v>
      </c>
      <c r="AE189" s="27">
        <v>593.75</v>
      </c>
      <c r="AF189" s="29">
        <v>0.98147368421052605</v>
      </c>
      <c r="AG189" s="30">
        <v>4647.06302521009</v>
      </c>
      <c r="AH189" s="31">
        <f t="shared" si="33"/>
        <v>0.95199999999999996</v>
      </c>
      <c r="AI189" s="31">
        <f t="shared" si="34"/>
        <v>6.386554621848739E-2</v>
      </c>
      <c r="AJ189" s="31">
        <f t="shared" si="35"/>
        <v>2.1848739495798318E-2</v>
      </c>
      <c r="AK189" s="31">
        <f t="shared" si="36"/>
        <v>0.93613445378151261</v>
      </c>
      <c r="AL189" s="29">
        <f t="shared" si="37"/>
        <v>0.18333333333333332</v>
      </c>
      <c r="AM189" s="29">
        <f t="shared" si="38"/>
        <v>582.75</v>
      </c>
      <c r="AN189" s="29">
        <f t="shared" si="39"/>
        <v>1.0210210210210211</v>
      </c>
      <c r="AO189" s="29">
        <f t="shared" si="40"/>
        <v>1.0526315789473684</v>
      </c>
      <c r="AP189" s="31">
        <f t="shared" si="41"/>
        <v>0.96996996996997009</v>
      </c>
      <c r="AQ189" s="31">
        <f t="shared" si="42"/>
        <v>0.93613445378151261</v>
      </c>
      <c r="AR189" s="31">
        <f t="shared" si="43"/>
        <v>0.89119999999999988</v>
      </c>
      <c r="AS189" s="29">
        <f t="shared" si="44"/>
        <v>35.02657142857143</v>
      </c>
      <c r="AT189" s="29">
        <f t="shared" si="45"/>
        <v>7.8101899583362862</v>
      </c>
      <c r="AU189" s="27" t="str">
        <f t="shared" si="46"/>
        <v>Low</v>
      </c>
      <c r="AV189" s="27" t="str">
        <f t="shared" si="47"/>
        <v>Normal</v>
      </c>
      <c r="AW189" s="27"/>
    </row>
    <row r="190" spans="1:49" x14ac:dyDescent="0.25">
      <c r="A190" s="27">
        <v>189</v>
      </c>
      <c r="B190" s="28">
        <v>46159</v>
      </c>
      <c r="C190" s="28" t="str">
        <f t="shared" si="32"/>
        <v>May</v>
      </c>
      <c r="D190" s="27" t="s">
        <v>67</v>
      </c>
      <c r="E190" s="27" t="s">
        <v>61</v>
      </c>
      <c r="F190" s="27" t="s">
        <v>88</v>
      </c>
      <c r="G190" s="27" t="s">
        <v>78</v>
      </c>
      <c r="H190" s="27" t="s">
        <v>51</v>
      </c>
      <c r="I190" s="27" t="s">
        <v>313</v>
      </c>
      <c r="J190" s="27" t="s">
        <v>143</v>
      </c>
      <c r="K190" s="27">
        <v>776</v>
      </c>
      <c r="L190" s="27">
        <v>746</v>
      </c>
      <c r="M190" s="27">
        <v>720</v>
      </c>
      <c r="N190" s="27">
        <v>26</v>
      </c>
      <c r="O190" s="27">
        <v>6</v>
      </c>
      <c r="P190" s="27">
        <v>11</v>
      </c>
      <c r="Q190" s="27" t="s">
        <v>102</v>
      </c>
      <c r="R190" s="27">
        <v>42</v>
      </c>
      <c r="S190" s="27">
        <v>43</v>
      </c>
      <c r="T190" s="29">
        <v>72.2</v>
      </c>
      <c r="U190" s="29">
        <v>1.75</v>
      </c>
      <c r="V190" s="29">
        <v>28.53</v>
      </c>
      <c r="W190" s="30">
        <v>13358.5</v>
      </c>
      <c r="X190" s="27">
        <v>7.4</v>
      </c>
      <c r="Y190" s="27" t="s">
        <v>55</v>
      </c>
      <c r="Z190" s="29">
        <v>16</v>
      </c>
      <c r="AA190" s="30">
        <v>22821.46</v>
      </c>
      <c r="AB190" s="29">
        <v>0.96514745308311001</v>
      </c>
      <c r="AC190" s="30">
        <v>16945.27</v>
      </c>
      <c r="AD190" s="30">
        <v>107.441018766756</v>
      </c>
      <c r="AE190" s="27">
        <v>543.20000000000005</v>
      </c>
      <c r="AF190" s="29">
        <v>0.979749631811487</v>
      </c>
      <c r="AG190" s="30">
        <v>5768.7489812332396</v>
      </c>
      <c r="AH190" s="31">
        <f t="shared" si="33"/>
        <v>0.96134020618556704</v>
      </c>
      <c r="AI190" s="31">
        <f t="shared" si="34"/>
        <v>3.4852546916890083E-2</v>
      </c>
      <c r="AJ190" s="31">
        <f t="shared" si="35"/>
        <v>8.0428954423592495E-3</v>
      </c>
      <c r="AK190" s="31">
        <f t="shared" si="36"/>
        <v>0.9651474530831099</v>
      </c>
      <c r="AL190" s="29">
        <f t="shared" si="37"/>
        <v>0.18333333333333332</v>
      </c>
      <c r="AM190" s="29">
        <f t="shared" si="38"/>
        <v>532.20000000000005</v>
      </c>
      <c r="AN190" s="29">
        <f t="shared" si="39"/>
        <v>1.4017286734310408</v>
      </c>
      <c r="AO190" s="29">
        <f t="shared" si="40"/>
        <v>1.4285714285714286</v>
      </c>
      <c r="AP190" s="31">
        <f t="shared" si="41"/>
        <v>0.98121007140172856</v>
      </c>
      <c r="AQ190" s="31">
        <f t="shared" si="42"/>
        <v>0.9651474530831099</v>
      </c>
      <c r="AR190" s="31">
        <f t="shared" si="43"/>
        <v>0.92783505154639112</v>
      </c>
      <c r="AS190" s="29">
        <f t="shared" si="44"/>
        <v>22.714839142091154</v>
      </c>
      <c r="AT190" s="29">
        <f t="shared" si="45"/>
        <v>7.7329074815458974</v>
      </c>
      <c r="AU190" s="27" t="str">
        <f t="shared" si="46"/>
        <v>Low</v>
      </c>
      <c r="AV190" s="27" t="str">
        <f t="shared" si="47"/>
        <v>Normal</v>
      </c>
      <c r="AW190" s="27"/>
    </row>
    <row r="191" spans="1:49" x14ac:dyDescent="0.25">
      <c r="A191" s="27">
        <v>190</v>
      </c>
      <c r="B191" s="28">
        <v>46102</v>
      </c>
      <c r="C191" s="28" t="str">
        <f t="shared" si="32"/>
        <v>March</v>
      </c>
      <c r="D191" s="27" t="s">
        <v>67</v>
      </c>
      <c r="E191" s="27" t="s">
        <v>129</v>
      </c>
      <c r="F191" s="27" t="s">
        <v>151</v>
      </c>
      <c r="G191" s="27" t="s">
        <v>63</v>
      </c>
      <c r="H191" s="27" t="s">
        <v>51</v>
      </c>
      <c r="I191" s="27" t="s">
        <v>314</v>
      </c>
      <c r="J191" s="27" t="s">
        <v>140</v>
      </c>
      <c r="K191" s="27">
        <v>794</v>
      </c>
      <c r="L191" s="27">
        <v>646</v>
      </c>
      <c r="M191" s="27">
        <v>607</v>
      </c>
      <c r="N191" s="27">
        <v>39</v>
      </c>
      <c r="O191" s="27">
        <v>8</v>
      </c>
      <c r="P191" s="27">
        <v>22</v>
      </c>
      <c r="Q191" s="27" t="s">
        <v>94</v>
      </c>
      <c r="R191" s="27">
        <v>42</v>
      </c>
      <c r="S191" s="27">
        <v>41</v>
      </c>
      <c r="T191" s="29">
        <v>77</v>
      </c>
      <c r="U191" s="29">
        <v>1.38</v>
      </c>
      <c r="V191" s="29">
        <v>25.53</v>
      </c>
      <c r="W191" s="30">
        <v>12339.97</v>
      </c>
      <c r="X191" s="27">
        <v>7.05</v>
      </c>
      <c r="Y191" s="27" t="s">
        <v>110</v>
      </c>
      <c r="Z191" s="29">
        <v>22</v>
      </c>
      <c r="AA191" s="30">
        <v>18880.330000000002</v>
      </c>
      <c r="AB191" s="29">
        <v>0.93962848297213597</v>
      </c>
      <c r="AC191" s="30">
        <v>15742.24</v>
      </c>
      <c r="AD191" s="30">
        <v>152.816965944272</v>
      </c>
      <c r="AE191" s="27">
        <v>555.79999999999995</v>
      </c>
      <c r="AF191" s="29">
        <v>0.96041741633681199</v>
      </c>
      <c r="AG191" s="30">
        <v>2985.27303405573</v>
      </c>
      <c r="AH191" s="31">
        <f t="shared" si="33"/>
        <v>0.81360201511335017</v>
      </c>
      <c r="AI191" s="31">
        <f t="shared" si="34"/>
        <v>6.037151702786378E-2</v>
      </c>
      <c r="AJ191" s="31">
        <f t="shared" si="35"/>
        <v>1.238390092879257E-2</v>
      </c>
      <c r="AK191" s="31">
        <f t="shared" si="36"/>
        <v>0.93962848297213619</v>
      </c>
      <c r="AL191" s="29">
        <f t="shared" si="37"/>
        <v>0.36666666666666664</v>
      </c>
      <c r="AM191" s="29">
        <f t="shared" si="38"/>
        <v>533.79999999999995</v>
      </c>
      <c r="AN191" s="29">
        <f t="shared" si="39"/>
        <v>1.2101910828025479</v>
      </c>
      <c r="AO191" s="29">
        <f t="shared" si="40"/>
        <v>1.4285714285714286</v>
      </c>
      <c r="AP191" s="31">
        <f t="shared" si="41"/>
        <v>0.84713375796178358</v>
      </c>
      <c r="AQ191" s="31">
        <f t="shared" si="42"/>
        <v>0.93962848297213619</v>
      </c>
      <c r="AR191" s="31">
        <f t="shared" si="43"/>
        <v>0.7644836272040304</v>
      </c>
      <c r="AS191" s="29">
        <f t="shared" si="44"/>
        <v>24.368792569659444</v>
      </c>
      <c r="AT191" s="29">
        <f t="shared" si="45"/>
        <v>4.6211656873927707</v>
      </c>
      <c r="AU191" s="27" t="str">
        <f t="shared" si="46"/>
        <v>High</v>
      </c>
      <c r="AV191" s="27" t="str">
        <f t="shared" si="47"/>
        <v>Warning</v>
      </c>
      <c r="AW191" s="27"/>
    </row>
    <row r="192" spans="1:49" x14ac:dyDescent="0.25">
      <c r="A192" s="27">
        <v>191</v>
      </c>
      <c r="B192" s="28">
        <v>46140</v>
      </c>
      <c r="C192" s="28" t="str">
        <f t="shared" si="32"/>
        <v>April</v>
      </c>
      <c r="D192" s="27" t="s">
        <v>47</v>
      </c>
      <c r="E192" s="27" t="s">
        <v>76</v>
      </c>
      <c r="F192" s="27" t="s">
        <v>113</v>
      </c>
      <c r="G192" s="27" t="s">
        <v>78</v>
      </c>
      <c r="H192" s="27" t="s">
        <v>124</v>
      </c>
      <c r="I192" s="27" t="s">
        <v>315</v>
      </c>
      <c r="J192" s="27" t="s">
        <v>121</v>
      </c>
      <c r="K192" s="27">
        <v>759</v>
      </c>
      <c r="L192" s="27">
        <v>643</v>
      </c>
      <c r="M192" s="27">
        <v>605</v>
      </c>
      <c r="N192" s="27">
        <v>38</v>
      </c>
      <c r="O192" s="27">
        <v>9</v>
      </c>
      <c r="P192" s="27">
        <v>17</v>
      </c>
      <c r="Q192" s="27" t="s">
        <v>97</v>
      </c>
      <c r="R192" s="27">
        <v>57</v>
      </c>
      <c r="S192" s="27">
        <v>61</v>
      </c>
      <c r="T192" s="29">
        <v>79.099999999999994</v>
      </c>
      <c r="U192" s="29">
        <v>2.35</v>
      </c>
      <c r="V192" s="29">
        <v>19.97</v>
      </c>
      <c r="W192" s="30">
        <v>17310.14</v>
      </c>
      <c r="X192" s="27">
        <v>6.57</v>
      </c>
      <c r="Y192" s="27" t="s">
        <v>55</v>
      </c>
      <c r="Z192" s="29">
        <v>21</v>
      </c>
      <c r="AA192" s="30">
        <v>27194.89</v>
      </c>
      <c r="AB192" s="29">
        <v>0.94090202177293902</v>
      </c>
      <c r="AC192" s="30">
        <v>20446.37</v>
      </c>
      <c r="AD192" s="30">
        <v>242.288118195956</v>
      </c>
      <c r="AE192" s="27">
        <v>721.05</v>
      </c>
      <c r="AF192" s="29">
        <v>0.97642327161777998</v>
      </c>
      <c r="AG192" s="30">
        <v>6506.2318818040403</v>
      </c>
      <c r="AH192" s="31">
        <f t="shared" si="33"/>
        <v>0.84716732542819495</v>
      </c>
      <c r="AI192" s="31">
        <f t="shared" si="34"/>
        <v>5.909797822706065E-2</v>
      </c>
      <c r="AJ192" s="31">
        <f t="shared" si="35"/>
        <v>1.3996889580093312E-2</v>
      </c>
      <c r="AK192" s="31">
        <f t="shared" si="36"/>
        <v>0.94090202177293936</v>
      </c>
      <c r="AL192" s="29">
        <f t="shared" si="37"/>
        <v>0.28333333333333333</v>
      </c>
      <c r="AM192" s="29">
        <f t="shared" si="38"/>
        <v>704.05</v>
      </c>
      <c r="AN192" s="29">
        <f t="shared" si="39"/>
        <v>0.91328740856473267</v>
      </c>
      <c r="AO192" s="29">
        <f t="shared" si="40"/>
        <v>1.0526315789473684</v>
      </c>
      <c r="AP192" s="31">
        <f t="shared" si="41"/>
        <v>0.86762303813649611</v>
      </c>
      <c r="AQ192" s="31">
        <f t="shared" si="42"/>
        <v>0.94090202177293936</v>
      </c>
      <c r="AR192" s="31">
        <f t="shared" si="43"/>
        <v>0.79710144927536275</v>
      </c>
      <c r="AS192" s="29">
        <f t="shared" si="44"/>
        <v>31.798398133748055</v>
      </c>
      <c r="AT192" s="29">
        <f t="shared" si="45"/>
        <v>10.118556581343764</v>
      </c>
      <c r="AU192" s="27" t="str">
        <f t="shared" si="46"/>
        <v>High</v>
      </c>
      <c r="AV192" s="27" t="str">
        <f t="shared" si="47"/>
        <v>Warning</v>
      </c>
      <c r="AW192" s="27"/>
    </row>
    <row r="193" spans="1:49" x14ac:dyDescent="0.25">
      <c r="A193" s="27">
        <v>192</v>
      </c>
      <c r="B193" s="28">
        <v>46085</v>
      </c>
      <c r="C193" s="28" t="str">
        <f t="shared" si="32"/>
        <v>March</v>
      </c>
      <c r="D193" s="27" t="s">
        <v>47</v>
      </c>
      <c r="E193" s="27" t="s">
        <v>48</v>
      </c>
      <c r="F193" s="27" t="s">
        <v>49</v>
      </c>
      <c r="G193" s="27" t="s">
        <v>78</v>
      </c>
      <c r="H193" s="27" t="s">
        <v>124</v>
      </c>
      <c r="I193" s="27" t="s">
        <v>316</v>
      </c>
      <c r="J193" s="27" t="s">
        <v>101</v>
      </c>
      <c r="K193" s="27">
        <v>615</v>
      </c>
      <c r="L193" s="27">
        <v>590</v>
      </c>
      <c r="M193" s="27">
        <v>551</v>
      </c>
      <c r="N193" s="27">
        <v>39</v>
      </c>
      <c r="O193" s="27">
        <v>12</v>
      </c>
      <c r="P193" s="27">
        <v>32</v>
      </c>
      <c r="Q193" s="27" t="s">
        <v>102</v>
      </c>
      <c r="R193" s="27">
        <v>57</v>
      </c>
      <c r="S193" s="27">
        <v>59</v>
      </c>
      <c r="T193" s="29">
        <v>82.6</v>
      </c>
      <c r="U193" s="29">
        <v>2.4900000000000002</v>
      </c>
      <c r="V193" s="29">
        <v>19.09</v>
      </c>
      <c r="W193" s="30">
        <v>15868.19</v>
      </c>
      <c r="X193" s="27">
        <v>8.67</v>
      </c>
      <c r="Y193" s="27" t="s">
        <v>71</v>
      </c>
      <c r="Z193" s="29">
        <v>47</v>
      </c>
      <c r="AA193" s="30">
        <v>25113.81</v>
      </c>
      <c r="AB193" s="29">
        <v>0.93389830508474603</v>
      </c>
      <c r="AC193" s="30">
        <v>19941.5</v>
      </c>
      <c r="AD193" s="30">
        <v>322.74284745762702</v>
      </c>
      <c r="AE193" s="27">
        <v>584.25</v>
      </c>
      <c r="AF193" s="29">
        <v>0.94522892597346997</v>
      </c>
      <c r="AG193" s="30">
        <v>4849.5671525423704</v>
      </c>
      <c r="AH193" s="31">
        <f t="shared" si="33"/>
        <v>0.95934959349593496</v>
      </c>
      <c r="AI193" s="31">
        <f t="shared" si="34"/>
        <v>6.6101694915254236E-2</v>
      </c>
      <c r="AJ193" s="31">
        <f t="shared" si="35"/>
        <v>2.0338983050847456E-2</v>
      </c>
      <c r="AK193" s="31">
        <f t="shared" si="36"/>
        <v>0.93389830508474581</v>
      </c>
      <c r="AL193" s="29">
        <f t="shared" si="37"/>
        <v>0.53333333333333333</v>
      </c>
      <c r="AM193" s="29">
        <f t="shared" si="38"/>
        <v>552.25</v>
      </c>
      <c r="AN193" s="29">
        <f t="shared" si="39"/>
        <v>1.0683567224988684</v>
      </c>
      <c r="AO193" s="29">
        <f t="shared" si="40"/>
        <v>1.0526315789473684</v>
      </c>
      <c r="AP193" s="31">
        <f t="shared" si="41"/>
        <v>1.014938886373925</v>
      </c>
      <c r="AQ193" s="31">
        <f t="shared" si="42"/>
        <v>0.93389830508474581</v>
      </c>
      <c r="AR193" s="31">
        <f t="shared" si="43"/>
        <v>0.89593495934959344</v>
      </c>
      <c r="AS193" s="29">
        <f t="shared" si="44"/>
        <v>33.79915254237288</v>
      </c>
      <c r="AT193" s="29">
        <f t="shared" si="45"/>
        <v>8.2196053432921534</v>
      </c>
      <c r="AU193" s="27" t="str">
        <f t="shared" si="46"/>
        <v>High</v>
      </c>
      <c r="AV193" s="27" t="str">
        <f t="shared" si="47"/>
        <v>Warning</v>
      </c>
      <c r="AW193" s="27"/>
    </row>
    <row r="194" spans="1:49" x14ac:dyDescent="0.25">
      <c r="A194" s="27">
        <v>193</v>
      </c>
      <c r="B194" s="28">
        <v>46135</v>
      </c>
      <c r="C194" s="28" t="str">
        <f t="shared" ref="C194:C257" si="48">TEXT(B194,"mmmm")</f>
        <v>April</v>
      </c>
      <c r="D194" s="27" t="s">
        <v>47</v>
      </c>
      <c r="E194" s="27" t="s">
        <v>48</v>
      </c>
      <c r="F194" s="27" t="s">
        <v>49</v>
      </c>
      <c r="G194" s="27" t="s">
        <v>50</v>
      </c>
      <c r="H194" s="27" t="s">
        <v>57</v>
      </c>
      <c r="I194" s="27" t="s">
        <v>317</v>
      </c>
      <c r="J194" s="27" t="s">
        <v>59</v>
      </c>
      <c r="K194" s="27">
        <v>700</v>
      </c>
      <c r="L194" s="27">
        <v>707</v>
      </c>
      <c r="M194" s="27">
        <v>671</v>
      </c>
      <c r="N194" s="27">
        <v>36</v>
      </c>
      <c r="O194" s="27">
        <v>14</v>
      </c>
      <c r="P194" s="27">
        <v>25</v>
      </c>
      <c r="Q194" s="27" t="s">
        <v>91</v>
      </c>
      <c r="R194" s="27">
        <v>45</v>
      </c>
      <c r="S194" s="27">
        <v>44</v>
      </c>
      <c r="T194" s="29">
        <v>76.3</v>
      </c>
      <c r="U194" s="29">
        <v>2.0099999999999998</v>
      </c>
      <c r="V194" s="29">
        <v>25.84</v>
      </c>
      <c r="W194" s="30">
        <v>13893.51</v>
      </c>
      <c r="X194" s="27">
        <v>8.26</v>
      </c>
      <c r="Y194" s="27" t="s">
        <v>55</v>
      </c>
      <c r="Z194" s="29">
        <v>14</v>
      </c>
      <c r="AA194" s="30">
        <v>23297.75</v>
      </c>
      <c r="AB194" s="29">
        <v>0.94908062234794899</v>
      </c>
      <c r="AC194" s="30">
        <v>17843.07</v>
      </c>
      <c r="AD194" s="30">
        <v>275.11900990099002</v>
      </c>
      <c r="AE194" s="27">
        <v>525</v>
      </c>
      <c r="AF194" s="29">
        <v>0.952380952380952</v>
      </c>
      <c r="AG194" s="30">
        <v>5179.5609900990103</v>
      </c>
      <c r="AH194" s="31">
        <f t="shared" ref="AH194:AH257" si="49">IFERROR(L194/K194,0)</f>
        <v>1.01</v>
      </c>
      <c r="AI194" s="31">
        <f t="shared" ref="AI194:AI257" si="50">IFERROR(N194/L194,0)</f>
        <v>5.0919377652050922E-2</v>
      </c>
      <c r="AJ194" s="31">
        <f t="shared" ref="AJ194:AJ257" si="51">IFERROR(O194/L194,0)</f>
        <v>1.9801980198019802E-2</v>
      </c>
      <c r="AK194" s="31">
        <f t="shared" ref="AK194:AK257" si="52">IFERROR(M194/L194,0)</f>
        <v>0.9490806223479491</v>
      </c>
      <c r="AL194" s="29">
        <f t="shared" ref="AL194:AL257" si="53">P194/60</f>
        <v>0.41666666666666669</v>
      </c>
      <c r="AM194" s="29">
        <f t="shared" ref="AM194:AM257" si="54">MAX(0,AE194-P194)</f>
        <v>500</v>
      </c>
      <c r="AN194" s="29">
        <f t="shared" ref="AN194:AN257" si="55">IFERROR(L194/AM194,0)</f>
        <v>1.4139999999999999</v>
      </c>
      <c r="AO194" s="29">
        <f t="shared" ref="AO194:AO257" si="56">IFERROR(60/R194,0)</f>
        <v>1.3333333333333333</v>
      </c>
      <c r="AP194" s="31">
        <f t="shared" ref="AP194:AP257" si="57">IFERROR(AN194/AO194,0)</f>
        <v>1.0605</v>
      </c>
      <c r="AQ194" s="31">
        <f t="shared" ref="AQ194:AQ257" si="58">IFERROR(M194/L194,0)</f>
        <v>0.9490806223479491</v>
      </c>
      <c r="AR194" s="31">
        <f t="shared" ref="AR194:AR257" si="59">AF194*AP194*AQ194</f>
        <v>0.95857142857142819</v>
      </c>
      <c r="AS194" s="29">
        <f t="shared" ref="AS194:AS257" si="60">IFERROR(AC194/L194,0)</f>
        <v>25.237722772277227</v>
      </c>
      <c r="AT194" s="29">
        <f t="shared" ref="AT194:AT257" si="61">IFERROR(AG194/L194,0)</f>
        <v>7.3261117257411748</v>
      </c>
      <c r="AU194" s="27" t="str">
        <f t="shared" ref="AU194:AU257" si="62">IF(OR(Y194="Overdue",P194&gt;=120,T194&gt;=85,U194&gt;=4,AI194&gt;=0.12,AR194&lt;0.8),"High",IF(OR(Y194="Pending",Z194&gt;=30,P194&gt;=60,T194&gt;=80,U194&gt;=3,AI194&gt;=0.08,AR194&lt;0.85),"Medium","Low"))</f>
        <v>Low</v>
      </c>
      <c r="AV194" s="27" t="str">
        <f t="shared" ref="AV194:AV257" si="63">IF(OR(P194&gt;=120,T194&gt;=90,U194&gt;=4.5,AI194&gt;=0.15,AR194&lt;0.75),"Critical",IF(OR(P194&gt;=60,T194&gt;=80,U194&gt;=3,AI194&gt;=0.08,AR194&lt;0.85),"Warning","Normal"))</f>
        <v>Normal</v>
      </c>
      <c r="AW194" s="27"/>
    </row>
    <row r="195" spans="1:49" x14ac:dyDescent="0.25">
      <c r="A195" s="27">
        <v>194</v>
      </c>
      <c r="B195" s="28">
        <v>46023</v>
      </c>
      <c r="C195" s="28" t="str">
        <f t="shared" si="48"/>
        <v>January</v>
      </c>
      <c r="D195" s="27" t="s">
        <v>67</v>
      </c>
      <c r="E195" s="27" t="s">
        <v>98</v>
      </c>
      <c r="F195" s="27" t="s">
        <v>105</v>
      </c>
      <c r="G195" s="27" t="s">
        <v>63</v>
      </c>
      <c r="H195" s="27" t="s">
        <v>79</v>
      </c>
      <c r="I195" s="27" t="s">
        <v>318</v>
      </c>
      <c r="J195" s="27" t="s">
        <v>115</v>
      </c>
      <c r="K195" s="27">
        <v>784</v>
      </c>
      <c r="L195" s="27">
        <v>736</v>
      </c>
      <c r="M195" s="27">
        <v>687</v>
      </c>
      <c r="N195" s="27">
        <v>49</v>
      </c>
      <c r="O195" s="27">
        <v>13</v>
      </c>
      <c r="P195" s="27">
        <v>11</v>
      </c>
      <c r="Q195" s="27" t="s">
        <v>75</v>
      </c>
      <c r="R195" s="27">
        <v>49</v>
      </c>
      <c r="S195" s="27">
        <v>51</v>
      </c>
      <c r="T195" s="29">
        <v>65.7</v>
      </c>
      <c r="U195" s="29">
        <v>2.1</v>
      </c>
      <c r="V195" s="29">
        <v>27.17</v>
      </c>
      <c r="W195" s="30">
        <v>16237.08</v>
      </c>
      <c r="X195" s="27">
        <v>6.97</v>
      </c>
      <c r="Y195" s="27" t="s">
        <v>66</v>
      </c>
      <c r="Z195" s="29">
        <v>14</v>
      </c>
      <c r="AA195" s="30">
        <v>25526.09</v>
      </c>
      <c r="AB195" s="29">
        <v>0.93342391304347805</v>
      </c>
      <c r="AC195" s="30">
        <v>19618.11</v>
      </c>
      <c r="AD195" s="30">
        <v>286.79624999999999</v>
      </c>
      <c r="AE195" s="27">
        <v>640.26666666666699</v>
      </c>
      <c r="AF195" s="29">
        <v>0.98281965847563502</v>
      </c>
      <c r="AG195" s="30">
        <v>5621.1837500000001</v>
      </c>
      <c r="AH195" s="31">
        <f t="shared" si="49"/>
        <v>0.93877551020408168</v>
      </c>
      <c r="AI195" s="31">
        <f t="shared" si="50"/>
        <v>6.6576086956521743E-2</v>
      </c>
      <c r="AJ195" s="31">
        <f t="shared" si="51"/>
        <v>1.7663043478260868E-2</v>
      </c>
      <c r="AK195" s="31">
        <f t="shared" si="52"/>
        <v>0.93342391304347827</v>
      </c>
      <c r="AL195" s="29">
        <f t="shared" si="53"/>
        <v>0.18333333333333332</v>
      </c>
      <c r="AM195" s="29">
        <f t="shared" si="54"/>
        <v>629.26666666666699</v>
      </c>
      <c r="AN195" s="29">
        <f t="shared" si="55"/>
        <v>1.1696154253628557</v>
      </c>
      <c r="AO195" s="29">
        <f t="shared" si="56"/>
        <v>1.2244897959183674</v>
      </c>
      <c r="AP195" s="31">
        <f t="shared" si="57"/>
        <v>0.95518593071299873</v>
      </c>
      <c r="AQ195" s="31">
        <f t="shared" si="58"/>
        <v>0.93342391304347827</v>
      </c>
      <c r="AR195" s="31">
        <f t="shared" si="59"/>
        <v>0.87627551020408101</v>
      </c>
      <c r="AS195" s="29">
        <f t="shared" si="60"/>
        <v>26.655040760869564</v>
      </c>
      <c r="AT195" s="29">
        <f t="shared" si="61"/>
        <v>7.6374779211956527</v>
      </c>
      <c r="AU195" s="27" t="str">
        <f t="shared" si="62"/>
        <v>Low</v>
      </c>
      <c r="AV195" s="27" t="str">
        <f t="shared" si="63"/>
        <v>Normal</v>
      </c>
      <c r="AW195" s="27"/>
    </row>
    <row r="196" spans="1:49" x14ac:dyDescent="0.25">
      <c r="A196" s="27">
        <v>195</v>
      </c>
      <c r="B196" s="28">
        <v>46031</v>
      </c>
      <c r="C196" s="28" t="str">
        <f t="shared" si="48"/>
        <v>January</v>
      </c>
      <c r="D196" s="27" t="s">
        <v>47</v>
      </c>
      <c r="E196" s="27" t="s">
        <v>48</v>
      </c>
      <c r="F196" s="27" t="s">
        <v>56</v>
      </c>
      <c r="G196" s="27" t="s">
        <v>50</v>
      </c>
      <c r="H196" s="27" t="s">
        <v>51</v>
      </c>
      <c r="I196" s="27" t="s">
        <v>319</v>
      </c>
      <c r="J196" s="27" t="s">
        <v>90</v>
      </c>
      <c r="K196" s="27">
        <v>970</v>
      </c>
      <c r="L196" s="27">
        <v>1055</v>
      </c>
      <c r="M196" s="27">
        <v>990</v>
      </c>
      <c r="N196" s="27">
        <v>65</v>
      </c>
      <c r="O196" s="27">
        <v>13</v>
      </c>
      <c r="P196" s="27">
        <v>10</v>
      </c>
      <c r="Q196" s="27" t="s">
        <v>75</v>
      </c>
      <c r="R196" s="27">
        <v>42</v>
      </c>
      <c r="S196" s="27">
        <v>44</v>
      </c>
      <c r="T196" s="29">
        <v>77</v>
      </c>
      <c r="U196" s="29">
        <v>2.21</v>
      </c>
      <c r="V196" s="29">
        <v>40.9</v>
      </c>
      <c r="W196" s="30">
        <v>19653.39</v>
      </c>
      <c r="X196" s="27">
        <v>11.2</v>
      </c>
      <c r="Y196" s="27" t="s">
        <v>66</v>
      </c>
      <c r="Z196" s="29">
        <v>21</v>
      </c>
      <c r="AA196" s="30">
        <v>31431.13</v>
      </c>
      <c r="AB196" s="29">
        <v>0.93838862559241698</v>
      </c>
      <c r="AC196" s="30">
        <v>25061.49</v>
      </c>
      <c r="AD196" s="30">
        <v>242.17447393364901</v>
      </c>
      <c r="AE196" s="27">
        <v>679</v>
      </c>
      <c r="AF196" s="29">
        <v>0.98527245949926401</v>
      </c>
      <c r="AG196" s="30">
        <v>6127.4655260663503</v>
      </c>
      <c r="AH196" s="31">
        <f t="shared" si="49"/>
        <v>1.0876288659793814</v>
      </c>
      <c r="AI196" s="31">
        <f t="shared" si="50"/>
        <v>6.1611374407582936E-2</v>
      </c>
      <c r="AJ196" s="31">
        <f t="shared" si="51"/>
        <v>1.2322274881516588E-2</v>
      </c>
      <c r="AK196" s="31">
        <f t="shared" si="52"/>
        <v>0.93838862559241709</v>
      </c>
      <c r="AL196" s="29">
        <f t="shared" si="53"/>
        <v>0.16666666666666666</v>
      </c>
      <c r="AM196" s="29">
        <f t="shared" si="54"/>
        <v>669</v>
      </c>
      <c r="AN196" s="29">
        <f t="shared" si="55"/>
        <v>1.5769805680119582</v>
      </c>
      <c r="AO196" s="29">
        <f t="shared" si="56"/>
        <v>1.4285714285714286</v>
      </c>
      <c r="AP196" s="31">
        <f t="shared" si="57"/>
        <v>1.1038863976083706</v>
      </c>
      <c r="AQ196" s="31">
        <f t="shared" si="58"/>
        <v>0.93838862559241709</v>
      </c>
      <c r="AR196" s="31">
        <f t="shared" si="59"/>
        <v>1.0206185567010313</v>
      </c>
      <c r="AS196" s="29">
        <f t="shared" si="60"/>
        <v>23.754966824644551</v>
      </c>
      <c r="AT196" s="29">
        <f t="shared" si="61"/>
        <v>5.8080241953235552</v>
      </c>
      <c r="AU196" s="27" t="str">
        <f t="shared" si="62"/>
        <v>Low</v>
      </c>
      <c r="AV196" s="27" t="str">
        <f t="shared" si="63"/>
        <v>Normal</v>
      </c>
      <c r="AW196" s="27"/>
    </row>
    <row r="197" spans="1:49" x14ac:dyDescent="0.25">
      <c r="A197" s="27">
        <v>196</v>
      </c>
      <c r="B197" s="28">
        <v>46037</v>
      </c>
      <c r="C197" s="28" t="str">
        <f t="shared" si="48"/>
        <v>January</v>
      </c>
      <c r="D197" s="27" t="s">
        <v>67</v>
      </c>
      <c r="E197" s="27" t="s">
        <v>76</v>
      </c>
      <c r="F197" s="27" t="s">
        <v>77</v>
      </c>
      <c r="G197" s="27" t="s">
        <v>63</v>
      </c>
      <c r="H197" s="27" t="s">
        <v>57</v>
      </c>
      <c r="I197" s="27" t="s">
        <v>320</v>
      </c>
      <c r="J197" s="27" t="s">
        <v>93</v>
      </c>
      <c r="K197" s="27">
        <v>790</v>
      </c>
      <c r="L197" s="27">
        <v>794</v>
      </c>
      <c r="M197" s="27">
        <v>741</v>
      </c>
      <c r="N197" s="27">
        <v>53</v>
      </c>
      <c r="O197" s="27">
        <v>12</v>
      </c>
      <c r="P197" s="27">
        <v>48</v>
      </c>
      <c r="Q197" s="27" t="s">
        <v>94</v>
      </c>
      <c r="R197" s="27">
        <v>45</v>
      </c>
      <c r="S197" s="27">
        <v>44</v>
      </c>
      <c r="T197" s="29">
        <v>68.3</v>
      </c>
      <c r="U197" s="29">
        <v>2.0299999999999998</v>
      </c>
      <c r="V197" s="29">
        <v>32.44</v>
      </c>
      <c r="W197" s="30">
        <v>15506.47</v>
      </c>
      <c r="X197" s="27">
        <v>9.35</v>
      </c>
      <c r="Y197" s="27" t="s">
        <v>66</v>
      </c>
      <c r="Z197" s="29">
        <v>37</v>
      </c>
      <c r="AA197" s="30">
        <v>25870.77</v>
      </c>
      <c r="AB197" s="29">
        <v>0.93324937027707799</v>
      </c>
      <c r="AC197" s="30">
        <v>20005.93</v>
      </c>
      <c r="AD197" s="30">
        <v>234.35471032745599</v>
      </c>
      <c r="AE197" s="27">
        <v>592.5</v>
      </c>
      <c r="AF197" s="29">
        <v>0.91898734177215202</v>
      </c>
      <c r="AG197" s="30">
        <v>5630.4852896725397</v>
      </c>
      <c r="AH197" s="31">
        <f t="shared" si="49"/>
        <v>1.0050632911392405</v>
      </c>
      <c r="AI197" s="31">
        <f t="shared" si="50"/>
        <v>6.6750629722921909E-2</v>
      </c>
      <c r="AJ197" s="31">
        <f t="shared" si="51"/>
        <v>1.5113350125944584E-2</v>
      </c>
      <c r="AK197" s="31">
        <f t="shared" si="52"/>
        <v>0.93324937027707811</v>
      </c>
      <c r="AL197" s="29">
        <f t="shared" si="53"/>
        <v>0.8</v>
      </c>
      <c r="AM197" s="29">
        <f t="shared" si="54"/>
        <v>544.5</v>
      </c>
      <c r="AN197" s="29">
        <f t="shared" si="55"/>
        <v>1.45821854912764</v>
      </c>
      <c r="AO197" s="29">
        <f t="shared" si="56"/>
        <v>1.3333333333333333</v>
      </c>
      <c r="AP197" s="31">
        <f t="shared" si="57"/>
        <v>1.0936639118457301</v>
      </c>
      <c r="AQ197" s="31">
        <f t="shared" si="58"/>
        <v>0.93324937027707811</v>
      </c>
      <c r="AR197" s="31">
        <f t="shared" si="59"/>
        <v>0.93797468354430402</v>
      </c>
      <c r="AS197" s="29">
        <f t="shared" si="60"/>
        <v>25.196385390428212</v>
      </c>
      <c r="AT197" s="29">
        <f t="shared" si="61"/>
        <v>7.0912912968168005</v>
      </c>
      <c r="AU197" s="27" t="str">
        <f t="shared" si="62"/>
        <v>Medium</v>
      </c>
      <c r="AV197" s="27" t="str">
        <f t="shared" si="63"/>
        <v>Normal</v>
      </c>
      <c r="AW197" s="27"/>
    </row>
    <row r="198" spans="1:49" x14ac:dyDescent="0.25">
      <c r="A198" s="27">
        <v>197</v>
      </c>
      <c r="B198" s="28">
        <v>46193</v>
      </c>
      <c r="C198" s="28" t="str">
        <f t="shared" si="48"/>
        <v>June</v>
      </c>
      <c r="D198" s="27" t="s">
        <v>67</v>
      </c>
      <c r="E198" s="27" t="s">
        <v>48</v>
      </c>
      <c r="F198" s="27" t="s">
        <v>72</v>
      </c>
      <c r="G198" s="27" t="s">
        <v>78</v>
      </c>
      <c r="H198" s="27" t="s">
        <v>124</v>
      </c>
      <c r="I198" s="27" t="s">
        <v>321</v>
      </c>
      <c r="J198" s="27" t="s">
        <v>81</v>
      </c>
      <c r="K198" s="27">
        <v>606</v>
      </c>
      <c r="L198" s="27">
        <v>466</v>
      </c>
      <c r="M198" s="27">
        <v>445</v>
      </c>
      <c r="N198" s="27">
        <v>21</v>
      </c>
      <c r="O198" s="27">
        <v>8</v>
      </c>
      <c r="P198" s="27">
        <v>15</v>
      </c>
      <c r="Q198" s="27" t="s">
        <v>97</v>
      </c>
      <c r="R198" s="27">
        <v>57</v>
      </c>
      <c r="S198" s="27">
        <v>64</v>
      </c>
      <c r="T198" s="29">
        <v>66.7</v>
      </c>
      <c r="U198" s="29">
        <v>2.2999999999999998</v>
      </c>
      <c r="V198" s="29">
        <v>15.68</v>
      </c>
      <c r="W198" s="30">
        <v>12885.16</v>
      </c>
      <c r="X198" s="27">
        <v>6.49</v>
      </c>
      <c r="Y198" s="27" t="s">
        <v>66</v>
      </c>
      <c r="Z198" s="29">
        <v>8</v>
      </c>
      <c r="AA198" s="30">
        <v>20770.39</v>
      </c>
      <c r="AB198" s="29">
        <v>0.95493562231759699</v>
      </c>
      <c r="AC198" s="30">
        <v>15946.78</v>
      </c>
      <c r="AD198" s="30">
        <v>221.20446351931301</v>
      </c>
      <c r="AE198" s="27">
        <v>575.70000000000005</v>
      </c>
      <c r="AF198" s="29">
        <v>0.973944762897342</v>
      </c>
      <c r="AG198" s="30">
        <v>4602.40553648069</v>
      </c>
      <c r="AH198" s="31">
        <f t="shared" si="49"/>
        <v>0.76897689768976896</v>
      </c>
      <c r="AI198" s="31">
        <f t="shared" si="50"/>
        <v>4.5064377682403435E-2</v>
      </c>
      <c r="AJ198" s="31">
        <f t="shared" si="51"/>
        <v>1.7167381974248927E-2</v>
      </c>
      <c r="AK198" s="31">
        <f t="shared" si="52"/>
        <v>0.95493562231759654</v>
      </c>
      <c r="AL198" s="29">
        <f t="shared" si="53"/>
        <v>0.25</v>
      </c>
      <c r="AM198" s="29">
        <f t="shared" si="54"/>
        <v>560.70000000000005</v>
      </c>
      <c r="AN198" s="29">
        <f t="shared" si="55"/>
        <v>0.83110397717139284</v>
      </c>
      <c r="AO198" s="29">
        <f t="shared" si="56"/>
        <v>1.0526315789473684</v>
      </c>
      <c r="AP198" s="31">
        <f t="shared" si="57"/>
        <v>0.78954877831282322</v>
      </c>
      <c r="AQ198" s="31">
        <f t="shared" si="58"/>
        <v>0.95493562231759654</v>
      </c>
      <c r="AR198" s="31">
        <f t="shared" si="59"/>
        <v>0.73432343234323394</v>
      </c>
      <c r="AS198" s="29">
        <f t="shared" si="60"/>
        <v>34.220557939914166</v>
      </c>
      <c r="AT198" s="29">
        <f t="shared" si="61"/>
        <v>9.8764067306452574</v>
      </c>
      <c r="AU198" s="27" t="str">
        <f t="shared" si="62"/>
        <v>High</v>
      </c>
      <c r="AV198" s="27" t="str">
        <f t="shared" si="63"/>
        <v>Critical</v>
      </c>
      <c r="AW198" s="27"/>
    </row>
    <row r="199" spans="1:49" x14ac:dyDescent="0.25">
      <c r="A199" s="27">
        <v>198</v>
      </c>
      <c r="B199" s="28">
        <v>46115</v>
      </c>
      <c r="C199" s="28" t="str">
        <f t="shared" si="48"/>
        <v>April</v>
      </c>
      <c r="D199" s="27" t="s">
        <v>67</v>
      </c>
      <c r="E199" s="27" t="s">
        <v>61</v>
      </c>
      <c r="F199" s="27" t="s">
        <v>62</v>
      </c>
      <c r="G199" s="27" t="s">
        <v>50</v>
      </c>
      <c r="H199" s="27" t="s">
        <v>51</v>
      </c>
      <c r="I199" s="27" t="s">
        <v>322</v>
      </c>
      <c r="J199" s="27" t="s">
        <v>143</v>
      </c>
      <c r="K199" s="27">
        <v>728</v>
      </c>
      <c r="L199" s="27">
        <v>740</v>
      </c>
      <c r="M199" s="27">
        <v>703</v>
      </c>
      <c r="N199" s="27">
        <v>37</v>
      </c>
      <c r="O199" s="27">
        <v>13</v>
      </c>
      <c r="P199" s="27">
        <v>34</v>
      </c>
      <c r="Q199" s="27" t="s">
        <v>75</v>
      </c>
      <c r="R199" s="27">
        <v>42</v>
      </c>
      <c r="S199" s="27">
        <v>42</v>
      </c>
      <c r="T199" s="29">
        <v>72.599999999999994</v>
      </c>
      <c r="U199" s="29">
        <v>1.98</v>
      </c>
      <c r="V199" s="29">
        <v>25.32</v>
      </c>
      <c r="W199" s="30">
        <v>13782.53</v>
      </c>
      <c r="X199" s="27">
        <v>10.42</v>
      </c>
      <c r="Y199" s="27" t="s">
        <v>55</v>
      </c>
      <c r="Z199" s="29">
        <v>13</v>
      </c>
      <c r="AA199" s="30">
        <v>21872.05</v>
      </c>
      <c r="AB199" s="29">
        <v>0.95</v>
      </c>
      <c r="AC199" s="30">
        <v>18699.41</v>
      </c>
      <c r="AD199" s="30">
        <v>242.125527027027</v>
      </c>
      <c r="AE199" s="27">
        <v>509.6</v>
      </c>
      <c r="AF199" s="29">
        <v>0.93328100470957598</v>
      </c>
      <c r="AG199" s="30">
        <v>2930.51447297297</v>
      </c>
      <c r="AH199" s="31">
        <f t="shared" si="49"/>
        <v>1.0164835164835164</v>
      </c>
      <c r="AI199" s="31">
        <f t="shared" si="50"/>
        <v>0.05</v>
      </c>
      <c r="AJ199" s="31">
        <f t="shared" si="51"/>
        <v>1.7567567567567569E-2</v>
      </c>
      <c r="AK199" s="31">
        <f t="shared" si="52"/>
        <v>0.95</v>
      </c>
      <c r="AL199" s="29">
        <f t="shared" si="53"/>
        <v>0.56666666666666665</v>
      </c>
      <c r="AM199" s="29">
        <f t="shared" si="54"/>
        <v>475.6</v>
      </c>
      <c r="AN199" s="29">
        <f t="shared" si="55"/>
        <v>1.5559293523969722</v>
      </c>
      <c r="AO199" s="29">
        <f t="shared" si="56"/>
        <v>1.4285714285714286</v>
      </c>
      <c r="AP199" s="31">
        <f t="shared" si="57"/>
        <v>1.0891505466778806</v>
      </c>
      <c r="AQ199" s="31">
        <f t="shared" si="58"/>
        <v>0.95</v>
      </c>
      <c r="AR199" s="31">
        <f t="shared" si="59"/>
        <v>0.96565934065934056</v>
      </c>
      <c r="AS199" s="29">
        <f t="shared" si="60"/>
        <v>25.269472972972974</v>
      </c>
      <c r="AT199" s="29">
        <f t="shared" si="61"/>
        <v>3.9601546932067162</v>
      </c>
      <c r="AU199" s="27" t="str">
        <f t="shared" si="62"/>
        <v>Low</v>
      </c>
      <c r="AV199" s="27" t="str">
        <f t="shared" si="63"/>
        <v>Normal</v>
      </c>
      <c r="AW199" s="27"/>
    </row>
    <row r="200" spans="1:49" x14ac:dyDescent="0.25">
      <c r="A200" s="27">
        <v>199</v>
      </c>
      <c r="B200" s="28">
        <v>46114</v>
      </c>
      <c r="C200" s="28" t="str">
        <f t="shared" si="48"/>
        <v>April</v>
      </c>
      <c r="D200" s="27" t="s">
        <v>47</v>
      </c>
      <c r="E200" s="27" t="s">
        <v>98</v>
      </c>
      <c r="F200" s="27" t="s">
        <v>99</v>
      </c>
      <c r="G200" s="27" t="s">
        <v>50</v>
      </c>
      <c r="H200" s="27" t="s">
        <v>124</v>
      </c>
      <c r="I200" s="27" t="s">
        <v>323</v>
      </c>
      <c r="J200" s="27" t="s">
        <v>286</v>
      </c>
      <c r="K200" s="27">
        <v>585</v>
      </c>
      <c r="L200" s="27">
        <v>574</v>
      </c>
      <c r="M200" s="27">
        <v>546</v>
      </c>
      <c r="N200" s="27">
        <v>28</v>
      </c>
      <c r="O200" s="27">
        <v>9</v>
      </c>
      <c r="P200" s="27">
        <v>32</v>
      </c>
      <c r="Q200" s="27" t="s">
        <v>97</v>
      </c>
      <c r="R200" s="27">
        <v>57</v>
      </c>
      <c r="S200" s="27">
        <v>61</v>
      </c>
      <c r="T200" s="29">
        <v>63.2</v>
      </c>
      <c r="U200" s="29">
        <v>2.4500000000000002</v>
      </c>
      <c r="V200" s="29">
        <v>24.73</v>
      </c>
      <c r="W200" s="30">
        <v>15406.9</v>
      </c>
      <c r="X200" s="27">
        <v>9.43</v>
      </c>
      <c r="Y200" s="27" t="s">
        <v>66</v>
      </c>
      <c r="Z200" s="29">
        <v>34</v>
      </c>
      <c r="AA200" s="30">
        <v>24480.78</v>
      </c>
      <c r="AB200" s="29">
        <v>0.95121951219512202</v>
      </c>
      <c r="AC200" s="30">
        <v>19872.97</v>
      </c>
      <c r="AD200" s="30">
        <v>241.57160278745599</v>
      </c>
      <c r="AE200" s="27">
        <v>555.75</v>
      </c>
      <c r="AF200" s="29">
        <v>0.94242015294646897</v>
      </c>
      <c r="AG200" s="30">
        <v>4366.2383972125399</v>
      </c>
      <c r="AH200" s="31">
        <f t="shared" si="49"/>
        <v>0.98119658119658115</v>
      </c>
      <c r="AI200" s="31">
        <f t="shared" si="50"/>
        <v>4.878048780487805E-2</v>
      </c>
      <c r="AJ200" s="31">
        <f t="shared" si="51"/>
        <v>1.5679442508710801E-2</v>
      </c>
      <c r="AK200" s="31">
        <f t="shared" si="52"/>
        <v>0.95121951219512191</v>
      </c>
      <c r="AL200" s="29">
        <f t="shared" si="53"/>
        <v>0.53333333333333333</v>
      </c>
      <c r="AM200" s="29">
        <f t="shared" si="54"/>
        <v>523.75</v>
      </c>
      <c r="AN200" s="29">
        <f t="shared" si="55"/>
        <v>1.0959427207637231</v>
      </c>
      <c r="AO200" s="29">
        <f t="shared" si="56"/>
        <v>1.0526315789473684</v>
      </c>
      <c r="AP200" s="31">
        <f t="shared" si="57"/>
        <v>1.0411455847255371</v>
      </c>
      <c r="AQ200" s="31">
        <f t="shared" si="58"/>
        <v>0.95121951219512191</v>
      </c>
      <c r="AR200" s="31">
        <f t="shared" si="59"/>
        <v>0.93333333333333357</v>
      </c>
      <c r="AS200" s="29">
        <f t="shared" si="60"/>
        <v>34.621898954703838</v>
      </c>
      <c r="AT200" s="29">
        <f t="shared" si="61"/>
        <v>7.6066871031577348</v>
      </c>
      <c r="AU200" s="27" t="str">
        <f t="shared" si="62"/>
        <v>Medium</v>
      </c>
      <c r="AV200" s="27" t="str">
        <f t="shared" si="63"/>
        <v>Normal</v>
      </c>
      <c r="AW200" s="27"/>
    </row>
    <row r="201" spans="1:49" x14ac:dyDescent="0.25">
      <c r="A201" s="27">
        <v>200</v>
      </c>
      <c r="B201" s="28">
        <v>46037</v>
      </c>
      <c r="C201" s="28" t="str">
        <f t="shared" si="48"/>
        <v>January</v>
      </c>
      <c r="D201" s="27" t="s">
        <v>67</v>
      </c>
      <c r="E201" s="27" t="s">
        <v>129</v>
      </c>
      <c r="F201" s="27" t="s">
        <v>151</v>
      </c>
      <c r="G201" s="27" t="s">
        <v>50</v>
      </c>
      <c r="H201" s="27" t="s">
        <v>68</v>
      </c>
      <c r="I201" s="27" t="s">
        <v>324</v>
      </c>
      <c r="J201" s="27" t="s">
        <v>286</v>
      </c>
      <c r="K201" s="27">
        <v>641</v>
      </c>
      <c r="L201" s="27">
        <v>603</v>
      </c>
      <c r="M201" s="27">
        <v>565</v>
      </c>
      <c r="N201" s="27">
        <v>38</v>
      </c>
      <c r="O201" s="27">
        <v>8</v>
      </c>
      <c r="P201" s="27">
        <v>28</v>
      </c>
      <c r="Q201" s="27" t="s">
        <v>82</v>
      </c>
      <c r="R201" s="27">
        <v>64</v>
      </c>
      <c r="S201" s="27">
        <v>65</v>
      </c>
      <c r="T201" s="29">
        <v>71.5</v>
      </c>
      <c r="U201" s="29">
        <v>2.19</v>
      </c>
      <c r="V201" s="29">
        <v>22.05</v>
      </c>
      <c r="W201" s="30">
        <v>17684.740000000002</v>
      </c>
      <c r="X201" s="27">
        <v>9.0399999999999991</v>
      </c>
      <c r="Y201" s="27" t="s">
        <v>110</v>
      </c>
      <c r="Z201" s="29">
        <v>43</v>
      </c>
      <c r="AA201" s="30">
        <v>29284.13</v>
      </c>
      <c r="AB201" s="29">
        <v>0.93698175787728</v>
      </c>
      <c r="AC201" s="30">
        <v>21951.19</v>
      </c>
      <c r="AD201" s="30">
        <v>234.62341625207301</v>
      </c>
      <c r="AE201" s="27">
        <v>683.73333333333301</v>
      </c>
      <c r="AF201" s="29">
        <v>0.95904836193447696</v>
      </c>
      <c r="AG201" s="30">
        <v>7098.3165837479301</v>
      </c>
      <c r="AH201" s="31">
        <f t="shared" si="49"/>
        <v>0.94071762870514819</v>
      </c>
      <c r="AI201" s="31">
        <f t="shared" si="50"/>
        <v>6.3018242122719739E-2</v>
      </c>
      <c r="AJ201" s="31">
        <f t="shared" si="51"/>
        <v>1.3266998341625208E-2</v>
      </c>
      <c r="AK201" s="31">
        <f t="shared" si="52"/>
        <v>0.93698175787728022</v>
      </c>
      <c r="AL201" s="29">
        <f t="shared" si="53"/>
        <v>0.46666666666666667</v>
      </c>
      <c r="AM201" s="29">
        <f t="shared" si="54"/>
        <v>655.73333333333301</v>
      </c>
      <c r="AN201" s="29">
        <f t="shared" si="55"/>
        <v>0.91958113054087076</v>
      </c>
      <c r="AO201" s="29">
        <f t="shared" si="56"/>
        <v>0.9375</v>
      </c>
      <c r="AP201" s="31">
        <f t="shared" si="57"/>
        <v>0.98088653924359548</v>
      </c>
      <c r="AQ201" s="31">
        <f t="shared" si="58"/>
        <v>0.93698175787728022</v>
      </c>
      <c r="AR201" s="31">
        <f t="shared" si="59"/>
        <v>0.88143525741029649</v>
      </c>
      <c r="AS201" s="29">
        <f t="shared" si="60"/>
        <v>36.403300165837479</v>
      </c>
      <c r="AT201" s="29">
        <f t="shared" si="61"/>
        <v>11.771669293114313</v>
      </c>
      <c r="AU201" s="27" t="str">
        <f t="shared" si="62"/>
        <v>Medium</v>
      </c>
      <c r="AV201" s="27" t="str">
        <f t="shared" si="63"/>
        <v>Normal</v>
      </c>
      <c r="AW201" s="27"/>
    </row>
    <row r="202" spans="1:49" x14ac:dyDescent="0.25">
      <c r="A202" s="27">
        <v>201</v>
      </c>
      <c r="B202" s="28">
        <v>46175</v>
      </c>
      <c r="C202" s="28" t="str">
        <f t="shared" si="48"/>
        <v>June</v>
      </c>
      <c r="D202" s="27" t="s">
        <v>47</v>
      </c>
      <c r="E202" s="27" t="s">
        <v>98</v>
      </c>
      <c r="F202" s="27" t="s">
        <v>99</v>
      </c>
      <c r="G202" s="27" t="s">
        <v>50</v>
      </c>
      <c r="H202" s="27" t="s">
        <v>79</v>
      </c>
      <c r="I202" s="27" t="s">
        <v>325</v>
      </c>
      <c r="J202" s="27" t="s">
        <v>153</v>
      </c>
      <c r="K202" s="27">
        <v>792</v>
      </c>
      <c r="L202" s="27">
        <v>666</v>
      </c>
      <c r="M202" s="27">
        <v>636</v>
      </c>
      <c r="N202" s="27">
        <v>30</v>
      </c>
      <c r="O202" s="27">
        <v>9</v>
      </c>
      <c r="P202" s="27">
        <v>18</v>
      </c>
      <c r="Q202" s="27" t="s">
        <v>75</v>
      </c>
      <c r="R202" s="27">
        <v>49</v>
      </c>
      <c r="S202" s="27">
        <v>48</v>
      </c>
      <c r="T202" s="29">
        <v>71.900000000000006</v>
      </c>
      <c r="U202" s="29">
        <v>2.2200000000000002</v>
      </c>
      <c r="V202" s="29">
        <v>25.07</v>
      </c>
      <c r="W202" s="30">
        <v>14855.95</v>
      </c>
      <c r="X202" s="27">
        <v>8.1</v>
      </c>
      <c r="Y202" s="27" t="s">
        <v>55</v>
      </c>
      <c r="Z202" s="29">
        <v>20</v>
      </c>
      <c r="AA202" s="30">
        <v>23546.85</v>
      </c>
      <c r="AB202" s="29">
        <v>0.95495495495495497</v>
      </c>
      <c r="AC202" s="30">
        <v>18726.580000000002</v>
      </c>
      <c r="AD202" s="30">
        <v>200.75608108108099</v>
      </c>
      <c r="AE202" s="27">
        <v>646.79999999999995</v>
      </c>
      <c r="AF202" s="29">
        <v>0.97217068645640103</v>
      </c>
      <c r="AG202" s="30">
        <v>4619.5139189189204</v>
      </c>
      <c r="AH202" s="31">
        <f t="shared" si="49"/>
        <v>0.84090909090909094</v>
      </c>
      <c r="AI202" s="31">
        <f t="shared" si="50"/>
        <v>4.5045045045045043E-2</v>
      </c>
      <c r="AJ202" s="31">
        <f t="shared" si="51"/>
        <v>1.3513513513513514E-2</v>
      </c>
      <c r="AK202" s="31">
        <f t="shared" si="52"/>
        <v>0.95495495495495497</v>
      </c>
      <c r="AL202" s="29">
        <f t="shared" si="53"/>
        <v>0.3</v>
      </c>
      <c r="AM202" s="29">
        <f t="shared" si="54"/>
        <v>628.79999999999995</v>
      </c>
      <c r="AN202" s="29">
        <f t="shared" si="55"/>
        <v>1.0591603053435115</v>
      </c>
      <c r="AO202" s="29">
        <f t="shared" si="56"/>
        <v>1.2244897959183674</v>
      </c>
      <c r="AP202" s="31">
        <f t="shared" si="57"/>
        <v>0.8649809160305344</v>
      </c>
      <c r="AQ202" s="31">
        <f t="shared" si="58"/>
        <v>0.95495495495495497</v>
      </c>
      <c r="AR202" s="31">
        <f t="shared" si="59"/>
        <v>0.80303030303030332</v>
      </c>
      <c r="AS202" s="29">
        <f t="shared" si="60"/>
        <v>28.117987987987991</v>
      </c>
      <c r="AT202" s="29">
        <f t="shared" si="61"/>
        <v>6.9362070854638445</v>
      </c>
      <c r="AU202" s="27" t="str">
        <f t="shared" si="62"/>
        <v>Medium</v>
      </c>
      <c r="AV202" s="27" t="str">
        <f t="shared" si="63"/>
        <v>Warning</v>
      </c>
      <c r="AW202" s="27"/>
    </row>
    <row r="203" spans="1:49" x14ac:dyDescent="0.25">
      <c r="A203" s="27">
        <v>202</v>
      </c>
      <c r="B203" s="28">
        <v>46133</v>
      </c>
      <c r="C203" s="28" t="str">
        <f t="shared" si="48"/>
        <v>April</v>
      </c>
      <c r="D203" s="27" t="s">
        <v>67</v>
      </c>
      <c r="E203" s="27" t="s">
        <v>76</v>
      </c>
      <c r="F203" s="27" t="s">
        <v>77</v>
      </c>
      <c r="G203" s="27" t="s">
        <v>50</v>
      </c>
      <c r="H203" s="27" t="s">
        <v>79</v>
      </c>
      <c r="I203" s="27" t="s">
        <v>326</v>
      </c>
      <c r="J203" s="27" t="s">
        <v>155</v>
      </c>
      <c r="K203" s="27">
        <v>798</v>
      </c>
      <c r="L203" s="27">
        <v>795</v>
      </c>
      <c r="M203" s="27">
        <v>739</v>
      </c>
      <c r="N203" s="27">
        <v>56</v>
      </c>
      <c r="O203" s="27">
        <v>18</v>
      </c>
      <c r="P203" s="27">
        <v>9</v>
      </c>
      <c r="Q203" s="27" t="s">
        <v>91</v>
      </c>
      <c r="R203" s="27">
        <v>49</v>
      </c>
      <c r="S203" s="27">
        <v>48</v>
      </c>
      <c r="T203" s="29">
        <v>66.599999999999994</v>
      </c>
      <c r="U203" s="29">
        <v>2.77</v>
      </c>
      <c r="V203" s="29">
        <v>27.46</v>
      </c>
      <c r="W203" s="30">
        <v>16930.650000000001</v>
      </c>
      <c r="X203" s="27">
        <v>9.43</v>
      </c>
      <c r="Y203" s="27" t="s">
        <v>55</v>
      </c>
      <c r="Z203" s="29">
        <v>28</v>
      </c>
      <c r="AA203" s="30">
        <v>28466.98</v>
      </c>
      <c r="AB203" s="29">
        <v>0.92955974842767297</v>
      </c>
      <c r="AC203" s="30">
        <v>21421.29</v>
      </c>
      <c r="AD203" s="30">
        <v>383.335471698113</v>
      </c>
      <c r="AE203" s="27">
        <v>651.70000000000005</v>
      </c>
      <c r="AF203" s="29">
        <v>0.98618996470768805</v>
      </c>
      <c r="AG203" s="30">
        <v>6662.3545283018902</v>
      </c>
      <c r="AH203" s="31">
        <f t="shared" si="49"/>
        <v>0.99624060150375937</v>
      </c>
      <c r="AI203" s="31">
        <f t="shared" si="50"/>
        <v>7.0440251572327042E-2</v>
      </c>
      <c r="AJ203" s="31">
        <f t="shared" si="51"/>
        <v>2.2641509433962263E-2</v>
      </c>
      <c r="AK203" s="31">
        <f t="shared" si="52"/>
        <v>0.92955974842767297</v>
      </c>
      <c r="AL203" s="29">
        <f t="shared" si="53"/>
        <v>0.15</v>
      </c>
      <c r="AM203" s="29">
        <f t="shared" si="54"/>
        <v>642.70000000000005</v>
      </c>
      <c r="AN203" s="29">
        <f t="shared" si="55"/>
        <v>1.2369690368756807</v>
      </c>
      <c r="AO203" s="29">
        <f t="shared" si="56"/>
        <v>1.2244897959183674</v>
      </c>
      <c r="AP203" s="31">
        <f t="shared" si="57"/>
        <v>1.0101913801151392</v>
      </c>
      <c r="AQ203" s="31">
        <f t="shared" si="58"/>
        <v>0.92955974842767297</v>
      </c>
      <c r="AR203" s="31">
        <f t="shared" si="59"/>
        <v>0.92606516290726859</v>
      </c>
      <c r="AS203" s="29">
        <f t="shared" si="60"/>
        <v>26.945018867924528</v>
      </c>
      <c r="AT203" s="29">
        <f t="shared" si="61"/>
        <v>8.3803201613860256</v>
      </c>
      <c r="AU203" s="27" t="str">
        <f t="shared" si="62"/>
        <v>Low</v>
      </c>
      <c r="AV203" s="27" t="str">
        <f t="shared" si="63"/>
        <v>Normal</v>
      </c>
      <c r="AW203" s="27"/>
    </row>
    <row r="204" spans="1:49" x14ac:dyDescent="0.25">
      <c r="A204" s="27">
        <v>203</v>
      </c>
      <c r="B204" s="28">
        <v>46044</v>
      </c>
      <c r="C204" s="28" t="str">
        <f t="shared" si="48"/>
        <v>January</v>
      </c>
      <c r="D204" s="27" t="s">
        <v>47</v>
      </c>
      <c r="E204" s="27" t="s">
        <v>48</v>
      </c>
      <c r="F204" s="27" t="s">
        <v>72</v>
      </c>
      <c r="G204" s="27" t="s">
        <v>78</v>
      </c>
      <c r="H204" s="27" t="s">
        <v>68</v>
      </c>
      <c r="I204" s="27" t="s">
        <v>327</v>
      </c>
      <c r="J204" s="27" t="s">
        <v>143</v>
      </c>
      <c r="K204" s="27">
        <v>453</v>
      </c>
      <c r="L204" s="27">
        <v>400</v>
      </c>
      <c r="M204" s="27">
        <v>379</v>
      </c>
      <c r="N204" s="27">
        <v>21</v>
      </c>
      <c r="O204" s="27">
        <v>7</v>
      </c>
      <c r="P204" s="27">
        <v>7</v>
      </c>
      <c r="Q204" s="27" t="s">
        <v>94</v>
      </c>
      <c r="R204" s="27">
        <v>64</v>
      </c>
      <c r="S204" s="27">
        <v>66</v>
      </c>
      <c r="T204" s="29">
        <v>68.599999999999994</v>
      </c>
      <c r="U204" s="29">
        <v>1.32</v>
      </c>
      <c r="V204" s="29">
        <v>16.8</v>
      </c>
      <c r="W204" s="30">
        <v>12650.37</v>
      </c>
      <c r="X204" s="27">
        <v>7.46</v>
      </c>
      <c r="Y204" s="27" t="s">
        <v>71</v>
      </c>
      <c r="Z204" s="29">
        <v>27</v>
      </c>
      <c r="AA204" s="30">
        <v>19739.689999999999</v>
      </c>
      <c r="AB204" s="29">
        <v>0.94750000000000001</v>
      </c>
      <c r="AC204" s="30">
        <v>16158.57</v>
      </c>
      <c r="AD204" s="30">
        <v>221.38147499999999</v>
      </c>
      <c r="AE204" s="27">
        <v>483.2</v>
      </c>
      <c r="AF204" s="29">
        <v>0.98551324503311299</v>
      </c>
      <c r="AG204" s="30">
        <v>3359.7385250000002</v>
      </c>
      <c r="AH204" s="31">
        <f t="shared" si="49"/>
        <v>0.88300220750551872</v>
      </c>
      <c r="AI204" s="31">
        <f t="shared" si="50"/>
        <v>5.2499999999999998E-2</v>
      </c>
      <c r="AJ204" s="31">
        <f t="shared" si="51"/>
        <v>1.7500000000000002E-2</v>
      </c>
      <c r="AK204" s="31">
        <f t="shared" si="52"/>
        <v>0.94750000000000001</v>
      </c>
      <c r="AL204" s="29">
        <f t="shared" si="53"/>
        <v>0.11666666666666667</v>
      </c>
      <c r="AM204" s="29">
        <f t="shared" si="54"/>
        <v>476.2</v>
      </c>
      <c r="AN204" s="29">
        <f t="shared" si="55"/>
        <v>0.83998320033599327</v>
      </c>
      <c r="AO204" s="29">
        <f t="shared" si="56"/>
        <v>0.9375</v>
      </c>
      <c r="AP204" s="31">
        <f t="shared" si="57"/>
        <v>0.89598208035839277</v>
      </c>
      <c r="AQ204" s="31">
        <f t="shared" si="58"/>
        <v>0.94750000000000001</v>
      </c>
      <c r="AR204" s="31">
        <f t="shared" si="59"/>
        <v>0.8366445916114793</v>
      </c>
      <c r="AS204" s="29">
        <f t="shared" si="60"/>
        <v>40.396425000000001</v>
      </c>
      <c r="AT204" s="29">
        <f t="shared" si="61"/>
        <v>8.3993463125000005</v>
      </c>
      <c r="AU204" s="27" t="str">
        <f t="shared" si="62"/>
        <v>High</v>
      </c>
      <c r="AV204" s="27" t="str">
        <f t="shared" si="63"/>
        <v>Warning</v>
      </c>
      <c r="AW204" s="27"/>
    </row>
    <row r="205" spans="1:49" x14ac:dyDescent="0.25">
      <c r="A205" s="27">
        <v>204</v>
      </c>
      <c r="B205" s="28">
        <v>46088</v>
      </c>
      <c r="C205" s="28" t="str">
        <f t="shared" si="48"/>
        <v>March</v>
      </c>
      <c r="D205" s="27" t="s">
        <v>47</v>
      </c>
      <c r="E205" s="27" t="s">
        <v>48</v>
      </c>
      <c r="F205" s="27" t="s">
        <v>56</v>
      </c>
      <c r="G205" s="27" t="s">
        <v>50</v>
      </c>
      <c r="H205" s="27" t="s">
        <v>57</v>
      </c>
      <c r="I205" s="27" t="s">
        <v>328</v>
      </c>
      <c r="J205" s="27" t="s">
        <v>109</v>
      </c>
      <c r="K205" s="27">
        <v>707</v>
      </c>
      <c r="L205" s="27">
        <v>696</v>
      </c>
      <c r="M205" s="27">
        <v>663</v>
      </c>
      <c r="N205" s="27">
        <v>33</v>
      </c>
      <c r="O205" s="27">
        <v>8</v>
      </c>
      <c r="P205" s="27">
        <v>27</v>
      </c>
      <c r="Q205" s="27" t="s">
        <v>102</v>
      </c>
      <c r="R205" s="27">
        <v>45</v>
      </c>
      <c r="S205" s="27">
        <v>47</v>
      </c>
      <c r="T205" s="29">
        <v>76</v>
      </c>
      <c r="U205" s="29">
        <v>1.85</v>
      </c>
      <c r="V205" s="29">
        <v>28.84</v>
      </c>
      <c r="W205" s="30">
        <v>15089.48</v>
      </c>
      <c r="X205" s="27">
        <v>8.74</v>
      </c>
      <c r="Y205" s="27" t="s">
        <v>66</v>
      </c>
      <c r="Z205" s="29">
        <v>18</v>
      </c>
      <c r="AA205" s="30">
        <v>23767.31</v>
      </c>
      <c r="AB205" s="29">
        <v>0.95258620689655205</v>
      </c>
      <c r="AC205" s="30">
        <v>19282.04</v>
      </c>
      <c r="AD205" s="30">
        <v>173.44229885057501</v>
      </c>
      <c r="AE205" s="27">
        <v>530.25</v>
      </c>
      <c r="AF205" s="29">
        <v>0.94908062234794899</v>
      </c>
      <c r="AG205" s="30">
        <v>4311.8277011494301</v>
      </c>
      <c r="AH205" s="31">
        <f t="shared" si="49"/>
        <v>0.98444130127298446</v>
      </c>
      <c r="AI205" s="31">
        <f t="shared" si="50"/>
        <v>4.7413793103448273E-2</v>
      </c>
      <c r="AJ205" s="31">
        <f t="shared" si="51"/>
        <v>1.1494252873563218E-2</v>
      </c>
      <c r="AK205" s="31">
        <f t="shared" si="52"/>
        <v>0.95258620689655171</v>
      </c>
      <c r="AL205" s="29">
        <f t="shared" si="53"/>
        <v>0.45</v>
      </c>
      <c r="AM205" s="29">
        <f t="shared" si="54"/>
        <v>503.25</v>
      </c>
      <c r="AN205" s="29">
        <f t="shared" si="55"/>
        <v>1.3830104321907601</v>
      </c>
      <c r="AO205" s="29">
        <f t="shared" si="56"/>
        <v>1.3333333333333333</v>
      </c>
      <c r="AP205" s="31">
        <f t="shared" si="57"/>
        <v>1.0372578241430701</v>
      </c>
      <c r="AQ205" s="31">
        <f t="shared" si="58"/>
        <v>0.95258620689655171</v>
      </c>
      <c r="AR205" s="31">
        <f t="shared" si="59"/>
        <v>0.93776520509193761</v>
      </c>
      <c r="AS205" s="29">
        <f t="shared" si="60"/>
        <v>27.704080459770115</v>
      </c>
      <c r="AT205" s="29">
        <f t="shared" si="61"/>
        <v>6.1951547430307903</v>
      </c>
      <c r="AU205" s="27" t="str">
        <f t="shared" si="62"/>
        <v>Low</v>
      </c>
      <c r="AV205" s="27" t="str">
        <f t="shared" si="63"/>
        <v>Normal</v>
      </c>
      <c r="AW205" s="27"/>
    </row>
    <row r="206" spans="1:49" x14ac:dyDescent="0.25">
      <c r="A206" s="27">
        <v>205</v>
      </c>
      <c r="B206" s="28">
        <v>46147</v>
      </c>
      <c r="C206" s="28" t="str">
        <f t="shared" si="48"/>
        <v>May</v>
      </c>
      <c r="D206" s="27" t="s">
        <v>47</v>
      </c>
      <c r="E206" s="27" t="s">
        <v>98</v>
      </c>
      <c r="F206" s="27" t="s">
        <v>105</v>
      </c>
      <c r="G206" s="27" t="s">
        <v>63</v>
      </c>
      <c r="H206" s="27" t="s">
        <v>79</v>
      </c>
      <c r="I206" s="27" t="s">
        <v>329</v>
      </c>
      <c r="J206" s="27" t="s">
        <v>164</v>
      </c>
      <c r="K206" s="27">
        <v>640</v>
      </c>
      <c r="L206" s="27">
        <v>553</v>
      </c>
      <c r="M206" s="27">
        <v>512</v>
      </c>
      <c r="N206" s="27">
        <v>41</v>
      </c>
      <c r="O206" s="27">
        <v>12</v>
      </c>
      <c r="P206" s="27">
        <v>20</v>
      </c>
      <c r="Q206" s="27" t="s">
        <v>75</v>
      </c>
      <c r="R206" s="27">
        <v>49</v>
      </c>
      <c r="S206" s="27">
        <v>48</v>
      </c>
      <c r="T206" s="29">
        <v>75.8</v>
      </c>
      <c r="U206" s="29">
        <v>1.86</v>
      </c>
      <c r="V206" s="29">
        <v>22.52</v>
      </c>
      <c r="W206" s="30">
        <v>12718.84</v>
      </c>
      <c r="X206" s="27">
        <v>8.76</v>
      </c>
      <c r="Y206" s="27" t="s">
        <v>66</v>
      </c>
      <c r="Z206" s="29">
        <v>13</v>
      </c>
      <c r="AA206" s="30">
        <v>18906.72</v>
      </c>
      <c r="AB206" s="29">
        <v>0.92585895117540695</v>
      </c>
      <c r="AC206" s="30">
        <v>16863.52</v>
      </c>
      <c r="AD206" s="30">
        <v>275.99652802893303</v>
      </c>
      <c r="AE206" s="27">
        <v>522.66666666666697</v>
      </c>
      <c r="AF206" s="29">
        <v>0.96173469387755095</v>
      </c>
      <c r="AG206" s="30">
        <v>1767.20347197107</v>
      </c>
      <c r="AH206" s="31">
        <f t="shared" si="49"/>
        <v>0.86406249999999996</v>
      </c>
      <c r="AI206" s="31">
        <f t="shared" si="50"/>
        <v>7.4141048824593131E-2</v>
      </c>
      <c r="AJ206" s="31">
        <f t="shared" si="51"/>
        <v>2.1699819168173599E-2</v>
      </c>
      <c r="AK206" s="31">
        <f t="shared" si="52"/>
        <v>0.92585895117540684</v>
      </c>
      <c r="AL206" s="29">
        <f t="shared" si="53"/>
        <v>0.33333333333333331</v>
      </c>
      <c r="AM206" s="29">
        <f t="shared" si="54"/>
        <v>502.66666666666697</v>
      </c>
      <c r="AN206" s="29">
        <f t="shared" si="55"/>
        <v>1.1001326259946942</v>
      </c>
      <c r="AO206" s="29">
        <f t="shared" si="56"/>
        <v>1.2244897959183674</v>
      </c>
      <c r="AP206" s="31">
        <f t="shared" si="57"/>
        <v>0.89844164456233355</v>
      </c>
      <c r="AQ206" s="31">
        <f t="shared" si="58"/>
        <v>0.92585895117540684</v>
      </c>
      <c r="AR206" s="31">
        <f t="shared" si="59"/>
        <v>0.79999999999999927</v>
      </c>
      <c r="AS206" s="29">
        <f t="shared" si="60"/>
        <v>30.494611211573236</v>
      </c>
      <c r="AT206" s="29">
        <f t="shared" si="61"/>
        <v>3.1956663145950635</v>
      </c>
      <c r="AU206" s="27" t="str">
        <f t="shared" si="62"/>
        <v>High</v>
      </c>
      <c r="AV206" s="27" t="str">
        <f t="shared" si="63"/>
        <v>Warning</v>
      </c>
      <c r="AW206" s="27"/>
    </row>
    <row r="207" spans="1:49" x14ac:dyDescent="0.25">
      <c r="A207" s="27">
        <v>206</v>
      </c>
      <c r="B207" s="28">
        <v>46165</v>
      </c>
      <c r="C207" s="28" t="str">
        <f t="shared" si="48"/>
        <v>May</v>
      </c>
      <c r="D207" s="27" t="s">
        <v>67</v>
      </c>
      <c r="E207" s="27" t="s">
        <v>98</v>
      </c>
      <c r="F207" s="27" t="s">
        <v>105</v>
      </c>
      <c r="G207" s="27" t="s">
        <v>50</v>
      </c>
      <c r="H207" s="27" t="s">
        <v>79</v>
      </c>
      <c r="I207" s="27" t="s">
        <v>330</v>
      </c>
      <c r="J207" s="27" t="s">
        <v>153</v>
      </c>
      <c r="K207" s="27">
        <v>664</v>
      </c>
      <c r="L207" s="27">
        <v>682</v>
      </c>
      <c r="M207" s="27">
        <v>637</v>
      </c>
      <c r="N207" s="27">
        <v>45</v>
      </c>
      <c r="O207" s="27">
        <v>13</v>
      </c>
      <c r="P207" s="27">
        <v>0</v>
      </c>
      <c r="Q207" s="27" t="s">
        <v>60</v>
      </c>
      <c r="R207" s="27">
        <v>49</v>
      </c>
      <c r="S207" s="27">
        <v>53</v>
      </c>
      <c r="T207" s="29">
        <v>70</v>
      </c>
      <c r="U207" s="29">
        <v>1.66</v>
      </c>
      <c r="V207" s="29">
        <v>21.87</v>
      </c>
      <c r="W207" s="30">
        <v>14912.48</v>
      </c>
      <c r="X207" s="27">
        <v>7.84</v>
      </c>
      <c r="Y207" s="27" t="s">
        <v>66</v>
      </c>
      <c r="Z207" s="29">
        <v>17</v>
      </c>
      <c r="AA207" s="30">
        <v>24323.69</v>
      </c>
      <c r="AB207" s="29">
        <v>0.93401759530791795</v>
      </c>
      <c r="AC207" s="30">
        <v>18637.310000000001</v>
      </c>
      <c r="AD207" s="30">
        <v>284.25548387096802</v>
      </c>
      <c r="AE207" s="27">
        <v>542.26666666666699</v>
      </c>
      <c r="AF207" s="29">
        <v>1</v>
      </c>
      <c r="AG207" s="30">
        <v>5402.1245161290299</v>
      </c>
      <c r="AH207" s="31">
        <f t="shared" si="49"/>
        <v>1.0271084337349397</v>
      </c>
      <c r="AI207" s="31">
        <f t="shared" si="50"/>
        <v>6.5982404692082108E-2</v>
      </c>
      <c r="AJ207" s="31">
        <f t="shared" si="51"/>
        <v>1.906158357771261E-2</v>
      </c>
      <c r="AK207" s="31">
        <f t="shared" si="52"/>
        <v>0.93401759530791784</v>
      </c>
      <c r="AL207" s="29">
        <f t="shared" si="53"/>
        <v>0</v>
      </c>
      <c r="AM207" s="29">
        <f t="shared" si="54"/>
        <v>542.26666666666699</v>
      </c>
      <c r="AN207" s="29">
        <f t="shared" si="55"/>
        <v>1.2576837964101295</v>
      </c>
      <c r="AO207" s="29">
        <f t="shared" si="56"/>
        <v>1.2244897959183674</v>
      </c>
      <c r="AP207" s="31">
        <f t="shared" si="57"/>
        <v>1.027108433734939</v>
      </c>
      <c r="AQ207" s="31">
        <f t="shared" si="58"/>
        <v>0.93401759530791784</v>
      </c>
      <c r="AR207" s="31">
        <f t="shared" si="59"/>
        <v>0.95933734939758963</v>
      </c>
      <c r="AS207" s="29">
        <f t="shared" si="60"/>
        <v>27.327434017595309</v>
      </c>
      <c r="AT207" s="29">
        <f t="shared" si="61"/>
        <v>7.9210036893387539</v>
      </c>
      <c r="AU207" s="27" t="str">
        <f t="shared" si="62"/>
        <v>Low</v>
      </c>
      <c r="AV207" s="27" t="str">
        <f t="shared" si="63"/>
        <v>Normal</v>
      </c>
      <c r="AW207" s="27"/>
    </row>
    <row r="208" spans="1:49" x14ac:dyDescent="0.25">
      <c r="A208" s="27">
        <v>207</v>
      </c>
      <c r="B208" s="28">
        <v>46198</v>
      </c>
      <c r="C208" s="28" t="str">
        <f t="shared" si="48"/>
        <v>June</v>
      </c>
      <c r="D208" s="27" t="s">
        <v>47</v>
      </c>
      <c r="E208" s="27" t="s">
        <v>98</v>
      </c>
      <c r="F208" s="27" t="s">
        <v>99</v>
      </c>
      <c r="G208" s="27" t="s">
        <v>63</v>
      </c>
      <c r="H208" s="27" t="s">
        <v>68</v>
      </c>
      <c r="I208" s="27" t="s">
        <v>331</v>
      </c>
      <c r="J208" s="27" t="s">
        <v>153</v>
      </c>
      <c r="K208" s="27">
        <v>560</v>
      </c>
      <c r="L208" s="27">
        <v>548</v>
      </c>
      <c r="M208" s="27">
        <v>521</v>
      </c>
      <c r="N208" s="27">
        <v>27</v>
      </c>
      <c r="O208" s="27">
        <v>11</v>
      </c>
      <c r="P208" s="27">
        <v>19</v>
      </c>
      <c r="Q208" s="27" t="s">
        <v>97</v>
      </c>
      <c r="R208" s="27">
        <v>64</v>
      </c>
      <c r="S208" s="27">
        <v>70</v>
      </c>
      <c r="T208" s="29">
        <v>77.8</v>
      </c>
      <c r="U208" s="29">
        <v>2.27</v>
      </c>
      <c r="V208" s="29">
        <v>21.77</v>
      </c>
      <c r="W208" s="30">
        <v>17762.919999999998</v>
      </c>
      <c r="X208" s="27">
        <v>8.3800000000000008</v>
      </c>
      <c r="Y208" s="27" t="s">
        <v>66</v>
      </c>
      <c r="Z208" s="29">
        <v>30</v>
      </c>
      <c r="AA208" s="30">
        <v>26999.35</v>
      </c>
      <c r="AB208" s="29">
        <v>0.95072992700729897</v>
      </c>
      <c r="AC208" s="30">
        <v>21729.85</v>
      </c>
      <c r="AD208" s="30">
        <v>356.55496350365001</v>
      </c>
      <c r="AE208" s="27">
        <v>597.33333333333303</v>
      </c>
      <c r="AF208" s="29">
        <v>0.96819196428571397</v>
      </c>
      <c r="AG208" s="30">
        <v>4912.9450364963504</v>
      </c>
      <c r="AH208" s="31">
        <f t="shared" si="49"/>
        <v>0.97857142857142854</v>
      </c>
      <c r="AI208" s="31">
        <f t="shared" si="50"/>
        <v>4.9270072992700732E-2</v>
      </c>
      <c r="AJ208" s="31">
        <f t="shared" si="51"/>
        <v>2.0072992700729927E-2</v>
      </c>
      <c r="AK208" s="31">
        <f t="shared" si="52"/>
        <v>0.9507299270072993</v>
      </c>
      <c r="AL208" s="29">
        <f t="shared" si="53"/>
        <v>0.31666666666666665</v>
      </c>
      <c r="AM208" s="29">
        <f t="shared" si="54"/>
        <v>578.33333333333303</v>
      </c>
      <c r="AN208" s="29">
        <f t="shared" si="55"/>
        <v>0.94755043227665758</v>
      </c>
      <c r="AO208" s="29">
        <f t="shared" si="56"/>
        <v>0.9375</v>
      </c>
      <c r="AP208" s="31">
        <f t="shared" si="57"/>
        <v>1.0107204610951015</v>
      </c>
      <c r="AQ208" s="31">
        <f t="shared" si="58"/>
        <v>0.9507299270072993</v>
      </c>
      <c r="AR208" s="31">
        <f t="shared" si="59"/>
        <v>0.93035714285714322</v>
      </c>
      <c r="AS208" s="29">
        <f t="shared" si="60"/>
        <v>39.653010948905106</v>
      </c>
      <c r="AT208" s="29">
        <f t="shared" si="61"/>
        <v>8.9652281687889612</v>
      </c>
      <c r="AU208" s="27" t="str">
        <f t="shared" si="62"/>
        <v>Medium</v>
      </c>
      <c r="AV208" s="27" t="str">
        <f t="shared" si="63"/>
        <v>Normal</v>
      </c>
      <c r="AW208" s="27"/>
    </row>
    <row r="209" spans="1:49" x14ac:dyDescent="0.25">
      <c r="A209" s="27">
        <v>208</v>
      </c>
      <c r="B209" s="28">
        <v>46186</v>
      </c>
      <c r="C209" s="28" t="str">
        <f t="shared" si="48"/>
        <v>June</v>
      </c>
      <c r="D209" s="27" t="s">
        <v>67</v>
      </c>
      <c r="E209" s="27" t="s">
        <v>98</v>
      </c>
      <c r="F209" s="27" t="s">
        <v>105</v>
      </c>
      <c r="G209" s="27" t="s">
        <v>50</v>
      </c>
      <c r="H209" s="27" t="s">
        <v>51</v>
      </c>
      <c r="I209" s="27" t="s">
        <v>332</v>
      </c>
      <c r="J209" s="27" t="s">
        <v>109</v>
      </c>
      <c r="K209" s="27">
        <v>838</v>
      </c>
      <c r="L209" s="27">
        <v>824</v>
      </c>
      <c r="M209" s="27">
        <v>771</v>
      </c>
      <c r="N209" s="27">
        <v>53</v>
      </c>
      <c r="O209" s="27">
        <v>18</v>
      </c>
      <c r="P209" s="27">
        <v>23</v>
      </c>
      <c r="Q209" s="27" t="s">
        <v>54</v>
      </c>
      <c r="R209" s="27">
        <v>42</v>
      </c>
      <c r="S209" s="27">
        <v>45</v>
      </c>
      <c r="T209" s="29">
        <v>78.400000000000006</v>
      </c>
      <c r="U209" s="29">
        <v>2.74</v>
      </c>
      <c r="V209" s="29">
        <v>26.2</v>
      </c>
      <c r="W209" s="30">
        <v>15196.16</v>
      </c>
      <c r="X209" s="27">
        <v>7.61</v>
      </c>
      <c r="Y209" s="27" t="s">
        <v>55</v>
      </c>
      <c r="Z209" s="29">
        <v>22</v>
      </c>
      <c r="AA209" s="30">
        <v>24536.68</v>
      </c>
      <c r="AB209" s="29">
        <v>0.93567961165048497</v>
      </c>
      <c r="AC209" s="30">
        <v>18856.46</v>
      </c>
      <c r="AD209" s="30">
        <v>331.95495145631099</v>
      </c>
      <c r="AE209" s="27">
        <v>586.6</v>
      </c>
      <c r="AF209" s="29">
        <v>0.96079099897715703</v>
      </c>
      <c r="AG209" s="30">
        <v>5348.2650485436898</v>
      </c>
      <c r="AH209" s="31">
        <f t="shared" si="49"/>
        <v>0.98329355608591884</v>
      </c>
      <c r="AI209" s="31">
        <f t="shared" si="50"/>
        <v>6.4320388349514562E-2</v>
      </c>
      <c r="AJ209" s="31">
        <f t="shared" si="51"/>
        <v>2.1844660194174758E-2</v>
      </c>
      <c r="AK209" s="31">
        <f t="shared" si="52"/>
        <v>0.93567961165048541</v>
      </c>
      <c r="AL209" s="29">
        <f t="shared" si="53"/>
        <v>0.38333333333333336</v>
      </c>
      <c r="AM209" s="29">
        <f t="shared" si="54"/>
        <v>563.6</v>
      </c>
      <c r="AN209" s="29">
        <f t="shared" si="55"/>
        <v>1.4620298083747338</v>
      </c>
      <c r="AO209" s="29">
        <f t="shared" si="56"/>
        <v>1.4285714285714286</v>
      </c>
      <c r="AP209" s="31">
        <f t="shared" si="57"/>
        <v>1.0234208658623136</v>
      </c>
      <c r="AQ209" s="31">
        <f t="shared" si="58"/>
        <v>0.93567961165048541</v>
      </c>
      <c r="AR209" s="31">
        <f t="shared" si="59"/>
        <v>0.92004773269689777</v>
      </c>
      <c r="AS209" s="29">
        <f t="shared" si="60"/>
        <v>22.884053398058253</v>
      </c>
      <c r="AT209" s="29">
        <f t="shared" si="61"/>
        <v>6.4906129229899152</v>
      </c>
      <c r="AU209" s="27" t="str">
        <f t="shared" si="62"/>
        <v>Low</v>
      </c>
      <c r="AV209" s="27" t="str">
        <f t="shared" si="63"/>
        <v>Normal</v>
      </c>
      <c r="AW209" s="27"/>
    </row>
    <row r="210" spans="1:49" x14ac:dyDescent="0.25">
      <c r="A210" s="27">
        <v>209</v>
      </c>
      <c r="B210" s="28">
        <v>46026</v>
      </c>
      <c r="C210" s="28" t="str">
        <f t="shared" si="48"/>
        <v>January</v>
      </c>
      <c r="D210" s="27" t="s">
        <v>67</v>
      </c>
      <c r="E210" s="27" t="s">
        <v>61</v>
      </c>
      <c r="F210" s="27" t="s">
        <v>88</v>
      </c>
      <c r="G210" s="27" t="s">
        <v>63</v>
      </c>
      <c r="H210" s="27" t="s">
        <v>68</v>
      </c>
      <c r="I210" s="27" t="s">
        <v>333</v>
      </c>
      <c r="J210" s="27" t="s">
        <v>161</v>
      </c>
      <c r="K210" s="27">
        <v>466</v>
      </c>
      <c r="L210" s="27">
        <v>480</v>
      </c>
      <c r="M210" s="27">
        <v>459</v>
      </c>
      <c r="N210" s="27">
        <v>21</v>
      </c>
      <c r="O210" s="27">
        <v>8</v>
      </c>
      <c r="P210" s="27">
        <v>19</v>
      </c>
      <c r="Q210" s="27" t="s">
        <v>102</v>
      </c>
      <c r="R210" s="27">
        <v>64</v>
      </c>
      <c r="S210" s="27">
        <v>68</v>
      </c>
      <c r="T210" s="29">
        <v>64.2</v>
      </c>
      <c r="U210" s="29">
        <v>1.34</v>
      </c>
      <c r="V210" s="29">
        <v>18.899999999999999</v>
      </c>
      <c r="W210" s="30">
        <v>15664.13</v>
      </c>
      <c r="X210" s="27">
        <v>9.36</v>
      </c>
      <c r="Y210" s="27" t="s">
        <v>66</v>
      </c>
      <c r="Z210" s="29">
        <v>36</v>
      </c>
      <c r="AA210" s="30">
        <v>24070.49</v>
      </c>
      <c r="AB210" s="29">
        <v>0.95625000000000004</v>
      </c>
      <c r="AC210" s="30">
        <v>20046.23</v>
      </c>
      <c r="AD210" s="30">
        <v>261.06883333333298</v>
      </c>
      <c r="AE210" s="27">
        <v>497.066666666667</v>
      </c>
      <c r="AF210" s="29">
        <v>0.96177575107296098</v>
      </c>
      <c r="AG210" s="30">
        <v>3763.1911666666701</v>
      </c>
      <c r="AH210" s="31">
        <f t="shared" si="49"/>
        <v>1.0300429184549356</v>
      </c>
      <c r="AI210" s="31">
        <f t="shared" si="50"/>
        <v>4.3749999999999997E-2</v>
      </c>
      <c r="AJ210" s="31">
        <f t="shared" si="51"/>
        <v>1.6666666666666666E-2</v>
      </c>
      <c r="AK210" s="31">
        <f t="shared" si="52"/>
        <v>0.95625000000000004</v>
      </c>
      <c r="AL210" s="29">
        <f t="shared" si="53"/>
        <v>0.31666666666666665</v>
      </c>
      <c r="AM210" s="29">
        <f t="shared" si="54"/>
        <v>478.066666666667</v>
      </c>
      <c r="AN210" s="29">
        <f t="shared" si="55"/>
        <v>1.0040440663784682</v>
      </c>
      <c r="AO210" s="29">
        <f t="shared" si="56"/>
        <v>0.9375</v>
      </c>
      <c r="AP210" s="31">
        <f t="shared" si="57"/>
        <v>1.0709803374703661</v>
      </c>
      <c r="AQ210" s="31">
        <f t="shared" si="58"/>
        <v>0.95625000000000004</v>
      </c>
      <c r="AR210" s="31">
        <f t="shared" si="59"/>
        <v>0.98497854077253133</v>
      </c>
      <c r="AS210" s="29">
        <f t="shared" si="60"/>
        <v>41.762979166666668</v>
      </c>
      <c r="AT210" s="29">
        <f t="shared" si="61"/>
        <v>7.8399815972222298</v>
      </c>
      <c r="AU210" s="27" t="str">
        <f t="shared" si="62"/>
        <v>Medium</v>
      </c>
      <c r="AV210" s="27" t="str">
        <f t="shared" si="63"/>
        <v>Normal</v>
      </c>
      <c r="AW210" s="27"/>
    </row>
    <row r="211" spans="1:49" x14ac:dyDescent="0.25">
      <c r="A211" s="27">
        <v>210</v>
      </c>
      <c r="B211" s="28">
        <v>46203</v>
      </c>
      <c r="C211" s="28" t="str">
        <f t="shared" si="48"/>
        <v>June</v>
      </c>
      <c r="D211" s="27" t="s">
        <v>47</v>
      </c>
      <c r="E211" s="27" t="s">
        <v>76</v>
      </c>
      <c r="F211" s="27" t="s">
        <v>77</v>
      </c>
      <c r="G211" s="27" t="s">
        <v>63</v>
      </c>
      <c r="H211" s="27" t="s">
        <v>57</v>
      </c>
      <c r="I211" s="27" t="s">
        <v>334</v>
      </c>
      <c r="J211" s="27" t="s">
        <v>86</v>
      </c>
      <c r="K211" s="27">
        <v>805</v>
      </c>
      <c r="L211" s="27">
        <v>819</v>
      </c>
      <c r="M211" s="27">
        <v>773</v>
      </c>
      <c r="N211" s="27">
        <v>46</v>
      </c>
      <c r="O211" s="27">
        <v>11</v>
      </c>
      <c r="P211" s="27">
        <v>0</v>
      </c>
      <c r="Q211" s="27" t="s">
        <v>60</v>
      </c>
      <c r="R211" s="27">
        <v>45</v>
      </c>
      <c r="S211" s="27">
        <v>47</v>
      </c>
      <c r="T211" s="29">
        <v>65</v>
      </c>
      <c r="U211" s="29">
        <v>2.0299999999999998</v>
      </c>
      <c r="V211" s="29">
        <v>27.17</v>
      </c>
      <c r="W211" s="30">
        <v>17449.57</v>
      </c>
      <c r="X211" s="27">
        <v>8.8699999999999992</v>
      </c>
      <c r="Y211" s="27" t="s">
        <v>66</v>
      </c>
      <c r="Z211" s="29">
        <v>33</v>
      </c>
      <c r="AA211" s="30">
        <v>27238.65</v>
      </c>
      <c r="AB211" s="29">
        <v>0.94383394383394403</v>
      </c>
      <c r="AC211" s="30">
        <v>21685.599999999999</v>
      </c>
      <c r="AD211" s="30">
        <v>234.36540903540899</v>
      </c>
      <c r="AE211" s="27">
        <v>603.75</v>
      </c>
      <c r="AF211" s="29">
        <v>1</v>
      </c>
      <c r="AG211" s="30">
        <v>5318.6845909645899</v>
      </c>
      <c r="AH211" s="31">
        <f t="shared" si="49"/>
        <v>1.017391304347826</v>
      </c>
      <c r="AI211" s="31">
        <f t="shared" si="50"/>
        <v>5.6166056166056168E-2</v>
      </c>
      <c r="AJ211" s="31">
        <f t="shared" si="51"/>
        <v>1.3431013431013432E-2</v>
      </c>
      <c r="AK211" s="31">
        <f t="shared" si="52"/>
        <v>0.94383394383394381</v>
      </c>
      <c r="AL211" s="29">
        <f t="shared" si="53"/>
        <v>0</v>
      </c>
      <c r="AM211" s="29">
        <f t="shared" si="54"/>
        <v>603.75</v>
      </c>
      <c r="AN211" s="29">
        <f t="shared" si="55"/>
        <v>1.3565217391304347</v>
      </c>
      <c r="AO211" s="29">
        <f t="shared" si="56"/>
        <v>1.3333333333333333</v>
      </c>
      <c r="AP211" s="31">
        <f t="shared" si="57"/>
        <v>1.0173913043478262</v>
      </c>
      <c r="AQ211" s="31">
        <f t="shared" si="58"/>
        <v>0.94383394383394381</v>
      </c>
      <c r="AR211" s="31">
        <f t="shared" si="59"/>
        <v>0.96024844720496905</v>
      </c>
      <c r="AS211" s="29">
        <f t="shared" si="60"/>
        <v>26.478144078144076</v>
      </c>
      <c r="AT211" s="29">
        <f t="shared" si="61"/>
        <v>6.4941203796881437</v>
      </c>
      <c r="AU211" s="27" t="str">
        <f t="shared" si="62"/>
        <v>Medium</v>
      </c>
      <c r="AV211" s="27" t="str">
        <f t="shared" si="63"/>
        <v>Normal</v>
      </c>
      <c r="AW211" s="27"/>
    </row>
    <row r="212" spans="1:49" x14ac:dyDescent="0.25">
      <c r="A212" s="27">
        <v>211</v>
      </c>
      <c r="B212" s="28">
        <v>46036</v>
      </c>
      <c r="C212" s="28" t="str">
        <f t="shared" si="48"/>
        <v>January</v>
      </c>
      <c r="D212" s="27" t="s">
        <v>47</v>
      </c>
      <c r="E212" s="27" t="s">
        <v>61</v>
      </c>
      <c r="F212" s="27" t="s">
        <v>95</v>
      </c>
      <c r="G212" s="27" t="s">
        <v>63</v>
      </c>
      <c r="H212" s="27" t="s">
        <v>57</v>
      </c>
      <c r="I212" s="27" t="s">
        <v>335</v>
      </c>
      <c r="J212" s="27" t="s">
        <v>197</v>
      </c>
      <c r="K212" s="27">
        <v>772</v>
      </c>
      <c r="L212" s="27">
        <v>788</v>
      </c>
      <c r="M212" s="27">
        <v>750</v>
      </c>
      <c r="N212" s="27">
        <v>38</v>
      </c>
      <c r="O212" s="27">
        <v>11</v>
      </c>
      <c r="P212" s="27">
        <v>20</v>
      </c>
      <c r="Q212" s="27" t="s">
        <v>54</v>
      </c>
      <c r="R212" s="27">
        <v>45</v>
      </c>
      <c r="S212" s="27">
        <v>46</v>
      </c>
      <c r="T212" s="29">
        <v>73</v>
      </c>
      <c r="U212" s="29">
        <v>1.47</v>
      </c>
      <c r="V212" s="29">
        <v>25.88</v>
      </c>
      <c r="W212" s="30">
        <v>16943.28</v>
      </c>
      <c r="X212" s="27">
        <v>10.029999999999999</v>
      </c>
      <c r="Y212" s="27" t="s">
        <v>71</v>
      </c>
      <c r="Z212" s="29">
        <v>41</v>
      </c>
      <c r="AA212" s="30">
        <v>25657.08</v>
      </c>
      <c r="AB212" s="29">
        <v>0.95177664974619303</v>
      </c>
      <c r="AC212" s="30">
        <v>21689.7</v>
      </c>
      <c r="AD212" s="30">
        <v>236.517868020305</v>
      </c>
      <c r="AE212" s="27">
        <v>579</v>
      </c>
      <c r="AF212" s="29">
        <v>0.96545768566493995</v>
      </c>
      <c r="AG212" s="30">
        <v>3730.8621319796998</v>
      </c>
      <c r="AH212" s="31">
        <f t="shared" si="49"/>
        <v>1.0207253886010363</v>
      </c>
      <c r="AI212" s="31">
        <f t="shared" si="50"/>
        <v>4.8223350253807105E-2</v>
      </c>
      <c r="AJ212" s="31">
        <f t="shared" si="51"/>
        <v>1.3959390862944163E-2</v>
      </c>
      <c r="AK212" s="31">
        <f t="shared" si="52"/>
        <v>0.95177664974619292</v>
      </c>
      <c r="AL212" s="29">
        <f t="shared" si="53"/>
        <v>0.33333333333333331</v>
      </c>
      <c r="AM212" s="29">
        <f t="shared" si="54"/>
        <v>559</v>
      </c>
      <c r="AN212" s="29">
        <f t="shared" si="55"/>
        <v>1.4096601073345258</v>
      </c>
      <c r="AO212" s="29">
        <f t="shared" si="56"/>
        <v>1.3333333333333333</v>
      </c>
      <c r="AP212" s="31">
        <f t="shared" si="57"/>
        <v>1.0572450805008944</v>
      </c>
      <c r="AQ212" s="31">
        <f t="shared" si="58"/>
        <v>0.95177664974619292</v>
      </c>
      <c r="AR212" s="31">
        <f t="shared" si="59"/>
        <v>0.97150259067357547</v>
      </c>
      <c r="AS212" s="29">
        <f t="shared" si="60"/>
        <v>27.525000000000002</v>
      </c>
      <c r="AT212" s="29">
        <f t="shared" si="61"/>
        <v>4.7345966141874367</v>
      </c>
      <c r="AU212" s="27" t="str">
        <f t="shared" si="62"/>
        <v>High</v>
      </c>
      <c r="AV212" s="27" t="str">
        <f t="shared" si="63"/>
        <v>Normal</v>
      </c>
      <c r="AW212" s="27"/>
    </row>
    <row r="213" spans="1:49" x14ac:dyDescent="0.25">
      <c r="A213" s="27">
        <v>212</v>
      </c>
      <c r="B213" s="28">
        <v>46052</v>
      </c>
      <c r="C213" s="28" t="str">
        <f t="shared" si="48"/>
        <v>January</v>
      </c>
      <c r="D213" s="27" t="s">
        <v>67</v>
      </c>
      <c r="E213" s="27" t="s">
        <v>129</v>
      </c>
      <c r="F213" s="27" t="s">
        <v>167</v>
      </c>
      <c r="G213" s="27" t="s">
        <v>63</v>
      </c>
      <c r="H213" s="27" t="s">
        <v>79</v>
      </c>
      <c r="I213" s="27" t="s">
        <v>336</v>
      </c>
      <c r="J213" s="27" t="s">
        <v>81</v>
      </c>
      <c r="K213" s="27">
        <v>701</v>
      </c>
      <c r="L213" s="27">
        <v>672</v>
      </c>
      <c r="M213" s="27">
        <v>620</v>
      </c>
      <c r="N213" s="27">
        <v>52</v>
      </c>
      <c r="O213" s="27">
        <v>20</v>
      </c>
      <c r="P213" s="27">
        <v>0</v>
      </c>
      <c r="Q213" s="27" t="s">
        <v>60</v>
      </c>
      <c r="R213" s="27">
        <v>49</v>
      </c>
      <c r="S213" s="27">
        <v>53</v>
      </c>
      <c r="T213" s="29">
        <v>65.3</v>
      </c>
      <c r="U213" s="29">
        <v>1.86</v>
      </c>
      <c r="V213" s="29">
        <v>20.38</v>
      </c>
      <c r="W213" s="30">
        <v>14641.33</v>
      </c>
      <c r="X213" s="27">
        <v>7.88</v>
      </c>
      <c r="Y213" s="27" t="s">
        <v>66</v>
      </c>
      <c r="Z213" s="29">
        <v>13</v>
      </c>
      <c r="AA213" s="30">
        <v>23484.03</v>
      </c>
      <c r="AB213" s="29">
        <v>0.922619047619048</v>
      </c>
      <c r="AC213" s="30">
        <v>18370.75</v>
      </c>
      <c r="AD213" s="30">
        <v>435.75386904761899</v>
      </c>
      <c r="AE213" s="27">
        <v>572.48333333333301</v>
      </c>
      <c r="AF213" s="29">
        <v>1</v>
      </c>
      <c r="AG213" s="30">
        <v>4677.5261309523803</v>
      </c>
      <c r="AH213" s="31">
        <f t="shared" si="49"/>
        <v>0.95863052781740365</v>
      </c>
      <c r="AI213" s="31">
        <f t="shared" si="50"/>
        <v>7.7380952380952384E-2</v>
      </c>
      <c r="AJ213" s="31">
        <f t="shared" si="51"/>
        <v>2.976190476190476E-2</v>
      </c>
      <c r="AK213" s="31">
        <f t="shared" si="52"/>
        <v>0.92261904761904767</v>
      </c>
      <c r="AL213" s="29">
        <f t="shared" si="53"/>
        <v>0</v>
      </c>
      <c r="AM213" s="29">
        <f t="shared" si="54"/>
        <v>572.48333333333301</v>
      </c>
      <c r="AN213" s="29">
        <f t="shared" si="55"/>
        <v>1.1738332993682501</v>
      </c>
      <c r="AO213" s="29">
        <f t="shared" si="56"/>
        <v>1.2244897959183674</v>
      </c>
      <c r="AP213" s="31">
        <f t="shared" si="57"/>
        <v>0.95863052781740421</v>
      </c>
      <c r="AQ213" s="31">
        <f t="shared" si="58"/>
        <v>0.92261904761904767</v>
      </c>
      <c r="AR213" s="31">
        <f t="shared" si="59"/>
        <v>0.88445078459343851</v>
      </c>
      <c r="AS213" s="29">
        <f t="shared" si="60"/>
        <v>27.337425595238095</v>
      </c>
      <c r="AT213" s="29">
        <f t="shared" si="61"/>
        <v>6.96060436153628</v>
      </c>
      <c r="AU213" s="27" t="str">
        <f t="shared" si="62"/>
        <v>Low</v>
      </c>
      <c r="AV213" s="27" t="str">
        <f t="shared" si="63"/>
        <v>Normal</v>
      </c>
      <c r="AW213" s="27"/>
    </row>
    <row r="214" spans="1:49" x14ac:dyDescent="0.25">
      <c r="A214" s="27">
        <v>213</v>
      </c>
      <c r="B214" s="28">
        <v>46183</v>
      </c>
      <c r="C214" s="28" t="str">
        <f t="shared" si="48"/>
        <v>June</v>
      </c>
      <c r="D214" s="27" t="s">
        <v>47</v>
      </c>
      <c r="E214" s="27" t="s">
        <v>48</v>
      </c>
      <c r="F214" s="27" t="s">
        <v>72</v>
      </c>
      <c r="G214" s="27" t="s">
        <v>78</v>
      </c>
      <c r="H214" s="27" t="s">
        <v>51</v>
      </c>
      <c r="I214" s="27" t="s">
        <v>337</v>
      </c>
      <c r="J214" s="27" t="s">
        <v>59</v>
      </c>
      <c r="K214" s="27">
        <v>726</v>
      </c>
      <c r="L214" s="27">
        <v>659</v>
      </c>
      <c r="M214" s="27">
        <v>636</v>
      </c>
      <c r="N214" s="27">
        <v>23</v>
      </c>
      <c r="O214" s="27">
        <v>7</v>
      </c>
      <c r="P214" s="27">
        <v>6</v>
      </c>
      <c r="Q214" s="27" t="s">
        <v>54</v>
      </c>
      <c r="R214" s="27">
        <v>42</v>
      </c>
      <c r="S214" s="27">
        <v>47</v>
      </c>
      <c r="T214" s="29">
        <v>78.599999999999994</v>
      </c>
      <c r="U214" s="29">
        <v>1.58</v>
      </c>
      <c r="V214" s="29">
        <v>20.89</v>
      </c>
      <c r="W214" s="30">
        <v>12366.72</v>
      </c>
      <c r="X214" s="27">
        <v>8.2100000000000009</v>
      </c>
      <c r="Y214" s="27" t="s">
        <v>110</v>
      </c>
      <c r="Z214" s="29">
        <v>33</v>
      </c>
      <c r="AA214" s="30">
        <v>19801.18</v>
      </c>
      <c r="AB214" s="29">
        <v>0.96509863429438603</v>
      </c>
      <c r="AC214" s="30">
        <v>16249.23</v>
      </c>
      <c r="AD214" s="30">
        <v>131.361213960546</v>
      </c>
      <c r="AE214" s="27">
        <v>508.2</v>
      </c>
      <c r="AF214" s="29">
        <v>0.98819362455726101</v>
      </c>
      <c r="AG214" s="30">
        <v>3420.58878603945</v>
      </c>
      <c r="AH214" s="31">
        <f t="shared" si="49"/>
        <v>0.90771349862258954</v>
      </c>
      <c r="AI214" s="31">
        <f t="shared" si="50"/>
        <v>3.490136570561457E-2</v>
      </c>
      <c r="AJ214" s="31">
        <f t="shared" si="51"/>
        <v>1.0622154779969651E-2</v>
      </c>
      <c r="AK214" s="31">
        <f t="shared" si="52"/>
        <v>0.96509863429438547</v>
      </c>
      <c r="AL214" s="29">
        <f t="shared" si="53"/>
        <v>0.1</v>
      </c>
      <c r="AM214" s="29">
        <f t="shared" si="54"/>
        <v>502.2</v>
      </c>
      <c r="AN214" s="29">
        <f t="shared" si="55"/>
        <v>1.3122262046993229</v>
      </c>
      <c r="AO214" s="29">
        <f t="shared" si="56"/>
        <v>1.4285714285714286</v>
      </c>
      <c r="AP214" s="31">
        <f t="shared" si="57"/>
        <v>0.91855834328952601</v>
      </c>
      <c r="AQ214" s="31">
        <f t="shared" si="58"/>
        <v>0.96509863429438547</v>
      </c>
      <c r="AR214" s="31">
        <f t="shared" si="59"/>
        <v>0.87603305785123975</v>
      </c>
      <c r="AS214" s="29">
        <f t="shared" si="60"/>
        <v>24.65740515933232</v>
      </c>
      <c r="AT214" s="29">
        <f t="shared" si="61"/>
        <v>5.1905747891342182</v>
      </c>
      <c r="AU214" s="27" t="str">
        <f t="shared" si="62"/>
        <v>Medium</v>
      </c>
      <c r="AV214" s="27" t="str">
        <f t="shared" si="63"/>
        <v>Normal</v>
      </c>
      <c r="AW214" s="27"/>
    </row>
    <row r="215" spans="1:49" x14ac:dyDescent="0.25">
      <c r="A215" s="27">
        <v>214</v>
      </c>
      <c r="B215" s="28">
        <v>46060</v>
      </c>
      <c r="C215" s="28" t="str">
        <f t="shared" si="48"/>
        <v>February</v>
      </c>
      <c r="D215" s="27" t="s">
        <v>47</v>
      </c>
      <c r="E215" s="27" t="s">
        <v>129</v>
      </c>
      <c r="F215" s="27" t="s">
        <v>167</v>
      </c>
      <c r="G215" s="27" t="s">
        <v>50</v>
      </c>
      <c r="H215" s="27" t="s">
        <v>51</v>
      </c>
      <c r="I215" s="27" t="s">
        <v>338</v>
      </c>
      <c r="J215" s="27" t="s">
        <v>121</v>
      </c>
      <c r="K215" s="27">
        <v>889</v>
      </c>
      <c r="L215" s="27">
        <v>867</v>
      </c>
      <c r="M215" s="27">
        <v>792</v>
      </c>
      <c r="N215" s="27">
        <v>75</v>
      </c>
      <c r="O215" s="27">
        <v>28</v>
      </c>
      <c r="P215" s="27">
        <v>40</v>
      </c>
      <c r="Q215" s="27" t="s">
        <v>54</v>
      </c>
      <c r="R215" s="27">
        <v>42</v>
      </c>
      <c r="S215" s="27">
        <v>44</v>
      </c>
      <c r="T215" s="29">
        <v>66.099999999999994</v>
      </c>
      <c r="U215" s="29">
        <v>1.68</v>
      </c>
      <c r="V215" s="29">
        <v>28.4</v>
      </c>
      <c r="W215" s="30">
        <v>16191.49</v>
      </c>
      <c r="X215" s="27">
        <v>10.02</v>
      </c>
      <c r="Y215" s="27" t="s">
        <v>55</v>
      </c>
      <c r="Z215" s="29">
        <v>25</v>
      </c>
      <c r="AA215" s="30">
        <v>25038.799999999999</v>
      </c>
      <c r="AB215" s="29">
        <v>0.91349480968858099</v>
      </c>
      <c r="AC215" s="30">
        <v>20956.09</v>
      </c>
      <c r="AD215" s="30">
        <v>522.90855824682797</v>
      </c>
      <c r="AE215" s="27">
        <v>622.29999999999995</v>
      </c>
      <c r="AF215" s="29">
        <v>0.93572232042423298</v>
      </c>
      <c r="AG215" s="30">
        <v>3559.8014417531699</v>
      </c>
      <c r="AH215" s="31">
        <f t="shared" si="49"/>
        <v>0.97525309336332955</v>
      </c>
      <c r="AI215" s="31">
        <f t="shared" si="50"/>
        <v>8.6505190311418678E-2</v>
      </c>
      <c r="AJ215" s="31">
        <f t="shared" si="51"/>
        <v>3.2295271049596307E-2</v>
      </c>
      <c r="AK215" s="31">
        <f t="shared" si="52"/>
        <v>0.91349480968858132</v>
      </c>
      <c r="AL215" s="29">
        <f t="shared" si="53"/>
        <v>0.66666666666666663</v>
      </c>
      <c r="AM215" s="29">
        <f t="shared" si="54"/>
        <v>582.29999999999995</v>
      </c>
      <c r="AN215" s="29">
        <f t="shared" si="55"/>
        <v>1.4889232354456468</v>
      </c>
      <c r="AO215" s="29">
        <f t="shared" si="56"/>
        <v>1.4285714285714286</v>
      </c>
      <c r="AP215" s="31">
        <f t="shared" si="57"/>
        <v>1.0422462648119526</v>
      </c>
      <c r="AQ215" s="31">
        <f t="shared" si="58"/>
        <v>0.91349480968858132</v>
      </c>
      <c r="AR215" s="31">
        <f t="shared" si="59"/>
        <v>0.89088863892013526</v>
      </c>
      <c r="AS215" s="29">
        <f t="shared" si="60"/>
        <v>24.170807381776239</v>
      </c>
      <c r="AT215" s="29">
        <f t="shared" si="61"/>
        <v>4.1058840158629408</v>
      </c>
      <c r="AU215" s="27" t="str">
        <f t="shared" si="62"/>
        <v>Medium</v>
      </c>
      <c r="AV215" s="27" t="str">
        <f t="shared" si="63"/>
        <v>Warning</v>
      </c>
      <c r="AW215" s="27"/>
    </row>
    <row r="216" spans="1:49" x14ac:dyDescent="0.25">
      <c r="A216" s="27">
        <v>215</v>
      </c>
      <c r="B216" s="28">
        <v>46117</v>
      </c>
      <c r="C216" s="28" t="str">
        <f t="shared" si="48"/>
        <v>April</v>
      </c>
      <c r="D216" s="27" t="s">
        <v>67</v>
      </c>
      <c r="E216" s="27" t="s">
        <v>48</v>
      </c>
      <c r="F216" s="27" t="s">
        <v>56</v>
      </c>
      <c r="G216" s="27" t="s">
        <v>78</v>
      </c>
      <c r="H216" s="27" t="s">
        <v>51</v>
      </c>
      <c r="I216" s="27" t="s">
        <v>339</v>
      </c>
      <c r="J216" s="27" t="s">
        <v>84</v>
      </c>
      <c r="K216" s="27">
        <v>788</v>
      </c>
      <c r="L216" s="27">
        <v>670</v>
      </c>
      <c r="M216" s="27">
        <v>628</v>
      </c>
      <c r="N216" s="27">
        <v>42</v>
      </c>
      <c r="O216" s="27">
        <v>8</v>
      </c>
      <c r="P216" s="27">
        <v>10</v>
      </c>
      <c r="Q216" s="27" t="s">
        <v>104</v>
      </c>
      <c r="R216" s="27">
        <v>42</v>
      </c>
      <c r="S216" s="27">
        <v>43</v>
      </c>
      <c r="T216" s="29">
        <v>73.7</v>
      </c>
      <c r="U216" s="29">
        <v>0.94</v>
      </c>
      <c r="V216" s="29">
        <v>25.66</v>
      </c>
      <c r="W216" s="30">
        <v>12823.65</v>
      </c>
      <c r="X216" s="27">
        <v>8.11</v>
      </c>
      <c r="Y216" s="27" t="s">
        <v>66</v>
      </c>
      <c r="Z216" s="29">
        <v>30</v>
      </c>
      <c r="AA216" s="30">
        <v>20515.36</v>
      </c>
      <c r="AB216" s="29">
        <v>0.93731343283582103</v>
      </c>
      <c r="AC216" s="30">
        <v>16704.09</v>
      </c>
      <c r="AD216" s="30">
        <v>153.11820895522399</v>
      </c>
      <c r="AE216" s="27">
        <v>551.6</v>
      </c>
      <c r="AF216" s="29">
        <v>0.98187092095721495</v>
      </c>
      <c r="AG216" s="30">
        <v>3658.1517910447801</v>
      </c>
      <c r="AH216" s="31">
        <f t="shared" si="49"/>
        <v>0.85025380710659904</v>
      </c>
      <c r="AI216" s="31">
        <f t="shared" si="50"/>
        <v>6.2686567164179099E-2</v>
      </c>
      <c r="AJ216" s="31">
        <f t="shared" si="51"/>
        <v>1.1940298507462687E-2</v>
      </c>
      <c r="AK216" s="31">
        <f t="shared" si="52"/>
        <v>0.93731343283582091</v>
      </c>
      <c r="AL216" s="29">
        <f t="shared" si="53"/>
        <v>0.16666666666666666</v>
      </c>
      <c r="AM216" s="29">
        <f t="shared" si="54"/>
        <v>541.6</v>
      </c>
      <c r="AN216" s="29">
        <f t="shared" si="55"/>
        <v>1.2370753323485968</v>
      </c>
      <c r="AO216" s="29">
        <f t="shared" si="56"/>
        <v>1.4285714285714286</v>
      </c>
      <c r="AP216" s="31">
        <f t="shared" si="57"/>
        <v>0.86595273264401773</v>
      </c>
      <c r="AQ216" s="31">
        <f t="shared" si="58"/>
        <v>0.93731343283582091</v>
      </c>
      <c r="AR216" s="31">
        <f t="shared" si="59"/>
        <v>0.7969543147208118</v>
      </c>
      <c r="AS216" s="29">
        <f t="shared" si="60"/>
        <v>24.931477611940299</v>
      </c>
      <c r="AT216" s="29">
        <f t="shared" si="61"/>
        <v>5.4599280463354924</v>
      </c>
      <c r="AU216" s="27" t="str">
        <f t="shared" si="62"/>
        <v>High</v>
      </c>
      <c r="AV216" s="27" t="str">
        <f t="shared" si="63"/>
        <v>Warning</v>
      </c>
      <c r="AW216" s="27"/>
    </row>
    <row r="217" spans="1:49" x14ac:dyDescent="0.25">
      <c r="A217" s="27">
        <v>216</v>
      </c>
      <c r="B217" s="28">
        <v>46089</v>
      </c>
      <c r="C217" s="28" t="str">
        <f t="shared" si="48"/>
        <v>March</v>
      </c>
      <c r="D217" s="27" t="s">
        <v>67</v>
      </c>
      <c r="E217" s="27" t="s">
        <v>98</v>
      </c>
      <c r="F217" s="27" t="s">
        <v>126</v>
      </c>
      <c r="G217" s="27" t="s">
        <v>63</v>
      </c>
      <c r="H217" s="27" t="s">
        <v>124</v>
      </c>
      <c r="I217" s="27" t="s">
        <v>340</v>
      </c>
      <c r="J217" s="27" t="s">
        <v>186</v>
      </c>
      <c r="K217" s="27">
        <v>646</v>
      </c>
      <c r="L217" s="27">
        <v>603</v>
      </c>
      <c r="M217" s="27">
        <v>555</v>
      </c>
      <c r="N217" s="27">
        <v>48</v>
      </c>
      <c r="O217" s="27">
        <v>11</v>
      </c>
      <c r="P217" s="27">
        <v>32</v>
      </c>
      <c r="Q217" s="27" t="s">
        <v>54</v>
      </c>
      <c r="R217" s="27">
        <v>57</v>
      </c>
      <c r="S217" s="27">
        <v>56</v>
      </c>
      <c r="T217" s="29">
        <v>63.3</v>
      </c>
      <c r="U217" s="29">
        <v>2.2799999999999998</v>
      </c>
      <c r="V217" s="29">
        <v>23.36</v>
      </c>
      <c r="W217" s="30">
        <v>15678.07</v>
      </c>
      <c r="X217" s="27">
        <v>7.8</v>
      </c>
      <c r="Y217" s="27" t="s">
        <v>66</v>
      </c>
      <c r="Z217" s="29">
        <v>9</v>
      </c>
      <c r="AA217" s="30">
        <v>25089.360000000001</v>
      </c>
      <c r="AB217" s="29">
        <v>0.92039800995024901</v>
      </c>
      <c r="AC217" s="30">
        <v>19398.310000000001</v>
      </c>
      <c r="AD217" s="30">
        <v>286.00127694858998</v>
      </c>
      <c r="AE217" s="27">
        <v>613.70000000000005</v>
      </c>
      <c r="AF217" s="29">
        <v>0.947857259247189</v>
      </c>
      <c r="AG217" s="30">
        <v>5405.04872305141</v>
      </c>
      <c r="AH217" s="31">
        <f t="shared" si="49"/>
        <v>0.93343653250773995</v>
      </c>
      <c r="AI217" s="31">
        <f t="shared" si="50"/>
        <v>7.9601990049751242E-2</v>
      </c>
      <c r="AJ217" s="31">
        <f t="shared" si="51"/>
        <v>1.824212271973466E-2</v>
      </c>
      <c r="AK217" s="31">
        <f t="shared" si="52"/>
        <v>0.92039800995024879</v>
      </c>
      <c r="AL217" s="29">
        <f t="shared" si="53"/>
        <v>0.53333333333333333</v>
      </c>
      <c r="AM217" s="29">
        <f t="shared" si="54"/>
        <v>581.70000000000005</v>
      </c>
      <c r="AN217" s="29">
        <f t="shared" si="55"/>
        <v>1.0366168127900979</v>
      </c>
      <c r="AO217" s="29">
        <f t="shared" si="56"/>
        <v>1.0526315789473684</v>
      </c>
      <c r="AP217" s="31">
        <f t="shared" si="57"/>
        <v>0.98478597215059305</v>
      </c>
      <c r="AQ217" s="31">
        <f t="shared" si="58"/>
        <v>0.92039800995024879</v>
      </c>
      <c r="AR217" s="31">
        <f t="shared" si="59"/>
        <v>0.85913312693498434</v>
      </c>
      <c r="AS217" s="29">
        <f t="shared" si="60"/>
        <v>32.169668325041464</v>
      </c>
      <c r="AT217" s="29">
        <f t="shared" si="61"/>
        <v>8.9635965556408124</v>
      </c>
      <c r="AU217" s="27" t="str">
        <f t="shared" si="62"/>
        <v>Low</v>
      </c>
      <c r="AV217" s="27" t="str">
        <f t="shared" si="63"/>
        <v>Normal</v>
      </c>
      <c r="AW217" s="27"/>
    </row>
    <row r="218" spans="1:49" x14ac:dyDescent="0.25">
      <c r="A218" s="27">
        <v>217</v>
      </c>
      <c r="B218" s="28">
        <v>46186</v>
      </c>
      <c r="C218" s="28" t="str">
        <f t="shared" si="48"/>
        <v>June</v>
      </c>
      <c r="D218" s="27" t="s">
        <v>47</v>
      </c>
      <c r="E218" s="27" t="s">
        <v>129</v>
      </c>
      <c r="F218" s="27" t="s">
        <v>151</v>
      </c>
      <c r="G218" s="27" t="s">
        <v>78</v>
      </c>
      <c r="H218" s="27" t="s">
        <v>79</v>
      </c>
      <c r="I218" s="27" t="s">
        <v>341</v>
      </c>
      <c r="J218" s="27" t="s">
        <v>81</v>
      </c>
      <c r="K218" s="27">
        <v>785</v>
      </c>
      <c r="L218" s="27">
        <v>710</v>
      </c>
      <c r="M218" s="27">
        <v>660</v>
      </c>
      <c r="N218" s="27">
        <v>50</v>
      </c>
      <c r="O218" s="27">
        <v>15</v>
      </c>
      <c r="P218" s="27">
        <v>32</v>
      </c>
      <c r="Q218" s="27" t="s">
        <v>75</v>
      </c>
      <c r="R218" s="27">
        <v>49</v>
      </c>
      <c r="S218" s="27">
        <v>52</v>
      </c>
      <c r="T218" s="29">
        <v>69.7</v>
      </c>
      <c r="U218" s="29">
        <v>2.37</v>
      </c>
      <c r="V218" s="29">
        <v>25.43</v>
      </c>
      <c r="W218" s="30">
        <v>14937.26</v>
      </c>
      <c r="X218" s="27">
        <v>6.98</v>
      </c>
      <c r="Y218" s="27" t="s">
        <v>66</v>
      </c>
      <c r="Z218" s="29">
        <v>32</v>
      </c>
      <c r="AA218" s="30">
        <v>25629.59</v>
      </c>
      <c r="AB218" s="29">
        <v>0.92957746478873204</v>
      </c>
      <c r="AC218" s="30">
        <v>18307.13</v>
      </c>
      <c r="AD218" s="30">
        <v>315.57591549295802</v>
      </c>
      <c r="AE218" s="27">
        <v>641.08333333333303</v>
      </c>
      <c r="AF218" s="29">
        <v>0.95008449239568404</v>
      </c>
      <c r="AG218" s="30">
        <v>7006.8840845070399</v>
      </c>
      <c r="AH218" s="31">
        <f t="shared" si="49"/>
        <v>0.90445859872611467</v>
      </c>
      <c r="AI218" s="31">
        <f t="shared" si="50"/>
        <v>7.0422535211267609E-2</v>
      </c>
      <c r="AJ218" s="31">
        <f t="shared" si="51"/>
        <v>2.1126760563380281E-2</v>
      </c>
      <c r="AK218" s="31">
        <f t="shared" si="52"/>
        <v>0.92957746478873238</v>
      </c>
      <c r="AL218" s="29">
        <f t="shared" si="53"/>
        <v>0.53333333333333333</v>
      </c>
      <c r="AM218" s="29">
        <f t="shared" si="54"/>
        <v>609.08333333333303</v>
      </c>
      <c r="AN218" s="29">
        <f t="shared" si="55"/>
        <v>1.1656861403748808</v>
      </c>
      <c r="AO218" s="29">
        <f t="shared" si="56"/>
        <v>1.2244897959183674</v>
      </c>
      <c r="AP218" s="31">
        <f t="shared" si="57"/>
        <v>0.95197701463948603</v>
      </c>
      <c r="AQ218" s="31">
        <f t="shared" si="58"/>
        <v>0.92957746478873238</v>
      </c>
      <c r="AR218" s="31">
        <f t="shared" si="59"/>
        <v>0.84076433121019123</v>
      </c>
      <c r="AS218" s="29">
        <f t="shared" si="60"/>
        <v>25.784690140845072</v>
      </c>
      <c r="AT218" s="29">
        <f t="shared" si="61"/>
        <v>9.8688508232493515</v>
      </c>
      <c r="AU218" s="27" t="str">
        <f t="shared" si="62"/>
        <v>Medium</v>
      </c>
      <c r="AV218" s="27" t="str">
        <f t="shared" si="63"/>
        <v>Warning</v>
      </c>
      <c r="AW218" s="27"/>
    </row>
    <row r="219" spans="1:49" x14ac:dyDescent="0.25">
      <c r="A219" s="27">
        <v>218</v>
      </c>
      <c r="B219" s="28">
        <v>46108</v>
      </c>
      <c r="C219" s="28" t="str">
        <f t="shared" si="48"/>
        <v>March</v>
      </c>
      <c r="D219" s="27" t="s">
        <v>67</v>
      </c>
      <c r="E219" s="27" t="s">
        <v>61</v>
      </c>
      <c r="F219" s="27" t="s">
        <v>95</v>
      </c>
      <c r="G219" s="27" t="s">
        <v>50</v>
      </c>
      <c r="H219" s="27" t="s">
        <v>124</v>
      </c>
      <c r="I219" s="27" t="s">
        <v>342</v>
      </c>
      <c r="J219" s="27" t="s">
        <v>70</v>
      </c>
      <c r="K219" s="27">
        <v>662</v>
      </c>
      <c r="L219" s="27">
        <v>712</v>
      </c>
      <c r="M219" s="27">
        <v>673</v>
      </c>
      <c r="N219" s="27">
        <v>39</v>
      </c>
      <c r="O219" s="27">
        <v>7</v>
      </c>
      <c r="P219" s="27">
        <v>38</v>
      </c>
      <c r="Q219" s="27" t="s">
        <v>82</v>
      </c>
      <c r="R219" s="27">
        <v>57</v>
      </c>
      <c r="S219" s="27">
        <v>62</v>
      </c>
      <c r="T219" s="29">
        <v>64</v>
      </c>
      <c r="U219" s="29">
        <v>3.02</v>
      </c>
      <c r="V219" s="29">
        <v>31.32</v>
      </c>
      <c r="W219" s="30">
        <v>20384.52</v>
      </c>
      <c r="X219" s="27">
        <v>9.77</v>
      </c>
      <c r="Y219" s="27" t="s">
        <v>110</v>
      </c>
      <c r="Z219" s="29">
        <v>45</v>
      </c>
      <c r="AA219" s="30">
        <v>31134.82</v>
      </c>
      <c r="AB219" s="29">
        <v>0.94522471910112404</v>
      </c>
      <c r="AC219" s="30">
        <v>25062.9</v>
      </c>
      <c r="AD219" s="30">
        <v>200.40960674157299</v>
      </c>
      <c r="AE219" s="27">
        <v>628.9</v>
      </c>
      <c r="AF219" s="29">
        <v>0.93957703927492398</v>
      </c>
      <c r="AG219" s="30">
        <v>5871.5103932584298</v>
      </c>
      <c r="AH219" s="31">
        <f t="shared" si="49"/>
        <v>1.0755287009063443</v>
      </c>
      <c r="AI219" s="31">
        <f t="shared" si="50"/>
        <v>5.4775280898876406E-2</v>
      </c>
      <c r="AJ219" s="31">
        <f t="shared" si="51"/>
        <v>9.8314606741573031E-3</v>
      </c>
      <c r="AK219" s="31">
        <f t="shared" si="52"/>
        <v>0.9452247191011236</v>
      </c>
      <c r="AL219" s="29">
        <f t="shared" si="53"/>
        <v>0.6333333333333333</v>
      </c>
      <c r="AM219" s="29">
        <f t="shared" si="54"/>
        <v>590.9</v>
      </c>
      <c r="AN219" s="29">
        <f t="shared" si="55"/>
        <v>1.2049416144863767</v>
      </c>
      <c r="AO219" s="29">
        <f t="shared" si="56"/>
        <v>1.0526315789473684</v>
      </c>
      <c r="AP219" s="31">
        <f t="shared" si="57"/>
        <v>1.144694533762058</v>
      </c>
      <c r="AQ219" s="31">
        <f t="shared" si="58"/>
        <v>0.9452247191011236</v>
      </c>
      <c r="AR219" s="31">
        <f t="shared" si="59"/>
        <v>1.0166163141993954</v>
      </c>
      <c r="AS219" s="29">
        <f t="shared" si="60"/>
        <v>35.20070224719101</v>
      </c>
      <c r="AT219" s="29">
        <f t="shared" si="61"/>
        <v>8.2465033613180196</v>
      </c>
      <c r="AU219" s="27" t="str">
        <f t="shared" si="62"/>
        <v>Medium</v>
      </c>
      <c r="AV219" s="27" t="str">
        <f t="shared" si="63"/>
        <v>Warning</v>
      </c>
      <c r="AW219" s="27"/>
    </row>
    <row r="220" spans="1:49" x14ac:dyDescent="0.25">
      <c r="A220" s="27">
        <v>219</v>
      </c>
      <c r="B220" s="28">
        <v>46101</v>
      </c>
      <c r="C220" s="28" t="str">
        <f t="shared" si="48"/>
        <v>March</v>
      </c>
      <c r="D220" s="27" t="s">
        <v>67</v>
      </c>
      <c r="E220" s="27" t="s">
        <v>48</v>
      </c>
      <c r="F220" s="27" t="s">
        <v>56</v>
      </c>
      <c r="G220" s="27" t="s">
        <v>50</v>
      </c>
      <c r="H220" s="27" t="s">
        <v>124</v>
      </c>
      <c r="I220" s="27" t="s">
        <v>343</v>
      </c>
      <c r="J220" s="27" t="s">
        <v>115</v>
      </c>
      <c r="K220" s="27">
        <v>615</v>
      </c>
      <c r="L220" s="27">
        <v>626</v>
      </c>
      <c r="M220" s="27">
        <v>598</v>
      </c>
      <c r="N220" s="27">
        <v>28</v>
      </c>
      <c r="O220" s="27">
        <v>8</v>
      </c>
      <c r="P220" s="27">
        <v>19</v>
      </c>
      <c r="Q220" s="27" t="s">
        <v>75</v>
      </c>
      <c r="R220" s="27">
        <v>57</v>
      </c>
      <c r="S220" s="27">
        <v>56</v>
      </c>
      <c r="T220" s="29">
        <v>63.5</v>
      </c>
      <c r="U220" s="29">
        <v>2.4900000000000002</v>
      </c>
      <c r="V220" s="29">
        <v>22.41</v>
      </c>
      <c r="W220" s="30">
        <v>18090.150000000001</v>
      </c>
      <c r="X220" s="27">
        <v>9.7899999999999991</v>
      </c>
      <c r="Y220" s="27" t="s">
        <v>66</v>
      </c>
      <c r="Z220" s="29">
        <v>31</v>
      </c>
      <c r="AA220" s="30">
        <v>27962.76</v>
      </c>
      <c r="AB220" s="29">
        <v>0.95527156549520797</v>
      </c>
      <c r="AC220" s="30">
        <v>22697.34</v>
      </c>
      <c r="AD220" s="30">
        <v>231.18402555910501</v>
      </c>
      <c r="AE220" s="27">
        <v>584.25</v>
      </c>
      <c r="AF220" s="29">
        <v>0.96747967479674801</v>
      </c>
      <c r="AG220" s="30">
        <v>5034.2359744408895</v>
      </c>
      <c r="AH220" s="31">
        <f t="shared" si="49"/>
        <v>1.0178861788617886</v>
      </c>
      <c r="AI220" s="31">
        <f t="shared" si="50"/>
        <v>4.472843450479233E-2</v>
      </c>
      <c r="AJ220" s="31">
        <f t="shared" si="51"/>
        <v>1.2779552715654952E-2</v>
      </c>
      <c r="AK220" s="31">
        <f t="shared" si="52"/>
        <v>0.95527156549520764</v>
      </c>
      <c r="AL220" s="29">
        <f t="shared" si="53"/>
        <v>0.31666666666666665</v>
      </c>
      <c r="AM220" s="29">
        <f t="shared" si="54"/>
        <v>565.25</v>
      </c>
      <c r="AN220" s="29">
        <f t="shared" si="55"/>
        <v>1.1074745687748784</v>
      </c>
      <c r="AO220" s="29">
        <f t="shared" si="56"/>
        <v>1.0526315789473684</v>
      </c>
      <c r="AP220" s="31">
        <f t="shared" si="57"/>
        <v>1.0521008403361345</v>
      </c>
      <c r="AQ220" s="31">
        <f t="shared" si="58"/>
        <v>0.95527156549520764</v>
      </c>
      <c r="AR220" s="31">
        <f t="shared" si="59"/>
        <v>0.97235772357723593</v>
      </c>
      <c r="AS220" s="29">
        <f t="shared" si="60"/>
        <v>36.257731629392971</v>
      </c>
      <c r="AT220" s="29">
        <f t="shared" si="61"/>
        <v>8.0419105023017412</v>
      </c>
      <c r="AU220" s="27" t="str">
        <f t="shared" si="62"/>
        <v>Medium</v>
      </c>
      <c r="AV220" s="27" t="str">
        <f t="shared" si="63"/>
        <v>Normal</v>
      </c>
      <c r="AW220" s="27"/>
    </row>
    <row r="221" spans="1:49" x14ac:dyDescent="0.25">
      <c r="A221" s="27">
        <v>220</v>
      </c>
      <c r="B221" s="28">
        <v>46059</v>
      </c>
      <c r="C221" s="28" t="str">
        <f t="shared" si="48"/>
        <v>February</v>
      </c>
      <c r="D221" s="27" t="s">
        <v>47</v>
      </c>
      <c r="E221" s="27" t="s">
        <v>76</v>
      </c>
      <c r="F221" s="27" t="s">
        <v>113</v>
      </c>
      <c r="G221" s="27" t="s">
        <v>78</v>
      </c>
      <c r="H221" s="27" t="s">
        <v>51</v>
      </c>
      <c r="I221" s="27" t="s">
        <v>344</v>
      </c>
      <c r="J221" s="27" t="s">
        <v>86</v>
      </c>
      <c r="K221" s="27">
        <v>955</v>
      </c>
      <c r="L221" s="27">
        <v>794</v>
      </c>
      <c r="M221" s="27">
        <v>755</v>
      </c>
      <c r="N221" s="27">
        <v>39</v>
      </c>
      <c r="O221" s="27">
        <v>15</v>
      </c>
      <c r="P221" s="27">
        <v>26</v>
      </c>
      <c r="Q221" s="27" t="s">
        <v>75</v>
      </c>
      <c r="R221" s="27">
        <v>42</v>
      </c>
      <c r="S221" s="27">
        <v>42</v>
      </c>
      <c r="T221" s="29">
        <v>77.900000000000006</v>
      </c>
      <c r="U221" s="29">
        <v>1.31</v>
      </c>
      <c r="V221" s="29">
        <v>25</v>
      </c>
      <c r="W221" s="30">
        <v>15121.83</v>
      </c>
      <c r="X221" s="27">
        <v>6.05</v>
      </c>
      <c r="Y221" s="27" t="s">
        <v>66</v>
      </c>
      <c r="Z221" s="29">
        <v>17</v>
      </c>
      <c r="AA221" s="30">
        <v>24361.279999999999</v>
      </c>
      <c r="AB221" s="29">
        <v>0.95088161209068001</v>
      </c>
      <c r="AC221" s="30">
        <v>18069.330000000002</v>
      </c>
      <c r="AD221" s="30">
        <v>285.67688916876602</v>
      </c>
      <c r="AE221" s="27">
        <v>668.5</v>
      </c>
      <c r="AF221" s="29">
        <v>0.96110695587135397</v>
      </c>
      <c r="AG221" s="30">
        <v>6006.27311083123</v>
      </c>
      <c r="AH221" s="31">
        <f t="shared" si="49"/>
        <v>0.83141361256544499</v>
      </c>
      <c r="AI221" s="31">
        <f t="shared" si="50"/>
        <v>4.9118387909319897E-2</v>
      </c>
      <c r="AJ221" s="31">
        <f t="shared" si="51"/>
        <v>1.8891687657430732E-2</v>
      </c>
      <c r="AK221" s="31">
        <f t="shared" si="52"/>
        <v>0.95088161209068012</v>
      </c>
      <c r="AL221" s="29">
        <f t="shared" si="53"/>
        <v>0.43333333333333335</v>
      </c>
      <c r="AM221" s="29">
        <f t="shared" si="54"/>
        <v>642.5</v>
      </c>
      <c r="AN221" s="29">
        <f t="shared" si="55"/>
        <v>1.2357976653696499</v>
      </c>
      <c r="AO221" s="29">
        <f t="shared" si="56"/>
        <v>1.4285714285714286</v>
      </c>
      <c r="AP221" s="31">
        <f t="shared" si="57"/>
        <v>0.86505836575875483</v>
      </c>
      <c r="AQ221" s="31">
        <f t="shared" si="58"/>
        <v>0.95088161209068012</v>
      </c>
      <c r="AR221" s="31">
        <f t="shared" si="59"/>
        <v>0.79057591623036672</v>
      </c>
      <c r="AS221" s="29">
        <f t="shared" si="60"/>
        <v>22.757342569269525</v>
      </c>
      <c r="AT221" s="29">
        <f t="shared" si="61"/>
        <v>7.5645757063365622</v>
      </c>
      <c r="AU221" s="27" t="str">
        <f t="shared" si="62"/>
        <v>High</v>
      </c>
      <c r="AV221" s="27" t="str">
        <f t="shared" si="63"/>
        <v>Warning</v>
      </c>
      <c r="AW221" s="27"/>
    </row>
    <row r="222" spans="1:49" x14ac:dyDescent="0.25">
      <c r="A222" s="27">
        <v>221</v>
      </c>
      <c r="B222" s="28">
        <v>46076</v>
      </c>
      <c r="C222" s="28" t="str">
        <f t="shared" si="48"/>
        <v>February</v>
      </c>
      <c r="D222" s="27" t="s">
        <v>67</v>
      </c>
      <c r="E222" s="27" t="s">
        <v>98</v>
      </c>
      <c r="F222" s="27" t="s">
        <v>105</v>
      </c>
      <c r="G222" s="27" t="s">
        <v>50</v>
      </c>
      <c r="H222" s="27" t="s">
        <v>124</v>
      </c>
      <c r="I222" s="27" t="s">
        <v>345</v>
      </c>
      <c r="J222" s="27" t="s">
        <v>218</v>
      </c>
      <c r="K222" s="27">
        <v>691</v>
      </c>
      <c r="L222" s="27">
        <v>591</v>
      </c>
      <c r="M222" s="27">
        <v>557</v>
      </c>
      <c r="N222" s="27">
        <v>34</v>
      </c>
      <c r="O222" s="27">
        <v>12</v>
      </c>
      <c r="P222" s="27">
        <v>33</v>
      </c>
      <c r="Q222" s="27" t="s">
        <v>54</v>
      </c>
      <c r="R222" s="27">
        <v>57</v>
      </c>
      <c r="S222" s="27">
        <v>60</v>
      </c>
      <c r="T222" s="29">
        <v>71.7</v>
      </c>
      <c r="U222" s="29">
        <v>1.86</v>
      </c>
      <c r="V222" s="29">
        <v>20.2</v>
      </c>
      <c r="W222" s="30">
        <v>15416.29</v>
      </c>
      <c r="X222" s="27">
        <v>7.89</v>
      </c>
      <c r="Y222" s="27" t="s">
        <v>55</v>
      </c>
      <c r="Z222" s="29">
        <v>29</v>
      </c>
      <c r="AA222" s="30">
        <v>25535.37</v>
      </c>
      <c r="AB222" s="29">
        <v>0.94247038917089698</v>
      </c>
      <c r="AC222" s="30">
        <v>19148.59</v>
      </c>
      <c r="AD222" s="30">
        <v>313.02111675126901</v>
      </c>
      <c r="AE222" s="27">
        <v>656.45</v>
      </c>
      <c r="AF222" s="29">
        <v>0.94972960621524904</v>
      </c>
      <c r="AG222" s="30">
        <v>6073.7588832487299</v>
      </c>
      <c r="AH222" s="31">
        <f t="shared" si="49"/>
        <v>0.85528219971056441</v>
      </c>
      <c r="AI222" s="31">
        <f t="shared" si="50"/>
        <v>5.7529610829103212E-2</v>
      </c>
      <c r="AJ222" s="31">
        <f t="shared" si="51"/>
        <v>2.030456852791878E-2</v>
      </c>
      <c r="AK222" s="31">
        <f t="shared" si="52"/>
        <v>0.94247038917089676</v>
      </c>
      <c r="AL222" s="29">
        <f t="shared" si="53"/>
        <v>0.55000000000000004</v>
      </c>
      <c r="AM222" s="29">
        <f t="shared" si="54"/>
        <v>623.45000000000005</v>
      </c>
      <c r="AN222" s="29">
        <f t="shared" si="55"/>
        <v>0.94795091827732769</v>
      </c>
      <c r="AO222" s="29">
        <f t="shared" si="56"/>
        <v>1.0526315789473684</v>
      </c>
      <c r="AP222" s="31">
        <f t="shared" si="57"/>
        <v>0.90055337236346134</v>
      </c>
      <c r="AQ222" s="31">
        <f t="shared" si="58"/>
        <v>0.94247038917089676</v>
      </c>
      <c r="AR222" s="31">
        <f t="shared" si="59"/>
        <v>0.80607814761215646</v>
      </c>
      <c r="AS222" s="29">
        <f t="shared" si="60"/>
        <v>32.400321489001691</v>
      </c>
      <c r="AT222" s="29">
        <f t="shared" si="61"/>
        <v>10.27708778891494</v>
      </c>
      <c r="AU222" s="27" t="str">
        <f t="shared" si="62"/>
        <v>Medium</v>
      </c>
      <c r="AV222" s="27" t="str">
        <f t="shared" si="63"/>
        <v>Warning</v>
      </c>
      <c r="AW222" s="27"/>
    </row>
    <row r="223" spans="1:49" x14ac:dyDescent="0.25">
      <c r="A223" s="27">
        <v>222</v>
      </c>
      <c r="B223" s="28">
        <v>46056</v>
      </c>
      <c r="C223" s="28" t="str">
        <f t="shared" si="48"/>
        <v>February</v>
      </c>
      <c r="D223" s="27" t="s">
        <v>47</v>
      </c>
      <c r="E223" s="27" t="s">
        <v>61</v>
      </c>
      <c r="F223" s="27" t="s">
        <v>95</v>
      </c>
      <c r="G223" s="27" t="s">
        <v>50</v>
      </c>
      <c r="H223" s="27" t="s">
        <v>79</v>
      </c>
      <c r="I223" s="27" t="s">
        <v>346</v>
      </c>
      <c r="J223" s="27" t="s">
        <v>140</v>
      </c>
      <c r="K223" s="27">
        <v>838</v>
      </c>
      <c r="L223" s="27">
        <v>807</v>
      </c>
      <c r="M223" s="27">
        <v>766</v>
      </c>
      <c r="N223" s="27">
        <v>41</v>
      </c>
      <c r="O223" s="27">
        <v>9</v>
      </c>
      <c r="P223" s="27">
        <v>13</v>
      </c>
      <c r="Q223" s="27" t="s">
        <v>102</v>
      </c>
      <c r="R223" s="27">
        <v>49</v>
      </c>
      <c r="S223" s="27">
        <v>52</v>
      </c>
      <c r="T223" s="29">
        <v>67.599999999999994</v>
      </c>
      <c r="U223" s="29">
        <v>2.21</v>
      </c>
      <c r="V223" s="29">
        <v>31.43</v>
      </c>
      <c r="W223" s="30">
        <v>16856.099999999999</v>
      </c>
      <c r="X223" s="27">
        <v>9.8699999999999992</v>
      </c>
      <c r="Y223" s="27" t="s">
        <v>110</v>
      </c>
      <c r="Z223" s="29">
        <v>32</v>
      </c>
      <c r="AA223" s="30">
        <v>29226.39</v>
      </c>
      <c r="AB223" s="29">
        <v>0.94919454770755896</v>
      </c>
      <c r="AC223" s="30">
        <v>21580.47</v>
      </c>
      <c r="AD223" s="30">
        <v>187.98624535316</v>
      </c>
      <c r="AE223" s="27">
        <v>684.36666666666702</v>
      </c>
      <c r="AF223" s="29">
        <v>0.98100433490818795</v>
      </c>
      <c r="AG223" s="30">
        <v>7457.9337546468396</v>
      </c>
      <c r="AH223" s="31">
        <f t="shared" si="49"/>
        <v>0.96300715990453456</v>
      </c>
      <c r="AI223" s="31">
        <f t="shared" si="50"/>
        <v>5.0805452292441142E-2</v>
      </c>
      <c r="AJ223" s="31">
        <f t="shared" si="51"/>
        <v>1.1152416356877323E-2</v>
      </c>
      <c r="AK223" s="31">
        <f t="shared" si="52"/>
        <v>0.94919454770755884</v>
      </c>
      <c r="AL223" s="29">
        <f t="shared" si="53"/>
        <v>0.21666666666666667</v>
      </c>
      <c r="AM223" s="29">
        <f t="shared" si="54"/>
        <v>671.36666666666702</v>
      </c>
      <c r="AN223" s="29">
        <f t="shared" si="55"/>
        <v>1.2020257186832823</v>
      </c>
      <c r="AO223" s="29">
        <f t="shared" si="56"/>
        <v>1.2244897959183674</v>
      </c>
      <c r="AP223" s="31">
        <f t="shared" si="57"/>
        <v>0.98165433692468052</v>
      </c>
      <c r="AQ223" s="31">
        <f t="shared" si="58"/>
        <v>0.94919454770755884</v>
      </c>
      <c r="AR223" s="31">
        <f t="shared" si="59"/>
        <v>0.91408114558472542</v>
      </c>
      <c r="AS223" s="29">
        <f t="shared" si="60"/>
        <v>26.741598513011155</v>
      </c>
      <c r="AT223" s="29">
        <f t="shared" si="61"/>
        <v>9.2415535993145479</v>
      </c>
      <c r="AU223" s="27" t="str">
        <f t="shared" si="62"/>
        <v>Medium</v>
      </c>
      <c r="AV223" s="27" t="str">
        <f t="shared" si="63"/>
        <v>Normal</v>
      </c>
      <c r="AW223" s="27"/>
    </row>
    <row r="224" spans="1:49" x14ac:dyDescent="0.25">
      <c r="A224" s="27">
        <v>223</v>
      </c>
      <c r="B224" s="28">
        <v>46046</v>
      </c>
      <c r="C224" s="28" t="str">
        <f t="shared" si="48"/>
        <v>January</v>
      </c>
      <c r="D224" s="27" t="s">
        <v>67</v>
      </c>
      <c r="E224" s="27" t="s">
        <v>48</v>
      </c>
      <c r="F224" s="27" t="s">
        <v>56</v>
      </c>
      <c r="G224" s="27" t="s">
        <v>50</v>
      </c>
      <c r="H224" s="27" t="s">
        <v>124</v>
      </c>
      <c r="I224" s="27" t="s">
        <v>347</v>
      </c>
      <c r="J224" s="27" t="s">
        <v>117</v>
      </c>
      <c r="K224" s="27">
        <v>640</v>
      </c>
      <c r="L224" s="27">
        <v>547</v>
      </c>
      <c r="M224" s="27">
        <v>513</v>
      </c>
      <c r="N224" s="27">
        <v>34</v>
      </c>
      <c r="O224" s="27">
        <v>10</v>
      </c>
      <c r="P224" s="27">
        <v>53</v>
      </c>
      <c r="Q224" s="27" t="s">
        <v>102</v>
      </c>
      <c r="R224" s="27">
        <v>57</v>
      </c>
      <c r="S224" s="27">
        <v>62</v>
      </c>
      <c r="T224" s="29">
        <v>76.900000000000006</v>
      </c>
      <c r="U224" s="29">
        <v>1.67</v>
      </c>
      <c r="V224" s="29">
        <v>18.39</v>
      </c>
      <c r="W224" s="30">
        <v>14774.34</v>
      </c>
      <c r="X224" s="27">
        <v>7.45</v>
      </c>
      <c r="Y224" s="27" t="s">
        <v>55</v>
      </c>
      <c r="Z224" s="29">
        <v>27</v>
      </c>
      <c r="AA224" s="30">
        <v>23977.37</v>
      </c>
      <c r="AB224" s="29">
        <v>0.93784277879341904</v>
      </c>
      <c r="AC224" s="30">
        <v>18292.349999999999</v>
      </c>
      <c r="AD224" s="30">
        <v>270.09762340036599</v>
      </c>
      <c r="AE224" s="27">
        <v>608</v>
      </c>
      <c r="AF224" s="29">
        <v>0.91282894736842102</v>
      </c>
      <c r="AG224" s="30">
        <v>5414.9223765996403</v>
      </c>
      <c r="AH224" s="31">
        <f t="shared" si="49"/>
        <v>0.85468750000000004</v>
      </c>
      <c r="AI224" s="31">
        <f t="shared" si="50"/>
        <v>6.2157221206581355E-2</v>
      </c>
      <c r="AJ224" s="31">
        <f t="shared" si="51"/>
        <v>1.8281535648994516E-2</v>
      </c>
      <c r="AK224" s="31">
        <f t="shared" si="52"/>
        <v>0.9378427787934186</v>
      </c>
      <c r="AL224" s="29">
        <f t="shared" si="53"/>
        <v>0.8833333333333333</v>
      </c>
      <c r="AM224" s="29">
        <f t="shared" si="54"/>
        <v>555</v>
      </c>
      <c r="AN224" s="29">
        <f t="shared" si="55"/>
        <v>0.98558558558558562</v>
      </c>
      <c r="AO224" s="29">
        <f t="shared" si="56"/>
        <v>1.0526315789473684</v>
      </c>
      <c r="AP224" s="31">
        <f t="shared" si="57"/>
        <v>0.9363063063063064</v>
      </c>
      <c r="AQ224" s="31">
        <f t="shared" si="58"/>
        <v>0.9378427787934186</v>
      </c>
      <c r="AR224" s="31">
        <f t="shared" si="59"/>
        <v>0.80156249999999996</v>
      </c>
      <c r="AS224" s="29">
        <f t="shared" si="60"/>
        <v>33.441224862888483</v>
      </c>
      <c r="AT224" s="29">
        <f t="shared" si="61"/>
        <v>9.8993096464344426</v>
      </c>
      <c r="AU224" s="27" t="str">
        <f t="shared" si="62"/>
        <v>Medium</v>
      </c>
      <c r="AV224" s="27" t="str">
        <f t="shared" si="63"/>
        <v>Warning</v>
      </c>
      <c r="AW224" s="27"/>
    </row>
    <row r="225" spans="1:49" x14ac:dyDescent="0.25">
      <c r="A225" s="27">
        <v>224</v>
      </c>
      <c r="B225" s="28">
        <v>46177</v>
      </c>
      <c r="C225" s="28" t="str">
        <f t="shared" si="48"/>
        <v>June</v>
      </c>
      <c r="D225" s="27" t="s">
        <v>47</v>
      </c>
      <c r="E225" s="27" t="s">
        <v>76</v>
      </c>
      <c r="F225" s="27" t="s">
        <v>77</v>
      </c>
      <c r="G225" s="27" t="s">
        <v>50</v>
      </c>
      <c r="H225" s="27" t="s">
        <v>57</v>
      </c>
      <c r="I225" s="27" t="s">
        <v>348</v>
      </c>
      <c r="J225" s="27" t="s">
        <v>53</v>
      </c>
      <c r="K225" s="27">
        <v>846</v>
      </c>
      <c r="L225" s="27">
        <v>832</v>
      </c>
      <c r="M225" s="27">
        <v>784</v>
      </c>
      <c r="N225" s="27">
        <v>48</v>
      </c>
      <c r="O225" s="27">
        <v>14</v>
      </c>
      <c r="P225" s="27">
        <v>34</v>
      </c>
      <c r="Q225" s="27" t="s">
        <v>104</v>
      </c>
      <c r="R225" s="27">
        <v>45</v>
      </c>
      <c r="S225" s="27">
        <v>47</v>
      </c>
      <c r="T225" s="29">
        <v>72.3</v>
      </c>
      <c r="U225" s="29">
        <v>2.4300000000000002</v>
      </c>
      <c r="V225" s="29">
        <v>25.48</v>
      </c>
      <c r="W225" s="30">
        <v>17453.189999999999</v>
      </c>
      <c r="X225" s="27">
        <v>8.48</v>
      </c>
      <c r="Y225" s="27" t="s">
        <v>71</v>
      </c>
      <c r="Z225" s="29">
        <v>5</v>
      </c>
      <c r="AA225" s="30">
        <v>27550.66</v>
      </c>
      <c r="AB225" s="29">
        <v>0.94230769230769196</v>
      </c>
      <c r="AC225" s="30">
        <v>21498.51</v>
      </c>
      <c r="AD225" s="30">
        <v>293.68348557692298</v>
      </c>
      <c r="AE225" s="27">
        <v>634.5</v>
      </c>
      <c r="AF225" s="29">
        <v>0.946414499605989</v>
      </c>
      <c r="AG225" s="30">
        <v>5758.4665144230803</v>
      </c>
      <c r="AH225" s="31">
        <f t="shared" si="49"/>
        <v>0.98345153664302598</v>
      </c>
      <c r="AI225" s="31">
        <f t="shared" si="50"/>
        <v>5.7692307692307696E-2</v>
      </c>
      <c r="AJ225" s="31">
        <f t="shared" si="51"/>
        <v>1.6826923076923076E-2</v>
      </c>
      <c r="AK225" s="31">
        <f t="shared" si="52"/>
        <v>0.94230769230769229</v>
      </c>
      <c r="AL225" s="29">
        <f t="shared" si="53"/>
        <v>0.56666666666666665</v>
      </c>
      <c r="AM225" s="29">
        <f t="shared" si="54"/>
        <v>600.5</v>
      </c>
      <c r="AN225" s="29">
        <f t="shared" si="55"/>
        <v>1.3855120732722732</v>
      </c>
      <c r="AO225" s="29">
        <f t="shared" si="56"/>
        <v>1.3333333333333333</v>
      </c>
      <c r="AP225" s="31">
        <f t="shared" si="57"/>
        <v>1.039134054954205</v>
      </c>
      <c r="AQ225" s="31">
        <f t="shared" si="58"/>
        <v>0.94230769230769229</v>
      </c>
      <c r="AR225" s="31">
        <f t="shared" si="59"/>
        <v>0.92671394799054385</v>
      </c>
      <c r="AS225" s="29">
        <f t="shared" si="60"/>
        <v>25.839555288461536</v>
      </c>
      <c r="AT225" s="29">
        <f t="shared" si="61"/>
        <v>6.9212337913738944</v>
      </c>
      <c r="AU225" s="27" t="str">
        <f t="shared" si="62"/>
        <v>High</v>
      </c>
      <c r="AV225" s="27" t="str">
        <f t="shared" si="63"/>
        <v>Normal</v>
      </c>
      <c r="AW225" s="27"/>
    </row>
    <row r="226" spans="1:49" x14ac:dyDescent="0.25">
      <c r="A226" s="27">
        <v>225</v>
      </c>
      <c r="B226" s="28">
        <v>46110</v>
      </c>
      <c r="C226" s="28" t="str">
        <f t="shared" si="48"/>
        <v>March</v>
      </c>
      <c r="D226" s="27" t="s">
        <v>47</v>
      </c>
      <c r="E226" s="27" t="s">
        <v>98</v>
      </c>
      <c r="F226" s="27" t="s">
        <v>126</v>
      </c>
      <c r="G226" s="27" t="s">
        <v>63</v>
      </c>
      <c r="H226" s="27" t="s">
        <v>57</v>
      </c>
      <c r="I226" s="27" t="s">
        <v>349</v>
      </c>
      <c r="J226" s="27" t="s">
        <v>186</v>
      </c>
      <c r="K226" s="27">
        <v>738</v>
      </c>
      <c r="L226" s="27">
        <v>697</v>
      </c>
      <c r="M226" s="27">
        <v>647</v>
      </c>
      <c r="N226" s="27">
        <v>50</v>
      </c>
      <c r="O226" s="27">
        <v>15</v>
      </c>
      <c r="P226" s="27">
        <v>28</v>
      </c>
      <c r="Q226" s="27" t="s">
        <v>54</v>
      </c>
      <c r="R226" s="27">
        <v>45</v>
      </c>
      <c r="S226" s="27">
        <v>49</v>
      </c>
      <c r="T226" s="29">
        <v>73</v>
      </c>
      <c r="U226" s="29">
        <v>2.41</v>
      </c>
      <c r="V226" s="29">
        <v>26.58</v>
      </c>
      <c r="W226" s="30">
        <v>14832.09</v>
      </c>
      <c r="X226" s="27">
        <v>9.57</v>
      </c>
      <c r="Y226" s="27" t="s">
        <v>110</v>
      </c>
      <c r="Z226" s="29">
        <v>9</v>
      </c>
      <c r="AA226" s="30">
        <v>22829.96</v>
      </c>
      <c r="AB226" s="29">
        <v>0.92826398852223801</v>
      </c>
      <c r="AC226" s="30">
        <v>19377.810000000001</v>
      </c>
      <c r="AD226" s="30">
        <v>319.19849354375901</v>
      </c>
      <c r="AE226" s="27">
        <v>553.5</v>
      </c>
      <c r="AF226" s="29">
        <v>0.94941282746160804</v>
      </c>
      <c r="AG226" s="30">
        <v>3132.9515064562402</v>
      </c>
      <c r="AH226" s="31">
        <f t="shared" si="49"/>
        <v>0.94444444444444442</v>
      </c>
      <c r="AI226" s="31">
        <f t="shared" si="50"/>
        <v>7.1736011477761832E-2</v>
      </c>
      <c r="AJ226" s="31">
        <f t="shared" si="51"/>
        <v>2.1520803443328552E-2</v>
      </c>
      <c r="AK226" s="31">
        <f t="shared" si="52"/>
        <v>0.92826398852223813</v>
      </c>
      <c r="AL226" s="29">
        <f t="shared" si="53"/>
        <v>0.46666666666666667</v>
      </c>
      <c r="AM226" s="29">
        <f t="shared" si="54"/>
        <v>525.5</v>
      </c>
      <c r="AN226" s="29">
        <f t="shared" si="55"/>
        <v>1.3263558515699334</v>
      </c>
      <c r="AO226" s="29">
        <f t="shared" si="56"/>
        <v>1.3333333333333333</v>
      </c>
      <c r="AP226" s="31">
        <f t="shared" si="57"/>
        <v>0.99476688867745011</v>
      </c>
      <c r="AQ226" s="31">
        <f t="shared" si="58"/>
        <v>0.92826398852223813</v>
      </c>
      <c r="AR226" s="31">
        <f t="shared" si="59"/>
        <v>0.87669376693766954</v>
      </c>
      <c r="AS226" s="29">
        <f t="shared" si="60"/>
        <v>27.801736011477765</v>
      </c>
      <c r="AT226" s="29">
        <f t="shared" si="61"/>
        <v>4.4949089045283213</v>
      </c>
      <c r="AU226" s="27" t="str">
        <f t="shared" si="62"/>
        <v>Medium</v>
      </c>
      <c r="AV226" s="27" t="str">
        <f t="shared" si="63"/>
        <v>Normal</v>
      </c>
      <c r="AW226" s="27"/>
    </row>
    <row r="227" spans="1:49" x14ac:dyDescent="0.25">
      <c r="A227" s="27">
        <v>226</v>
      </c>
      <c r="B227" s="28">
        <v>46023</v>
      </c>
      <c r="C227" s="28" t="str">
        <f t="shared" si="48"/>
        <v>January</v>
      </c>
      <c r="D227" s="27" t="s">
        <v>47</v>
      </c>
      <c r="E227" s="27" t="s">
        <v>98</v>
      </c>
      <c r="F227" s="27" t="s">
        <v>99</v>
      </c>
      <c r="G227" s="27" t="s">
        <v>63</v>
      </c>
      <c r="H227" s="27" t="s">
        <v>79</v>
      </c>
      <c r="I227" s="27" t="s">
        <v>350</v>
      </c>
      <c r="J227" s="27" t="s">
        <v>218</v>
      </c>
      <c r="K227" s="27">
        <v>720</v>
      </c>
      <c r="L227" s="27">
        <v>606</v>
      </c>
      <c r="M227" s="27">
        <v>576</v>
      </c>
      <c r="N227" s="27">
        <v>30</v>
      </c>
      <c r="O227" s="27">
        <v>12</v>
      </c>
      <c r="P227" s="27">
        <v>30</v>
      </c>
      <c r="Q227" s="27" t="s">
        <v>82</v>
      </c>
      <c r="R227" s="27">
        <v>49</v>
      </c>
      <c r="S227" s="27">
        <v>52</v>
      </c>
      <c r="T227" s="29">
        <v>82.2</v>
      </c>
      <c r="U227" s="29">
        <v>1.54</v>
      </c>
      <c r="V227" s="29">
        <v>26.52</v>
      </c>
      <c r="W227" s="30">
        <v>13510.37</v>
      </c>
      <c r="X227" s="27">
        <v>7.48</v>
      </c>
      <c r="Y227" s="27" t="s">
        <v>66</v>
      </c>
      <c r="Z227" s="29">
        <v>5</v>
      </c>
      <c r="AA227" s="30">
        <v>22350.94</v>
      </c>
      <c r="AB227" s="29">
        <v>0.95049504950495101</v>
      </c>
      <c r="AC227" s="30">
        <v>17115.05</v>
      </c>
      <c r="AD227" s="30">
        <v>267.53207920792102</v>
      </c>
      <c r="AE227" s="27">
        <v>588</v>
      </c>
      <c r="AF227" s="29">
        <v>0.94897959183673497</v>
      </c>
      <c r="AG227" s="30">
        <v>4968.3579207920802</v>
      </c>
      <c r="AH227" s="31">
        <f t="shared" si="49"/>
        <v>0.84166666666666667</v>
      </c>
      <c r="AI227" s="31">
        <f t="shared" si="50"/>
        <v>4.9504950495049507E-2</v>
      </c>
      <c r="AJ227" s="31">
        <f t="shared" si="51"/>
        <v>1.9801980198019802E-2</v>
      </c>
      <c r="AK227" s="31">
        <f t="shared" si="52"/>
        <v>0.95049504950495045</v>
      </c>
      <c r="AL227" s="29">
        <f t="shared" si="53"/>
        <v>0.5</v>
      </c>
      <c r="AM227" s="29">
        <f t="shared" si="54"/>
        <v>558</v>
      </c>
      <c r="AN227" s="29">
        <f t="shared" si="55"/>
        <v>1.086021505376344</v>
      </c>
      <c r="AO227" s="29">
        <f t="shared" si="56"/>
        <v>1.2244897959183674</v>
      </c>
      <c r="AP227" s="31">
        <f t="shared" si="57"/>
        <v>0.88691756272401423</v>
      </c>
      <c r="AQ227" s="31">
        <f t="shared" si="58"/>
        <v>0.95049504950495045</v>
      </c>
      <c r="AR227" s="31">
        <f t="shared" si="59"/>
        <v>0.8</v>
      </c>
      <c r="AS227" s="29">
        <f t="shared" si="60"/>
        <v>28.242656765676568</v>
      </c>
      <c r="AT227" s="29">
        <f t="shared" si="61"/>
        <v>8.1986104303499676</v>
      </c>
      <c r="AU227" s="27" t="str">
        <f t="shared" si="62"/>
        <v>Medium</v>
      </c>
      <c r="AV227" s="27" t="str">
        <f t="shared" si="63"/>
        <v>Warning</v>
      </c>
      <c r="AW227" s="27"/>
    </row>
    <row r="228" spans="1:49" x14ac:dyDescent="0.25">
      <c r="A228" s="27">
        <v>227</v>
      </c>
      <c r="B228" s="28">
        <v>46038</v>
      </c>
      <c r="C228" s="28" t="str">
        <f t="shared" si="48"/>
        <v>January</v>
      </c>
      <c r="D228" s="27" t="s">
        <v>67</v>
      </c>
      <c r="E228" s="27" t="s">
        <v>76</v>
      </c>
      <c r="F228" s="27" t="s">
        <v>77</v>
      </c>
      <c r="G228" s="27" t="s">
        <v>50</v>
      </c>
      <c r="H228" s="27" t="s">
        <v>124</v>
      </c>
      <c r="I228" s="27" t="s">
        <v>351</v>
      </c>
      <c r="J228" s="27" t="s">
        <v>170</v>
      </c>
      <c r="K228" s="27">
        <v>548</v>
      </c>
      <c r="L228" s="27">
        <v>568</v>
      </c>
      <c r="M228" s="27">
        <v>530</v>
      </c>
      <c r="N228" s="27">
        <v>38</v>
      </c>
      <c r="O228" s="27">
        <v>11</v>
      </c>
      <c r="P228" s="27">
        <v>13</v>
      </c>
      <c r="Q228" s="27" t="s">
        <v>91</v>
      </c>
      <c r="R228" s="27">
        <v>57</v>
      </c>
      <c r="S228" s="27">
        <v>58</v>
      </c>
      <c r="T228" s="29">
        <v>76.5</v>
      </c>
      <c r="U228" s="29">
        <v>1.67</v>
      </c>
      <c r="V228" s="29">
        <v>17.95</v>
      </c>
      <c r="W228" s="30">
        <v>16415.650000000001</v>
      </c>
      <c r="X228" s="27">
        <v>10.34</v>
      </c>
      <c r="Y228" s="27" t="s">
        <v>55</v>
      </c>
      <c r="Z228" s="29">
        <v>29</v>
      </c>
      <c r="AA228" s="30">
        <v>25107.68</v>
      </c>
      <c r="AB228" s="29">
        <v>0.93309859154929597</v>
      </c>
      <c r="AC228" s="30">
        <v>21230.2</v>
      </c>
      <c r="AD228" s="30">
        <v>317.90871478873203</v>
      </c>
      <c r="AE228" s="27">
        <v>520.6</v>
      </c>
      <c r="AF228" s="29">
        <v>0.975028812908183</v>
      </c>
      <c r="AG228" s="30">
        <v>3559.5712852112702</v>
      </c>
      <c r="AH228" s="31">
        <f t="shared" si="49"/>
        <v>1.0364963503649636</v>
      </c>
      <c r="AI228" s="31">
        <f t="shared" si="50"/>
        <v>6.6901408450704219E-2</v>
      </c>
      <c r="AJ228" s="31">
        <f t="shared" si="51"/>
        <v>1.936619718309859E-2</v>
      </c>
      <c r="AK228" s="31">
        <f t="shared" si="52"/>
        <v>0.93309859154929575</v>
      </c>
      <c r="AL228" s="29">
        <f t="shared" si="53"/>
        <v>0.21666666666666667</v>
      </c>
      <c r="AM228" s="29">
        <f t="shared" si="54"/>
        <v>507.6</v>
      </c>
      <c r="AN228" s="29">
        <f t="shared" si="55"/>
        <v>1.1189913317572893</v>
      </c>
      <c r="AO228" s="29">
        <f t="shared" si="56"/>
        <v>1.0526315789473684</v>
      </c>
      <c r="AP228" s="31">
        <f t="shared" si="57"/>
        <v>1.0630417651694248</v>
      </c>
      <c r="AQ228" s="31">
        <f t="shared" si="58"/>
        <v>0.93309859154929575</v>
      </c>
      <c r="AR228" s="31">
        <f t="shared" si="59"/>
        <v>0.96715328467153305</v>
      </c>
      <c r="AS228" s="29">
        <f t="shared" si="60"/>
        <v>37.377112676056342</v>
      </c>
      <c r="AT228" s="29">
        <f t="shared" si="61"/>
        <v>6.2668508542451935</v>
      </c>
      <c r="AU228" s="27" t="str">
        <f t="shared" si="62"/>
        <v>Low</v>
      </c>
      <c r="AV228" s="27" t="str">
        <f t="shared" si="63"/>
        <v>Normal</v>
      </c>
      <c r="AW228" s="27"/>
    </row>
    <row r="229" spans="1:49" x14ac:dyDescent="0.25">
      <c r="A229" s="27">
        <v>228</v>
      </c>
      <c r="B229" s="28">
        <v>46194</v>
      </c>
      <c r="C229" s="28" t="str">
        <f t="shared" si="48"/>
        <v>June</v>
      </c>
      <c r="D229" s="27" t="s">
        <v>47</v>
      </c>
      <c r="E229" s="27" t="s">
        <v>98</v>
      </c>
      <c r="F229" s="27" t="s">
        <v>105</v>
      </c>
      <c r="G229" s="27" t="s">
        <v>50</v>
      </c>
      <c r="H229" s="27" t="s">
        <v>51</v>
      </c>
      <c r="I229" s="27" t="s">
        <v>352</v>
      </c>
      <c r="J229" s="27" t="s">
        <v>186</v>
      </c>
      <c r="K229" s="27">
        <v>943</v>
      </c>
      <c r="L229" s="27">
        <v>976</v>
      </c>
      <c r="M229" s="27">
        <v>905</v>
      </c>
      <c r="N229" s="27">
        <v>71</v>
      </c>
      <c r="O229" s="27">
        <v>23</v>
      </c>
      <c r="P229" s="27">
        <v>31</v>
      </c>
      <c r="Q229" s="27" t="s">
        <v>82</v>
      </c>
      <c r="R229" s="27">
        <v>42</v>
      </c>
      <c r="S229" s="27">
        <v>45</v>
      </c>
      <c r="T229" s="29">
        <v>78</v>
      </c>
      <c r="U229" s="29">
        <v>1.66</v>
      </c>
      <c r="V229" s="29">
        <v>34.700000000000003</v>
      </c>
      <c r="W229" s="30">
        <v>18749.509999999998</v>
      </c>
      <c r="X229" s="27">
        <v>8.77</v>
      </c>
      <c r="Y229" s="27" t="s">
        <v>55</v>
      </c>
      <c r="Z229" s="29">
        <v>34</v>
      </c>
      <c r="AA229" s="30">
        <v>28829.279999999999</v>
      </c>
      <c r="AB229" s="29">
        <v>0.92725409836065598</v>
      </c>
      <c r="AC229" s="30">
        <v>23008.31</v>
      </c>
      <c r="AD229" s="30">
        <v>441.842961065574</v>
      </c>
      <c r="AE229" s="27">
        <v>660.1</v>
      </c>
      <c r="AF229" s="29">
        <v>0.953037418572943</v>
      </c>
      <c r="AG229" s="30">
        <v>5379.1270389344299</v>
      </c>
      <c r="AH229" s="31">
        <f t="shared" si="49"/>
        <v>1.0349946977730646</v>
      </c>
      <c r="AI229" s="31">
        <f t="shared" si="50"/>
        <v>7.274590163934426E-2</v>
      </c>
      <c r="AJ229" s="31">
        <f t="shared" si="51"/>
        <v>2.3565573770491802E-2</v>
      </c>
      <c r="AK229" s="31">
        <f t="shared" si="52"/>
        <v>0.92725409836065575</v>
      </c>
      <c r="AL229" s="29">
        <f t="shared" si="53"/>
        <v>0.51666666666666672</v>
      </c>
      <c r="AM229" s="29">
        <f t="shared" si="54"/>
        <v>629.1</v>
      </c>
      <c r="AN229" s="29">
        <f t="shared" si="55"/>
        <v>1.5514226673024956</v>
      </c>
      <c r="AO229" s="29">
        <f t="shared" si="56"/>
        <v>1.4285714285714286</v>
      </c>
      <c r="AP229" s="31">
        <f t="shared" si="57"/>
        <v>1.0859958671117469</v>
      </c>
      <c r="AQ229" s="31">
        <f t="shared" si="58"/>
        <v>0.92725409836065575</v>
      </c>
      <c r="AR229" s="31">
        <f t="shared" si="59"/>
        <v>0.95970307529162202</v>
      </c>
      <c r="AS229" s="29">
        <f t="shared" si="60"/>
        <v>23.574088114754101</v>
      </c>
      <c r="AT229" s="29">
        <f t="shared" si="61"/>
        <v>5.5114006546459322</v>
      </c>
      <c r="AU229" s="27" t="str">
        <f t="shared" si="62"/>
        <v>Medium</v>
      </c>
      <c r="AV229" s="27" t="str">
        <f t="shared" si="63"/>
        <v>Normal</v>
      </c>
      <c r="AW229" s="27"/>
    </row>
    <row r="230" spans="1:49" x14ac:dyDescent="0.25">
      <c r="A230" s="27">
        <v>229</v>
      </c>
      <c r="B230" s="28">
        <v>46024</v>
      </c>
      <c r="C230" s="28" t="str">
        <f t="shared" si="48"/>
        <v>January</v>
      </c>
      <c r="D230" s="27" t="s">
        <v>67</v>
      </c>
      <c r="E230" s="27" t="s">
        <v>98</v>
      </c>
      <c r="F230" s="27" t="s">
        <v>126</v>
      </c>
      <c r="G230" s="27" t="s">
        <v>63</v>
      </c>
      <c r="H230" s="27" t="s">
        <v>79</v>
      </c>
      <c r="I230" s="27" t="s">
        <v>353</v>
      </c>
      <c r="J230" s="27" t="s">
        <v>128</v>
      </c>
      <c r="K230" s="27">
        <v>807</v>
      </c>
      <c r="L230" s="27">
        <v>714</v>
      </c>
      <c r="M230" s="27">
        <v>657</v>
      </c>
      <c r="N230" s="27">
        <v>57</v>
      </c>
      <c r="O230" s="27">
        <v>14</v>
      </c>
      <c r="P230" s="27">
        <v>32</v>
      </c>
      <c r="Q230" s="27" t="s">
        <v>94</v>
      </c>
      <c r="R230" s="27">
        <v>49</v>
      </c>
      <c r="S230" s="27">
        <v>54</v>
      </c>
      <c r="T230" s="29">
        <v>75.900000000000006</v>
      </c>
      <c r="U230" s="29">
        <v>1.23</v>
      </c>
      <c r="V230" s="29">
        <v>26.58</v>
      </c>
      <c r="W230" s="30">
        <v>15915.48</v>
      </c>
      <c r="X230" s="27">
        <v>7.09</v>
      </c>
      <c r="Y230" s="27" t="s">
        <v>110</v>
      </c>
      <c r="Z230" s="29">
        <v>37</v>
      </c>
      <c r="AA230" s="30">
        <v>25211.27</v>
      </c>
      <c r="AB230" s="29">
        <v>0.92016806722689104</v>
      </c>
      <c r="AC230" s="30">
        <v>19345.2</v>
      </c>
      <c r="AD230" s="30">
        <v>312.06823529411798</v>
      </c>
      <c r="AE230" s="27">
        <v>659.05</v>
      </c>
      <c r="AF230" s="29">
        <v>0.95144526211971803</v>
      </c>
      <c r="AG230" s="30">
        <v>5554.0017647058803</v>
      </c>
      <c r="AH230" s="31">
        <f t="shared" si="49"/>
        <v>0.88475836431226762</v>
      </c>
      <c r="AI230" s="31">
        <f t="shared" si="50"/>
        <v>7.9831932773109238E-2</v>
      </c>
      <c r="AJ230" s="31">
        <f t="shared" si="51"/>
        <v>1.9607843137254902E-2</v>
      </c>
      <c r="AK230" s="31">
        <f t="shared" si="52"/>
        <v>0.92016806722689071</v>
      </c>
      <c r="AL230" s="29">
        <f t="shared" si="53"/>
        <v>0.53333333333333333</v>
      </c>
      <c r="AM230" s="29">
        <f t="shared" si="54"/>
        <v>627.04999999999995</v>
      </c>
      <c r="AN230" s="29">
        <f t="shared" si="55"/>
        <v>1.1386651782154533</v>
      </c>
      <c r="AO230" s="29">
        <f t="shared" si="56"/>
        <v>1.2244897959183674</v>
      </c>
      <c r="AP230" s="31">
        <f t="shared" si="57"/>
        <v>0.92990989554262016</v>
      </c>
      <c r="AQ230" s="31">
        <f t="shared" si="58"/>
        <v>0.92016806722689071</v>
      </c>
      <c r="AR230" s="31">
        <f t="shared" si="59"/>
        <v>0.81412639405204479</v>
      </c>
      <c r="AS230" s="29">
        <f t="shared" si="60"/>
        <v>27.094117647058823</v>
      </c>
      <c r="AT230" s="29">
        <f t="shared" si="61"/>
        <v>7.7787139561707006</v>
      </c>
      <c r="AU230" s="27" t="str">
        <f t="shared" si="62"/>
        <v>Medium</v>
      </c>
      <c r="AV230" s="27" t="str">
        <f t="shared" si="63"/>
        <v>Warning</v>
      </c>
      <c r="AW230" s="27"/>
    </row>
    <row r="231" spans="1:49" x14ac:dyDescent="0.25">
      <c r="A231" s="27">
        <v>230</v>
      </c>
      <c r="B231" s="28">
        <v>46194</v>
      </c>
      <c r="C231" s="28" t="str">
        <f t="shared" si="48"/>
        <v>June</v>
      </c>
      <c r="D231" s="27" t="s">
        <v>47</v>
      </c>
      <c r="E231" s="27" t="s">
        <v>76</v>
      </c>
      <c r="F231" s="27" t="s">
        <v>113</v>
      </c>
      <c r="G231" s="27" t="s">
        <v>50</v>
      </c>
      <c r="H231" s="27" t="s">
        <v>51</v>
      </c>
      <c r="I231" s="27" t="s">
        <v>354</v>
      </c>
      <c r="J231" s="27" t="s">
        <v>226</v>
      </c>
      <c r="K231" s="27">
        <v>725</v>
      </c>
      <c r="L231" s="27">
        <v>733</v>
      </c>
      <c r="M231" s="27">
        <v>696</v>
      </c>
      <c r="N231" s="27">
        <v>37</v>
      </c>
      <c r="O231" s="27">
        <v>9</v>
      </c>
      <c r="P231" s="27">
        <v>0</v>
      </c>
      <c r="Q231" s="27" t="s">
        <v>60</v>
      </c>
      <c r="R231" s="27">
        <v>42</v>
      </c>
      <c r="S231" s="27">
        <v>45</v>
      </c>
      <c r="T231" s="29">
        <v>60.8</v>
      </c>
      <c r="U231" s="29">
        <v>2.6</v>
      </c>
      <c r="V231" s="29">
        <v>20.86</v>
      </c>
      <c r="W231" s="30">
        <v>13966.38</v>
      </c>
      <c r="X231" s="27">
        <v>9.6999999999999993</v>
      </c>
      <c r="Y231" s="27" t="s">
        <v>66</v>
      </c>
      <c r="Z231" s="29">
        <v>20</v>
      </c>
      <c r="AA231" s="30">
        <v>21685.91</v>
      </c>
      <c r="AB231" s="29">
        <v>0.94952251023192402</v>
      </c>
      <c r="AC231" s="30">
        <v>18519.12</v>
      </c>
      <c r="AD231" s="30">
        <v>171.483519781719</v>
      </c>
      <c r="AE231" s="27">
        <v>507.5</v>
      </c>
      <c r="AF231" s="29">
        <v>1</v>
      </c>
      <c r="AG231" s="30">
        <v>2995.3064802182798</v>
      </c>
      <c r="AH231" s="31">
        <f t="shared" si="49"/>
        <v>1.0110344827586206</v>
      </c>
      <c r="AI231" s="31">
        <f t="shared" si="50"/>
        <v>5.0477489768076401E-2</v>
      </c>
      <c r="AJ231" s="31">
        <f t="shared" si="51"/>
        <v>1.227830832196453E-2</v>
      </c>
      <c r="AK231" s="31">
        <f t="shared" si="52"/>
        <v>0.94952251023192358</v>
      </c>
      <c r="AL231" s="29">
        <f t="shared" si="53"/>
        <v>0</v>
      </c>
      <c r="AM231" s="29">
        <f t="shared" si="54"/>
        <v>507.5</v>
      </c>
      <c r="AN231" s="29">
        <f t="shared" si="55"/>
        <v>1.4443349753694581</v>
      </c>
      <c r="AO231" s="29">
        <f t="shared" si="56"/>
        <v>1.4285714285714286</v>
      </c>
      <c r="AP231" s="31">
        <f t="shared" si="57"/>
        <v>1.0110344827586206</v>
      </c>
      <c r="AQ231" s="31">
        <f t="shared" si="58"/>
        <v>0.94952251023192358</v>
      </c>
      <c r="AR231" s="31">
        <f t="shared" si="59"/>
        <v>0.96</v>
      </c>
      <c r="AS231" s="29">
        <f t="shared" si="60"/>
        <v>25.264829467939972</v>
      </c>
      <c r="AT231" s="29">
        <f t="shared" si="61"/>
        <v>4.0863662758775989</v>
      </c>
      <c r="AU231" s="27" t="str">
        <f t="shared" si="62"/>
        <v>Low</v>
      </c>
      <c r="AV231" s="27" t="str">
        <f t="shared" si="63"/>
        <v>Normal</v>
      </c>
      <c r="AW231" s="27"/>
    </row>
    <row r="232" spans="1:49" x14ac:dyDescent="0.25">
      <c r="A232" s="27">
        <v>231</v>
      </c>
      <c r="B232" s="28">
        <v>46144</v>
      </c>
      <c r="C232" s="28" t="str">
        <f t="shared" si="48"/>
        <v>May</v>
      </c>
      <c r="D232" s="27" t="s">
        <v>47</v>
      </c>
      <c r="E232" s="27" t="s">
        <v>76</v>
      </c>
      <c r="F232" s="27" t="s">
        <v>77</v>
      </c>
      <c r="G232" s="27" t="s">
        <v>63</v>
      </c>
      <c r="H232" s="27" t="s">
        <v>79</v>
      </c>
      <c r="I232" s="27" t="s">
        <v>355</v>
      </c>
      <c r="J232" s="27" t="s">
        <v>164</v>
      </c>
      <c r="K232" s="27">
        <v>766</v>
      </c>
      <c r="L232" s="27">
        <v>698</v>
      </c>
      <c r="M232" s="27">
        <v>652</v>
      </c>
      <c r="N232" s="27">
        <v>46</v>
      </c>
      <c r="O232" s="27">
        <v>18</v>
      </c>
      <c r="P232" s="27">
        <v>27</v>
      </c>
      <c r="Q232" s="27" t="s">
        <v>82</v>
      </c>
      <c r="R232" s="27">
        <v>49</v>
      </c>
      <c r="S232" s="27">
        <v>49</v>
      </c>
      <c r="T232" s="29">
        <v>69.3</v>
      </c>
      <c r="U232" s="29">
        <v>2.06</v>
      </c>
      <c r="V232" s="29">
        <v>27.91</v>
      </c>
      <c r="W232" s="30">
        <v>15116.02</v>
      </c>
      <c r="X232" s="27">
        <v>7.09</v>
      </c>
      <c r="Y232" s="27" t="s">
        <v>110</v>
      </c>
      <c r="Z232" s="29">
        <v>27</v>
      </c>
      <c r="AA232" s="30">
        <v>24383.84</v>
      </c>
      <c r="AB232" s="29">
        <v>0.93409742120343797</v>
      </c>
      <c r="AC232" s="30">
        <v>18557.71</v>
      </c>
      <c r="AD232" s="30">
        <v>389.81140401146098</v>
      </c>
      <c r="AE232" s="27">
        <v>625.56666666666695</v>
      </c>
      <c r="AF232" s="29">
        <v>0.95683913251984898</v>
      </c>
      <c r="AG232" s="30">
        <v>5436.3185959885404</v>
      </c>
      <c r="AH232" s="31">
        <f t="shared" si="49"/>
        <v>0.91122715404699739</v>
      </c>
      <c r="AI232" s="31">
        <f t="shared" si="50"/>
        <v>6.5902578796561598E-2</v>
      </c>
      <c r="AJ232" s="31">
        <f t="shared" si="51"/>
        <v>2.5787965616045846E-2</v>
      </c>
      <c r="AK232" s="31">
        <f t="shared" si="52"/>
        <v>0.93409742120343842</v>
      </c>
      <c r="AL232" s="29">
        <f t="shared" si="53"/>
        <v>0.45</v>
      </c>
      <c r="AM232" s="29">
        <f t="shared" si="54"/>
        <v>598.56666666666695</v>
      </c>
      <c r="AN232" s="29">
        <f t="shared" si="55"/>
        <v>1.1661190622041537</v>
      </c>
      <c r="AO232" s="29">
        <f t="shared" si="56"/>
        <v>1.2244897959183674</v>
      </c>
      <c r="AP232" s="31">
        <f t="shared" si="57"/>
        <v>0.95233056746672551</v>
      </c>
      <c r="AQ232" s="31">
        <f t="shared" si="58"/>
        <v>0.93409742120343842</v>
      </c>
      <c r="AR232" s="31">
        <f t="shared" si="59"/>
        <v>0.85117493472584838</v>
      </c>
      <c r="AS232" s="29">
        <f t="shared" si="60"/>
        <v>26.586977077363894</v>
      </c>
      <c r="AT232" s="29">
        <f t="shared" si="61"/>
        <v>7.7884220572901723</v>
      </c>
      <c r="AU232" s="27" t="str">
        <f t="shared" si="62"/>
        <v>Medium</v>
      </c>
      <c r="AV232" s="27" t="str">
        <f t="shared" si="63"/>
        <v>Normal</v>
      </c>
      <c r="AW232" s="27"/>
    </row>
    <row r="233" spans="1:49" x14ac:dyDescent="0.25">
      <c r="A233" s="27">
        <v>232</v>
      </c>
      <c r="B233" s="28">
        <v>46069</v>
      </c>
      <c r="C233" s="28" t="str">
        <f t="shared" si="48"/>
        <v>February</v>
      </c>
      <c r="D233" s="27" t="s">
        <v>47</v>
      </c>
      <c r="E233" s="27" t="s">
        <v>129</v>
      </c>
      <c r="F233" s="27" t="s">
        <v>167</v>
      </c>
      <c r="G233" s="27" t="s">
        <v>78</v>
      </c>
      <c r="H233" s="27" t="s">
        <v>124</v>
      </c>
      <c r="I233" s="27" t="s">
        <v>356</v>
      </c>
      <c r="J233" s="27" t="s">
        <v>101</v>
      </c>
      <c r="K233" s="27">
        <v>734</v>
      </c>
      <c r="L233" s="27">
        <v>551</v>
      </c>
      <c r="M233" s="27">
        <v>498</v>
      </c>
      <c r="N233" s="27">
        <v>53</v>
      </c>
      <c r="O233" s="27">
        <v>14</v>
      </c>
      <c r="P233" s="27">
        <v>61</v>
      </c>
      <c r="Q233" s="27" t="s">
        <v>54</v>
      </c>
      <c r="R233" s="27">
        <v>57</v>
      </c>
      <c r="S233" s="27">
        <v>60</v>
      </c>
      <c r="T233" s="29">
        <v>69.8</v>
      </c>
      <c r="U233" s="29">
        <v>1.89</v>
      </c>
      <c r="V233" s="29">
        <v>24.01</v>
      </c>
      <c r="W233" s="30">
        <v>14454.26</v>
      </c>
      <c r="X233" s="27">
        <v>5.82</v>
      </c>
      <c r="Y233" s="27" t="s">
        <v>110</v>
      </c>
      <c r="Z233" s="29">
        <v>43</v>
      </c>
      <c r="AA233" s="30">
        <v>22634.98</v>
      </c>
      <c r="AB233" s="29">
        <v>0.90381125226860304</v>
      </c>
      <c r="AC233" s="30">
        <v>17289.349999999999</v>
      </c>
      <c r="AD233" s="30">
        <v>367.25887477314001</v>
      </c>
      <c r="AE233" s="27">
        <v>697.3</v>
      </c>
      <c r="AF233" s="29">
        <v>0.91251971891581796</v>
      </c>
      <c r="AG233" s="30">
        <v>4978.3711252268604</v>
      </c>
      <c r="AH233" s="31">
        <f t="shared" si="49"/>
        <v>0.75068119891008178</v>
      </c>
      <c r="AI233" s="31">
        <f t="shared" si="50"/>
        <v>9.6188747731397461E-2</v>
      </c>
      <c r="AJ233" s="31">
        <f t="shared" si="51"/>
        <v>2.5408348457350273E-2</v>
      </c>
      <c r="AK233" s="31">
        <f t="shared" si="52"/>
        <v>0.90381125226860259</v>
      </c>
      <c r="AL233" s="29">
        <f t="shared" si="53"/>
        <v>1.0166666666666666</v>
      </c>
      <c r="AM233" s="29">
        <f t="shared" si="54"/>
        <v>636.29999999999995</v>
      </c>
      <c r="AN233" s="29">
        <f t="shared" si="55"/>
        <v>0.86594373723086604</v>
      </c>
      <c r="AO233" s="29">
        <f t="shared" si="56"/>
        <v>1.0526315789473684</v>
      </c>
      <c r="AP233" s="31">
        <f t="shared" si="57"/>
        <v>0.82264655036932277</v>
      </c>
      <c r="AQ233" s="31">
        <f t="shared" si="58"/>
        <v>0.90381125226860259</v>
      </c>
      <c r="AR233" s="31">
        <f t="shared" si="59"/>
        <v>0.67847411444141692</v>
      </c>
      <c r="AS233" s="29">
        <f t="shared" si="60"/>
        <v>31.378130671506348</v>
      </c>
      <c r="AT233" s="29">
        <f t="shared" si="61"/>
        <v>9.0351563071267886</v>
      </c>
      <c r="AU233" s="27" t="str">
        <f t="shared" si="62"/>
        <v>High</v>
      </c>
      <c r="AV233" s="27" t="str">
        <f t="shared" si="63"/>
        <v>Critical</v>
      </c>
      <c r="AW233" s="27"/>
    </row>
    <row r="234" spans="1:49" x14ac:dyDescent="0.25">
      <c r="A234" s="27">
        <v>233</v>
      </c>
      <c r="B234" s="28">
        <v>46159</v>
      </c>
      <c r="C234" s="28" t="str">
        <f t="shared" si="48"/>
        <v>May</v>
      </c>
      <c r="D234" s="27" t="s">
        <v>47</v>
      </c>
      <c r="E234" s="27" t="s">
        <v>61</v>
      </c>
      <c r="F234" s="27" t="s">
        <v>95</v>
      </c>
      <c r="G234" s="27" t="s">
        <v>63</v>
      </c>
      <c r="H234" s="27" t="s">
        <v>124</v>
      </c>
      <c r="I234" s="27" t="s">
        <v>357</v>
      </c>
      <c r="J234" s="27" t="s">
        <v>101</v>
      </c>
      <c r="K234" s="27">
        <v>655</v>
      </c>
      <c r="L234" s="27">
        <v>713</v>
      </c>
      <c r="M234" s="27">
        <v>645</v>
      </c>
      <c r="N234" s="27">
        <v>68</v>
      </c>
      <c r="O234" s="27">
        <v>27</v>
      </c>
      <c r="P234" s="27">
        <v>39</v>
      </c>
      <c r="Q234" s="27" t="s">
        <v>104</v>
      </c>
      <c r="R234" s="27">
        <v>57</v>
      </c>
      <c r="S234" s="27">
        <v>60</v>
      </c>
      <c r="T234" s="29">
        <v>75.400000000000006</v>
      </c>
      <c r="U234" s="29">
        <v>4.1100000000000003</v>
      </c>
      <c r="V234" s="29">
        <v>29.81</v>
      </c>
      <c r="W234" s="30">
        <v>19059.48</v>
      </c>
      <c r="X234" s="27">
        <v>8.19</v>
      </c>
      <c r="Y234" s="27" t="s">
        <v>71</v>
      </c>
      <c r="Z234" s="29">
        <v>51</v>
      </c>
      <c r="AA234" s="30">
        <v>29476.23</v>
      </c>
      <c r="AB234" s="29">
        <v>0.90462833099579198</v>
      </c>
      <c r="AC234" s="30">
        <v>23013.27</v>
      </c>
      <c r="AD234" s="30">
        <v>721.74748948106605</v>
      </c>
      <c r="AE234" s="27">
        <v>622.25</v>
      </c>
      <c r="AF234" s="29">
        <v>0.93732422659702697</v>
      </c>
      <c r="AG234" s="30">
        <v>5741.2125105189298</v>
      </c>
      <c r="AH234" s="31">
        <f t="shared" si="49"/>
        <v>1.0885496183206107</v>
      </c>
      <c r="AI234" s="31">
        <f t="shared" si="50"/>
        <v>9.5371669004207571E-2</v>
      </c>
      <c r="AJ234" s="31">
        <f t="shared" si="51"/>
        <v>3.7868162692847124E-2</v>
      </c>
      <c r="AK234" s="31">
        <f t="shared" si="52"/>
        <v>0.90462833099579243</v>
      </c>
      <c r="AL234" s="29">
        <f t="shared" si="53"/>
        <v>0.65</v>
      </c>
      <c r="AM234" s="29">
        <f t="shared" si="54"/>
        <v>583.25</v>
      </c>
      <c r="AN234" s="29">
        <f t="shared" si="55"/>
        <v>1.2224603514787826</v>
      </c>
      <c r="AO234" s="29">
        <f t="shared" si="56"/>
        <v>1.0526315789473684</v>
      </c>
      <c r="AP234" s="31">
        <f t="shared" si="57"/>
        <v>1.1613373339048436</v>
      </c>
      <c r="AQ234" s="31">
        <f t="shared" si="58"/>
        <v>0.90462833099579243</v>
      </c>
      <c r="AR234" s="31">
        <f t="shared" si="59"/>
        <v>0.98473282442748089</v>
      </c>
      <c r="AS234" s="29">
        <f t="shared" si="60"/>
        <v>32.276676016830294</v>
      </c>
      <c r="AT234" s="29">
        <f t="shared" si="61"/>
        <v>8.0521914593533381</v>
      </c>
      <c r="AU234" s="27" t="str">
        <f t="shared" si="62"/>
        <v>High</v>
      </c>
      <c r="AV234" s="27" t="str">
        <f t="shared" si="63"/>
        <v>Warning</v>
      </c>
      <c r="AW234" s="27"/>
    </row>
    <row r="235" spans="1:49" x14ac:dyDescent="0.25">
      <c r="A235" s="27">
        <v>234</v>
      </c>
      <c r="B235" s="28">
        <v>46195</v>
      </c>
      <c r="C235" s="28" t="str">
        <f t="shared" si="48"/>
        <v>June</v>
      </c>
      <c r="D235" s="27" t="s">
        <v>47</v>
      </c>
      <c r="E235" s="27" t="s">
        <v>76</v>
      </c>
      <c r="F235" s="27" t="s">
        <v>77</v>
      </c>
      <c r="G235" s="27" t="s">
        <v>63</v>
      </c>
      <c r="H235" s="27" t="s">
        <v>57</v>
      </c>
      <c r="I235" s="27" t="s">
        <v>358</v>
      </c>
      <c r="J235" s="27" t="s">
        <v>134</v>
      </c>
      <c r="K235" s="27">
        <v>840</v>
      </c>
      <c r="L235" s="27">
        <v>772</v>
      </c>
      <c r="M235" s="27">
        <v>726</v>
      </c>
      <c r="N235" s="27">
        <v>46</v>
      </c>
      <c r="O235" s="27">
        <v>11</v>
      </c>
      <c r="P235" s="27">
        <v>8</v>
      </c>
      <c r="Q235" s="27" t="s">
        <v>54</v>
      </c>
      <c r="R235" s="27">
        <v>45</v>
      </c>
      <c r="S235" s="27">
        <v>44</v>
      </c>
      <c r="T235" s="29">
        <v>76.3</v>
      </c>
      <c r="U235" s="29">
        <v>2.39</v>
      </c>
      <c r="V235" s="29">
        <v>23.84</v>
      </c>
      <c r="W235" s="30">
        <v>15051.05</v>
      </c>
      <c r="X235" s="27">
        <v>9.4600000000000009</v>
      </c>
      <c r="Y235" s="27" t="s">
        <v>110</v>
      </c>
      <c r="Z235" s="29">
        <v>30</v>
      </c>
      <c r="AA235" s="30">
        <v>25921.439999999999</v>
      </c>
      <c r="AB235" s="29">
        <v>0.94041450777202096</v>
      </c>
      <c r="AC235" s="30">
        <v>19522.61</v>
      </c>
      <c r="AD235" s="30">
        <v>214.45796632124399</v>
      </c>
      <c r="AE235" s="27">
        <v>630</v>
      </c>
      <c r="AF235" s="29">
        <v>0.98730158730158701</v>
      </c>
      <c r="AG235" s="30">
        <v>6184.3720336787601</v>
      </c>
      <c r="AH235" s="31">
        <f t="shared" si="49"/>
        <v>0.919047619047619</v>
      </c>
      <c r="AI235" s="31">
        <f t="shared" si="50"/>
        <v>5.9585492227979271E-2</v>
      </c>
      <c r="AJ235" s="31">
        <f t="shared" si="51"/>
        <v>1.4248704663212436E-2</v>
      </c>
      <c r="AK235" s="31">
        <f t="shared" si="52"/>
        <v>0.94041450777202074</v>
      </c>
      <c r="AL235" s="29">
        <f t="shared" si="53"/>
        <v>0.13333333333333333</v>
      </c>
      <c r="AM235" s="29">
        <f t="shared" si="54"/>
        <v>622</v>
      </c>
      <c r="AN235" s="29">
        <f t="shared" si="55"/>
        <v>1.2411575562700965</v>
      </c>
      <c r="AO235" s="29">
        <f t="shared" si="56"/>
        <v>1.3333333333333333</v>
      </c>
      <c r="AP235" s="31">
        <f t="shared" si="57"/>
        <v>0.93086816720257237</v>
      </c>
      <c r="AQ235" s="31">
        <f t="shared" si="58"/>
        <v>0.94041450777202074</v>
      </c>
      <c r="AR235" s="31">
        <f t="shared" si="59"/>
        <v>0.86428571428571399</v>
      </c>
      <c r="AS235" s="29">
        <f t="shared" si="60"/>
        <v>25.288354922279794</v>
      </c>
      <c r="AT235" s="29">
        <f t="shared" si="61"/>
        <v>8.0108446032108294</v>
      </c>
      <c r="AU235" s="27" t="str">
        <f t="shared" si="62"/>
        <v>Medium</v>
      </c>
      <c r="AV235" s="27" t="str">
        <f t="shared" si="63"/>
        <v>Normal</v>
      </c>
      <c r="AW235" s="27"/>
    </row>
    <row r="236" spans="1:49" x14ac:dyDescent="0.25">
      <c r="A236" s="27">
        <v>235</v>
      </c>
      <c r="B236" s="28">
        <v>46176</v>
      </c>
      <c r="C236" s="28" t="str">
        <f t="shared" si="48"/>
        <v>June</v>
      </c>
      <c r="D236" s="27" t="s">
        <v>47</v>
      </c>
      <c r="E236" s="27" t="s">
        <v>48</v>
      </c>
      <c r="F236" s="27" t="s">
        <v>72</v>
      </c>
      <c r="G236" s="27" t="s">
        <v>78</v>
      </c>
      <c r="H236" s="27" t="s">
        <v>51</v>
      </c>
      <c r="I236" s="27" t="s">
        <v>359</v>
      </c>
      <c r="J236" s="27" t="s">
        <v>134</v>
      </c>
      <c r="K236" s="27">
        <v>776</v>
      </c>
      <c r="L236" s="27">
        <v>708</v>
      </c>
      <c r="M236" s="27">
        <v>674</v>
      </c>
      <c r="N236" s="27">
        <v>34</v>
      </c>
      <c r="O236" s="27">
        <v>9</v>
      </c>
      <c r="P236" s="27">
        <v>37</v>
      </c>
      <c r="Q236" s="27" t="s">
        <v>97</v>
      </c>
      <c r="R236" s="27">
        <v>42</v>
      </c>
      <c r="S236" s="27">
        <v>45</v>
      </c>
      <c r="T236" s="29">
        <v>70.099999999999994</v>
      </c>
      <c r="U236" s="29">
        <v>1.1599999999999999</v>
      </c>
      <c r="V236" s="29">
        <v>22.72</v>
      </c>
      <c r="W236" s="30">
        <v>13533.54</v>
      </c>
      <c r="X236" s="27">
        <v>7.72</v>
      </c>
      <c r="Y236" s="27" t="s">
        <v>55</v>
      </c>
      <c r="Z236" s="29">
        <v>23</v>
      </c>
      <c r="AA236" s="30">
        <v>20998.68</v>
      </c>
      <c r="AB236" s="29">
        <v>0.951977401129944</v>
      </c>
      <c r="AC236" s="30">
        <v>17212.02</v>
      </c>
      <c r="AD236" s="30">
        <v>172.03652542372899</v>
      </c>
      <c r="AE236" s="27">
        <v>543.20000000000005</v>
      </c>
      <c r="AF236" s="29">
        <v>0.93188512518409405</v>
      </c>
      <c r="AG236" s="30">
        <v>3614.6234745762699</v>
      </c>
      <c r="AH236" s="31">
        <f t="shared" si="49"/>
        <v>0.91237113402061853</v>
      </c>
      <c r="AI236" s="31">
        <f t="shared" si="50"/>
        <v>4.8022598870056499E-2</v>
      </c>
      <c r="AJ236" s="31">
        <f t="shared" si="51"/>
        <v>1.2711864406779662E-2</v>
      </c>
      <c r="AK236" s="31">
        <f t="shared" si="52"/>
        <v>0.95197740112994356</v>
      </c>
      <c r="AL236" s="29">
        <f t="shared" si="53"/>
        <v>0.6166666666666667</v>
      </c>
      <c r="AM236" s="29">
        <f t="shared" si="54"/>
        <v>506.20000000000005</v>
      </c>
      <c r="AN236" s="29">
        <f t="shared" si="55"/>
        <v>1.3986566574476491</v>
      </c>
      <c r="AO236" s="29">
        <f t="shared" si="56"/>
        <v>1.4285714285714286</v>
      </c>
      <c r="AP236" s="31">
        <f t="shared" si="57"/>
        <v>0.97905966021335433</v>
      </c>
      <c r="AQ236" s="31">
        <f t="shared" si="58"/>
        <v>0.95197740112994356</v>
      </c>
      <c r="AR236" s="31">
        <f t="shared" si="59"/>
        <v>0.86855670103092764</v>
      </c>
      <c r="AS236" s="29">
        <f t="shared" si="60"/>
        <v>24.310762711864406</v>
      </c>
      <c r="AT236" s="29">
        <f t="shared" si="61"/>
        <v>5.1054003878195902</v>
      </c>
      <c r="AU236" s="27" t="str">
        <f t="shared" si="62"/>
        <v>Low</v>
      </c>
      <c r="AV236" s="27" t="str">
        <f t="shared" si="63"/>
        <v>Normal</v>
      </c>
      <c r="AW236" s="27"/>
    </row>
    <row r="237" spans="1:49" x14ac:dyDescent="0.25">
      <c r="A237" s="27">
        <v>236</v>
      </c>
      <c r="B237" s="28">
        <v>46090</v>
      </c>
      <c r="C237" s="28" t="str">
        <f t="shared" si="48"/>
        <v>March</v>
      </c>
      <c r="D237" s="27" t="s">
        <v>47</v>
      </c>
      <c r="E237" s="27" t="s">
        <v>61</v>
      </c>
      <c r="F237" s="27" t="s">
        <v>88</v>
      </c>
      <c r="G237" s="27" t="s">
        <v>63</v>
      </c>
      <c r="H237" s="27" t="s">
        <v>68</v>
      </c>
      <c r="I237" s="27" t="s">
        <v>360</v>
      </c>
      <c r="J237" s="27" t="s">
        <v>191</v>
      </c>
      <c r="K237" s="27">
        <v>495</v>
      </c>
      <c r="L237" s="27">
        <v>512</v>
      </c>
      <c r="M237" s="27">
        <v>493</v>
      </c>
      <c r="N237" s="27">
        <v>19</v>
      </c>
      <c r="O237" s="27">
        <v>4</v>
      </c>
      <c r="P237" s="27">
        <v>38</v>
      </c>
      <c r="Q237" s="27" t="s">
        <v>104</v>
      </c>
      <c r="R237" s="27">
        <v>64</v>
      </c>
      <c r="S237" s="27">
        <v>67</v>
      </c>
      <c r="T237" s="29">
        <v>76.2</v>
      </c>
      <c r="U237" s="29">
        <v>2.34</v>
      </c>
      <c r="V237" s="29">
        <v>17.239999999999998</v>
      </c>
      <c r="W237" s="30">
        <v>16400.04</v>
      </c>
      <c r="X237" s="27">
        <v>7.51</v>
      </c>
      <c r="Y237" s="27" t="s">
        <v>66</v>
      </c>
      <c r="Z237" s="29">
        <v>35</v>
      </c>
      <c r="AA237" s="30">
        <v>25871.13</v>
      </c>
      <c r="AB237" s="29">
        <v>0.962890625</v>
      </c>
      <c r="AC237" s="30">
        <v>19934.7</v>
      </c>
      <c r="AD237" s="30">
        <v>128.12531250000001</v>
      </c>
      <c r="AE237" s="27">
        <v>528</v>
      </c>
      <c r="AF237" s="29">
        <v>0.92803030303030298</v>
      </c>
      <c r="AG237" s="30">
        <v>5808.3046875</v>
      </c>
      <c r="AH237" s="31">
        <f t="shared" si="49"/>
        <v>1.0343434343434343</v>
      </c>
      <c r="AI237" s="31">
        <f t="shared" si="50"/>
        <v>3.7109375E-2</v>
      </c>
      <c r="AJ237" s="31">
        <f t="shared" si="51"/>
        <v>7.8125E-3</v>
      </c>
      <c r="AK237" s="31">
        <f t="shared" si="52"/>
        <v>0.962890625</v>
      </c>
      <c r="AL237" s="29">
        <f t="shared" si="53"/>
        <v>0.6333333333333333</v>
      </c>
      <c r="AM237" s="29">
        <f t="shared" si="54"/>
        <v>490</v>
      </c>
      <c r="AN237" s="29">
        <f t="shared" si="55"/>
        <v>1.0448979591836736</v>
      </c>
      <c r="AO237" s="29">
        <f t="shared" si="56"/>
        <v>0.9375</v>
      </c>
      <c r="AP237" s="31">
        <f t="shared" si="57"/>
        <v>1.1145578231292519</v>
      </c>
      <c r="AQ237" s="31">
        <f t="shared" si="58"/>
        <v>0.962890625</v>
      </c>
      <c r="AR237" s="31">
        <f t="shared" si="59"/>
        <v>0.99595959595959616</v>
      </c>
      <c r="AS237" s="29">
        <f t="shared" si="60"/>
        <v>38.934960937500001</v>
      </c>
      <c r="AT237" s="29">
        <f t="shared" si="61"/>
        <v>11.344345092773438</v>
      </c>
      <c r="AU237" s="27" t="str">
        <f t="shared" si="62"/>
        <v>Medium</v>
      </c>
      <c r="AV237" s="27" t="str">
        <f t="shared" si="63"/>
        <v>Normal</v>
      </c>
      <c r="AW237" s="27"/>
    </row>
    <row r="238" spans="1:49" x14ac:dyDescent="0.25">
      <c r="A238" s="27">
        <v>237</v>
      </c>
      <c r="B238" s="28">
        <v>46023</v>
      </c>
      <c r="C238" s="28" t="str">
        <f t="shared" si="48"/>
        <v>January</v>
      </c>
      <c r="D238" s="27" t="s">
        <v>47</v>
      </c>
      <c r="E238" s="27" t="s">
        <v>61</v>
      </c>
      <c r="F238" s="27" t="s">
        <v>62</v>
      </c>
      <c r="G238" s="27" t="s">
        <v>50</v>
      </c>
      <c r="H238" s="27" t="s">
        <v>79</v>
      </c>
      <c r="I238" s="27" t="s">
        <v>361</v>
      </c>
      <c r="J238" s="27" t="s">
        <v>191</v>
      </c>
      <c r="K238" s="27">
        <v>621</v>
      </c>
      <c r="L238" s="27">
        <v>658</v>
      </c>
      <c r="M238" s="27">
        <v>623</v>
      </c>
      <c r="N238" s="27">
        <v>35</v>
      </c>
      <c r="O238" s="27">
        <v>13</v>
      </c>
      <c r="P238" s="27">
        <v>18</v>
      </c>
      <c r="Q238" s="27" t="s">
        <v>104</v>
      </c>
      <c r="R238" s="27">
        <v>49</v>
      </c>
      <c r="S238" s="27">
        <v>53</v>
      </c>
      <c r="T238" s="29">
        <v>63.4</v>
      </c>
      <c r="U238" s="29">
        <v>2.02</v>
      </c>
      <c r="V238" s="29">
        <v>23.59</v>
      </c>
      <c r="W238" s="30">
        <v>15231.72</v>
      </c>
      <c r="X238" s="27">
        <v>8.8800000000000008</v>
      </c>
      <c r="Y238" s="27" t="s">
        <v>110</v>
      </c>
      <c r="Z238" s="29">
        <v>36</v>
      </c>
      <c r="AA238" s="30">
        <v>23532.83</v>
      </c>
      <c r="AB238" s="29">
        <v>0.94680851063829796</v>
      </c>
      <c r="AC238" s="30">
        <v>19440.03</v>
      </c>
      <c r="AD238" s="30">
        <v>300.93063829787201</v>
      </c>
      <c r="AE238" s="27">
        <v>507.15</v>
      </c>
      <c r="AF238" s="29">
        <v>0.96450754214729395</v>
      </c>
      <c r="AG238" s="30">
        <v>3791.8693617021299</v>
      </c>
      <c r="AH238" s="31">
        <f t="shared" si="49"/>
        <v>1.0595813204508857</v>
      </c>
      <c r="AI238" s="31">
        <f t="shared" si="50"/>
        <v>5.3191489361702128E-2</v>
      </c>
      <c r="AJ238" s="31">
        <f t="shared" si="51"/>
        <v>1.9756838905775075E-2</v>
      </c>
      <c r="AK238" s="31">
        <f t="shared" si="52"/>
        <v>0.94680851063829785</v>
      </c>
      <c r="AL238" s="29">
        <f t="shared" si="53"/>
        <v>0.3</v>
      </c>
      <c r="AM238" s="29">
        <f t="shared" si="54"/>
        <v>489.15</v>
      </c>
      <c r="AN238" s="29">
        <f t="shared" si="55"/>
        <v>1.3451906368189717</v>
      </c>
      <c r="AO238" s="29">
        <f t="shared" si="56"/>
        <v>1.2244897959183674</v>
      </c>
      <c r="AP238" s="31">
        <f t="shared" si="57"/>
        <v>1.0985723534021601</v>
      </c>
      <c r="AQ238" s="31">
        <f t="shared" si="58"/>
        <v>0.94680851063829785</v>
      </c>
      <c r="AR238" s="31">
        <f t="shared" si="59"/>
        <v>1.0032206119162643</v>
      </c>
      <c r="AS238" s="29">
        <f t="shared" si="60"/>
        <v>29.544118541033434</v>
      </c>
      <c r="AT238" s="29">
        <f t="shared" si="61"/>
        <v>5.7627193946840878</v>
      </c>
      <c r="AU238" s="27" t="str">
        <f t="shared" si="62"/>
        <v>Medium</v>
      </c>
      <c r="AV238" s="27" t="str">
        <f t="shared" si="63"/>
        <v>Normal</v>
      </c>
      <c r="AW238" s="27"/>
    </row>
    <row r="239" spans="1:49" x14ac:dyDescent="0.25">
      <c r="A239" s="27">
        <v>238</v>
      </c>
      <c r="B239" s="28">
        <v>46184</v>
      </c>
      <c r="C239" s="28" t="str">
        <f t="shared" si="48"/>
        <v>June</v>
      </c>
      <c r="D239" s="27" t="s">
        <v>47</v>
      </c>
      <c r="E239" s="27" t="s">
        <v>129</v>
      </c>
      <c r="F239" s="27" t="s">
        <v>130</v>
      </c>
      <c r="G239" s="27" t="s">
        <v>78</v>
      </c>
      <c r="H239" s="27" t="s">
        <v>79</v>
      </c>
      <c r="I239" s="27" t="s">
        <v>362</v>
      </c>
      <c r="J239" s="27" t="s">
        <v>117</v>
      </c>
      <c r="K239" s="27">
        <v>768</v>
      </c>
      <c r="L239" s="27">
        <v>648</v>
      </c>
      <c r="M239" s="27">
        <v>559</v>
      </c>
      <c r="N239" s="27">
        <v>89</v>
      </c>
      <c r="O239" s="27">
        <v>25</v>
      </c>
      <c r="P239" s="27">
        <v>0</v>
      </c>
      <c r="Q239" s="27" t="s">
        <v>60</v>
      </c>
      <c r="R239" s="27">
        <v>49</v>
      </c>
      <c r="S239" s="27">
        <v>53</v>
      </c>
      <c r="T239" s="29">
        <v>76.599999999999994</v>
      </c>
      <c r="U239" s="29">
        <v>3.25</v>
      </c>
      <c r="V239" s="29">
        <v>19.739999999999998</v>
      </c>
      <c r="W239" s="30">
        <v>13444.03</v>
      </c>
      <c r="X239" s="27">
        <v>8.85</v>
      </c>
      <c r="Y239" s="27" t="s">
        <v>55</v>
      </c>
      <c r="Z239" s="29">
        <v>33</v>
      </c>
      <c r="AA239" s="30">
        <v>21100.23</v>
      </c>
      <c r="AB239" s="29">
        <v>0.86265432098765404</v>
      </c>
      <c r="AC239" s="30">
        <v>17604.189999999999</v>
      </c>
      <c r="AD239" s="30">
        <v>518.67399691358003</v>
      </c>
      <c r="AE239" s="27">
        <v>627.20000000000005</v>
      </c>
      <c r="AF239" s="29">
        <v>1</v>
      </c>
      <c r="AG239" s="30">
        <v>2977.3660030864198</v>
      </c>
      <c r="AH239" s="31">
        <f t="shared" si="49"/>
        <v>0.84375</v>
      </c>
      <c r="AI239" s="31">
        <f t="shared" si="50"/>
        <v>0.13734567901234568</v>
      </c>
      <c r="AJ239" s="31">
        <f t="shared" si="51"/>
        <v>3.8580246913580245E-2</v>
      </c>
      <c r="AK239" s="31">
        <f t="shared" si="52"/>
        <v>0.86265432098765427</v>
      </c>
      <c r="AL239" s="29">
        <f t="shared" si="53"/>
        <v>0</v>
      </c>
      <c r="AM239" s="29">
        <f t="shared" si="54"/>
        <v>627.20000000000005</v>
      </c>
      <c r="AN239" s="29">
        <f t="shared" si="55"/>
        <v>1.0331632653061225</v>
      </c>
      <c r="AO239" s="29">
        <f t="shared" si="56"/>
        <v>1.2244897959183674</v>
      </c>
      <c r="AP239" s="31">
        <f t="shared" si="57"/>
        <v>0.84375</v>
      </c>
      <c r="AQ239" s="31">
        <f t="shared" si="58"/>
        <v>0.86265432098765427</v>
      </c>
      <c r="AR239" s="31">
        <f t="shared" si="59"/>
        <v>0.72786458333333326</v>
      </c>
      <c r="AS239" s="29">
        <f t="shared" si="60"/>
        <v>27.166959876543206</v>
      </c>
      <c r="AT239" s="29">
        <f t="shared" si="61"/>
        <v>4.5947006220469442</v>
      </c>
      <c r="AU239" s="27" t="str">
        <f t="shared" si="62"/>
        <v>High</v>
      </c>
      <c r="AV239" s="27" t="str">
        <f t="shared" si="63"/>
        <v>Critical</v>
      </c>
      <c r="AW239" s="27"/>
    </row>
    <row r="240" spans="1:49" x14ac:dyDescent="0.25">
      <c r="A240" s="27">
        <v>239</v>
      </c>
      <c r="B240" s="28">
        <v>46161</v>
      </c>
      <c r="C240" s="28" t="str">
        <f t="shared" si="48"/>
        <v>May</v>
      </c>
      <c r="D240" s="27" t="s">
        <v>67</v>
      </c>
      <c r="E240" s="27" t="s">
        <v>61</v>
      </c>
      <c r="F240" s="27" t="s">
        <v>95</v>
      </c>
      <c r="G240" s="27" t="s">
        <v>78</v>
      </c>
      <c r="H240" s="27" t="s">
        <v>57</v>
      </c>
      <c r="I240" s="27" t="s">
        <v>363</v>
      </c>
      <c r="J240" s="27" t="s">
        <v>164</v>
      </c>
      <c r="K240" s="27">
        <v>698</v>
      </c>
      <c r="L240" s="27">
        <v>575</v>
      </c>
      <c r="M240" s="27">
        <v>537</v>
      </c>
      <c r="N240" s="27">
        <v>38</v>
      </c>
      <c r="O240" s="27">
        <v>14</v>
      </c>
      <c r="P240" s="27">
        <v>43</v>
      </c>
      <c r="Q240" s="27" t="s">
        <v>104</v>
      </c>
      <c r="R240" s="27">
        <v>45</v>
      </c>
      <c r="S240" s="27">
        <v>46</v>
      </c>
      <c r="T240" s="29">
        <v>67</v>
      </c>
      <c r="U240" s="29">
        <v>2.92</v>
      </c>
      <c r="V240" s="29">
        <v>19.47</v>
      </c>
      <c r="W240" s="30">
        <v>12120.56</v>
      </c>
      <c r="X240" s="27">
        <v>7.26</v>
      </c>
      <c r="Y240" s="27" t="s">
        <v>55</v>
      </c>
      <c r="Z240" s="29">
        <v>13</v>
      </c>
      <c r="AA240" s="30">
        <v>19254.18</v>
      </c>
      <c r="AB240" s="29">
        <v>0.93391304347826098</v>
      </c>
      <c r="AC240" s="30">
        <v>15562.79</v>
      </c>
      <c r="AD240" s="30">
        <v>295.109286956522</v>
      </c>
      <c r="AE240" s="27">
        <v>523.5</v>
      </c>
      <c r="AF240" s="29">
        <v>0.91786055396370603</v>
      </c>
      <c r="AG240" s="30">
        <v>3396.2807130434799</v>
      </c>
      <c r="AH240" s="31">
        <f t="shared" si="49"/>
        <v>0.82378223495702008</v>
      </c>
      <c r="AI240" s="31">
        <f t="shared" si="50"/>
        <v>6.6086956521739126E-2</v>
      </c>
      <c r="AJ240" s="31">
        <f t="shared" si="51"/>
        <v>2.4347826086956521E-2</v>
      </c>
      <c r="AK240" s="31">
        <f t="shared" si="52"/>
        <v>0.93391304347826087</v>
      </c>
      <c r="AL240" s="29">
        <f t="shared" si="53"/>
        <v>0.71666666666666667</v>
      </c>
      <c r="AM240" s="29">
        <f t="shared" si="54"/>
        <v>480.5</v>
      </c>
      <c r="AN240" s="29">
        <f t="shared" si="55"/>
        <v>1.1966701352757545</v>
      </c>
      <c r="AO240" s="29">
        <f t="shared" si="56"/>
        <v>1.3333333333333333</v>
      </c>
      <c r="AP240" s="31">
        <f t="shared" si="57"/>
        <v>0.89750260145681593</v>
      </c>
      <c r="AQ240" s="31">
        <f t="shared" si="58"/>
        <v>0.93391304347826087</v>
      </c>
      <c r="AR240" s="31">
        <f t="shared" si="59"/>
        <v>0.76934097421203462</v>
      </c>
      <c r="AS240" s="29">
        <f t="shared" si="60"/>
        <v>27.065721739130435</v>
      </c>
      <c r="AT240" s="29">
        <f t="shared" si="61"/>
        <v>5.9065751531190953</v>
      </c>
      <c r="AU240" s="27" t="str">
        <f t="shared" si="62"/>
        <v>High</v>
      </c>
      <c r="AV240" s="27" t="str">
        <f t="shared" si="63"/>
        <v>Warning</v>
      </c>
      <c r="AW240" s="27"/>
    </row>
    <row r="241" spans="1:49" x14ac:dyDescent="0.25">
      <c r="A241" s="27">
        <v>240</v>
      </c>
      <c r="B241" s="28">
        <v>46181</v>
      </c>
      <c r="C241" s="28" t="str">
        <f t="shared" si="48"/>
        <v>June</v>
      </c>
      <c r="D241" s="27" t="s">
        <v>47</v>
      </c>
      <c r="E241" s="27" t="s">
        <v>98</v>
      </c>
      <c r="F241" s="27" t="s">
        <v>126</v>
      </c>
      <c r="G241" s="27" t="s">
        <v>63</v>
      </c>
      <c r="H241" s="27" t="s">
        <v>51</v>
      </c>
      <c r="I241" s="27" t="s">
        <v>364</v>
      </c>
      <c r="J241" s="27" t="s">
        <v>150</v>
      </c>
      <c r="K241" s="27">
        <v>877</v>
      </c>
      <c r="L241" s="27">
        <v>847</v>
      </c>
      <c r="M241" s="27">
        <v>782</v>
      </c>
      <c r="N241" s="27">
        <v>65</v>
      </c>
      <c r="O241" s="27">
        <v>13</v>
      </c>
      <c r="P241" s="27">
        <v>41</v>
      </c>
      <c r="Q241" s="27" t="s">
        <v>54</v>
      </c>
      <c r="R241" s="27">
        <v>42</v>
      </c>
      <c r="S241" s="27">
        <v>45</v>
      </c>
      <c r="T241" s="29">
        <v>77.099999999999994</v>
      </c>
      <c r="U241" s="29">
        <v>2.5099999999999998</v>
      </c>
      <c r="V241" s="29">
        <v>27.94</v>
      </c>
      <c r="W241" s="30">
        <v>16301.1</v>
      </c>
      <c r="X241" s="27">
        <v>9.31</v>
      </c>
      <c r="Y241" s="27" t="s">
        <v>55</v>
      </c>
      <c r="Z241" s="29">
        <v>15</v>
      </c>
      <c r="AA241" s="30">
        <v>24454.66</v>
      </c>
      <c r="AB241" s="29">
        <v>0.92325855962219605</v>
      </c>
      <c r="AC241" s="30">
        <v>20742.060000000001</v>
      </c>
      <c r="AD241" s="30">
        <v>250.19397874852399</v>
      </c>
      <c r="AE241" s="27">
        <v>613.9</v>
      </c>
      <c r="AF241" s="29">
        <v>0.93321387848183801</v>
      </c>
      <c r="AG241" s="30">
        <v>3462.4060212514801</v>
      </c>
      <c r="AH241" s="31">
        <f t="shared" si="49"/>
        <v>0.96579247434435578</v>
      </c>
      <c r="AI241" s="31">
        <f t="shared" si="50"/>
        <v>7.6741440377804018E-2</v>
      </c>
      <c r="AJ241" s="31">
        <f t="shared" si="51"/>
        <v>1.5348288075560802E-2</v>
      </c>
      <c r="AK241" s="31">
        <f t="shared" si="52"/>
        <v>0.92325855962219594</v>
      </c>
      <c r="AL241" s="29">
        <f t="shared" si="53"/>
        <v>0.68333333333333335</v>
      </c>
      <c r="AM241" s="29">
        <f t="shared" si="54"/>
        <v>572.9</v>
      </c>
      <c r="AN241" s="29">
        <f t="shared" si="55"/>
        <v>1.4784430092511782</v>
      </c>
      <c r="AO241" s="29">
        <f t="shared" si="56"/>
        <v>1.4285714285714286</v>
      </c>
      <c r="AP241" s="31">
        <f t="shared" si="57"/>
        <v>1.0349101064758248</v>
      </c>
      <c r="AQ241" s="31">
        <f t="shared" si="58"/>
        <v>0.92325855962219594</v>
      </c>
      <c r="AR241" s="31">
        <f t="shared" si="59"/>
        <v>0.89167616875712719</v>
      </c>
      <c r="AS241" s="29">
        <f t="shared" si="60"/>
        <v>24.488854781582056</v>
      </c>
      <c r="AT241" s="29">
        <f t="shared" si="61"/>
        <v>4.0878465422095394</v>
      </c>
      <c r="AU241" s="27" t="str">
        <f t="shared" si="62"/>
        <v>Low</v>
      </c>
      <c r="AV241" s="27" t="str">
        <f t="shared" si="63"/>
        <v>Normal</v>
      </c>
      <c r="AW241" s="27"/>
    </row>
    <row r="242" spans="1:49" x14ac:dyDescent="0.25">
      <c r="A242" s="27">
        <v>241</v>
      </c>
      <c r="B242" s="28">
        <v>46198</v>
      </c>
      <c r="C242" s="28" t="str">
        <f t="shared" si="48"/>
        <v>June</v>
      </c>
      <c r="D242" s="27" t="s">
        <v>47</v>
      </c>
      <c r="E242" s="27" t="s">
        <v>129</v>
      </c>
      <c r="F242" s="27" t="s">
        <v>167</v>
      </c>
      <c r="G242" s="27" t="s">
        <v>63</v>
      </c>
      <c r="H242" s="27" t="s">
        <v>124</v>
      </c>
      <c r="I242" s="27" t="s">
        <v>365</v>
      </c>
      <c r="J242" s="27" t="s">
        <v>226</v>
      </c>
      <c r="K242" s="27">
        <v>536</v>
      </c>
      <c r="L242" s="27">
        <v>375</v>
      </c>
      <c r="M242" s="27">
        <v>341</v>
      </c>
      <c r="N242" s="27">
        <v>34</v>
      </c>
      <c r="O242" s="27">
        <v>11</v>
      </c>
      <c r="P242" s="27">
        <v>38</v>
      </c>
      <c r="Q242" s="27" t="s">
        <v>91</v>
      </c>
      <c r="R242" s="27">
        <v>57</v>
      </c>
      <c r="S242" s="27">
        <v>59</v>
      </c>
      <c r="T242" s="29">
        <v>76.3</v>
      </c>
      <c r="U242" s="29">
        <v>2.33</v>
      </c>
      <c r="V242" s="29">
        <v>15.64</v>
      </c>
      <c r="W242" s="30">
        <v>10296.370000000001</v>
      </c>
      <c r="X242" s="27">
        <v>5.05</v>
      </c>
      <c r="Y242" s="27" t="s">
        <v>55</v>
      </c>
      <c r="Z242" s="29">
        <v>31</v>
      </c>
      <c r="AA242" s="30">
        <v>15299.32</v>
      </c>
      <c r="AB242" s="29">
        <v>0.90933333333333299</v>
      </c>
      <c r="AC242" s="30">
        <v>12709.63</v>
      </c>
      <c r="AD242" s="30">
        <v>302.02685333333301</v>
      </c>
      <c r="AE242" s="27">
        <v>509.2</v>
      </c>
      <c r="AF242" s="29">
        <v>0.92537313432835799</v>
      </c>
      <c r="AG242" s="30">
        <v>2287.6631466666699</v>
      </c>
      <c r="AH242" s="31">
        <f t="shared" si="49"/>
        <v>0.69962686567164178</v>
      </c>
      <c r="AI242" s="31">
        <f t="shared" si="50"/>
        <v>9.0666666666666673E-2</v>
      </c>
      <c r="AJ242" s="31">
        <f t="shared" si="51"/>
        <v>2.9333333333333333E-2</v>
      </c>
      <c r="AK242" s="31">
        <f t="shared" si="52"/>
        <v>0.90933333333333333</v>
      </c>
      <c r="AL242" s="29">
        <f t="shared" si="53"/>
        <v>0.6333333333333333</v>
      </c>
      <c r="AM242" s="29">
        <f t="shared" si="54"/>
        <v>471.2</v>
      </c>
      <c r="AN242" s="29">
        <f t="shared" si="55"/>
        <v>0.79584040747028861</v>
      </c>
      <c r="AO242" s="29">
        <f t="shared" si="56"/>
        <v>1.0526315789473684</v>
      </c>
      <c r="AP242" s="31">
        <f t="shared" si="57"/>
        <v>0.75604838709677424</v>
      </c>
      <c r="AQ242" s="31">
        <f t="shared" si="58"/>
        <v>0.90933333333333333</v>
      </c>
      <c r="AR242" s="31">
        <f t="shared" si="59"/>
        <v>0.63619402985074613</v>
      </c>
      <c r="AS242" s="29">
        <f t="shared" si="60"/>
        <v>33.892346666666661</v>
      </c>
      <c r="AT242" s="29">
        <f t="shared" si="61"/>
        <v>6.1004350577777862</v>
      </c>
      <c r="AU242" s="27" t="str">
        <f t="shared" si="62"/>
        <v>High</v>
      </c>
      <c r="AV242" s="27" t="str">
        <f t="shared" si="63"/>
        <v>Critical</v>
      </c>
      <c r="AW242" s="27"/>
    </row>
    <row r="243" spans="1:49" x14ac:dyDescent="0.25">
      <c r="A243" s="27">
        <v>242</v>
      </c>
      <c r="B243" s="28">
        <v>46189</v>
      </c>
      <c r="C243" s="28" t="str">
        <f t="shared" si="48"/>
        <v>June</v>
      </c>
      <c r="D243" s="27" t="s">
        <v>67</v>
      </c>
      <c r="E243" s="27" t="s">
        <v>61</v>
      </c>
      <c r="F243" s="27" t="s">
        <v>95</v>
      </c>
      <c r="G243" s="27" t="s">
        <v>78</v>
      </c>
      <c r="H243" s="27" t="s">
        <v>57</v>
      </c>
      <c r="I243" s="27" t="s">
        <v>366</v>
      </c>
      <c r="J243" s="27" t="s">
        <v>153</v>
      </c>
      <c r="K243" s="27">
        <v>785</v>
      </c>
      <c r="L243" s="27">
        <v>707</v>
      </c>
      <c r="M243" s="27">
        <v>660</v>
      </c>
      <c r="N243" s="27">
        <v>47</v>
      </c>
      <c r="O243" s="27">
        <v>15</v>
      </c>
      <c r="P243" s="27">
        <v>19</v>
      </c>
      <c r="Q243" s="27" t="s">
        <v>54</v>
      </c>
      <c r="R243" s="27">
        <v>45</v>
      </c>
      <c r="S243" s="27">
        <v>46</v>
      </c>
      <c r="T243" s="29">
        <v>69.599999999999994</v>
      </c>
      <c r="U243" s="29">
        <v>1.51</v>
      </c>
      <c r="V243" s="29">
        <v>21.9</v>
      </c>
      <c r="W243" s="30">
        <v>14147.74</v>
      </c>
      <c r="X243" s="27">
        <v>7.73</v>
      </c>
      <c r="Y243" s="27" t="s">
        <v>66</v>
      </c>
      <c r="Z243" s="29">
        <v>25</v>
      </c>
      <c r="AA243" s="30">
        <v>22672.98</v>
      </c>
      <c r="AB243" s="29">
        <v>0.933521923620934</v>
      </c>
      <c r="AC243" s="30">
        <v>17823.34</v>
      </c>
      <c r="AD243" s="30">
        <v>300.16421499292801</v>
      </c>
      <c r="AE243" s="27">
        <v>588.75</v>
      </c>
      <c r="AF243" s="29">
        <v>0.96772823779193196</v>
      </c>
      <c r="AG243" s="30">
        <v>4549.47578500708</v>
      </c>
      <c r="AH243" s="31">
        <f t="shared" si="49"/>
        <v>0.90063694267515926</v>
      </c>
      <c r="AI243" s="31">
        <f t="shared" si="50"/>
        <v>6.6478076379066484E-2</v>
      </c>
      <c r="AJ243" s="31">
        <f t="shared" si="51"/>
        <v>2.1216407355021217E-2</v>
      </c>
      <c r="AK243" s="31">
        <f t="shared" si="52"/>
        <v>0.93352192362093356</v>
      </c>
      <c r="AL243" s="29">
        <f t="shared" si="53"/>
        <v>0.31666666666666665</v>
      </c>
      <c r="AM243" s="29">
        <f t="shared" si="54"/>
        <v>569.75</v>
      </c>
      <c r="AN243" s="29">
        <f t="shared" si="55"/>
        <v>1.2408951294427379</v>
      </c>
      <c r="AO243" s="29">
        <f t="shared" si="56"/>
        <v>1.3333333333333333</v>
      </c>
      <c r="AP243" s="31">
        <f t="shared" si="57"/>
        <v>0.93067134708205346</v>
      </c>
      <c r="AQ243" s="31">
        <f t="shared" si="58"/>
        <v>0.93352192362093356</v>
      </c>
      <c r="AR243" s="31">
        <f t="shared" si="59"/>
        <v>0.8407643312101909</v>
      </c>
      <c r="AS243" s="29">
        <f t="shared" si="60"/>
        <v>25.20981612446959</v>
      </c>
      <c r="AT243" s="29">
        <f t="shared" si="61"/>
        <v>6.4349021004343427</v>
      </c>
      <c r="AU243" s="27" t="str">
        <f t="shared" si="62"/>
        <v>Medium</v>
      </c>
      <c r="AV243" s="27" t="str">
        <f t="shared" si="63"/>
        <v>Warning</v>
      </c>
      <c r="AW243" s="27"/>
    </row>
    <row r="244" spans="1:49" x14ac:dyDescent="0.25">
      <c r="A244" s="27">
        <v>243</v>
      </c>
      <c r="B244" s="28">
        <v>46158</v>
      </c>
      <c r="C244" s="28" t="str">
        <f t="shared" si="48"/>
        <v>May</v>
      </c>
      <c r="D244" s="27" t="s">
        <v>47</v>
      </c>
      <c r="E244" s="27" t="s">
        <v>76</v>
      </c>
      <c r="F244" s="27" t="s">
        <v>119</v>
      </c>
      <c r="G244" s="27" t="s">
        <v>78</v>
      </c>
      <c r="H244" s="27" t="s">
        <v>68</v>
      </c>
      <c r="I244" s="27" t="s">
        <v>367</v>
      </c>
      <c r="J244" s="27" t="s">
        <v>81</v>
      </c>
      <c r="K244" s="27">
        <v>506</v>
      </c>
      <c r="L244" s="27">
        <v>397</v>
      </c>
      <c r="M244" s="27">
        <v>357</v>
      </c>
      <c r="N244" s="27">
        <v>40</v>
      </c>
      <c r="O244" s="27">
        <v>13</v>
      </c>
      <c r="P244" s="27">
        <v>104</v>
      </c>
      <c r="Q244" s="27" t="s">
        <v>82</v>
      </c>
      <c r="R244" s="27">
        <v>64</v>
      </c>
      <c r="S244" s="27">
        <v>72</v>
      </c>
      <c r="T244" s="29">
        <v>70.900000000000006</v>
      </c>
      <c r="U244" s="29">
        <v>2.44</v>
      </c>
      <c r="V244" s="29">
        <v>18.04</v>
      </c>
      <c r="W244" s="30">
        <v>12062.28</v>
      </c>
      <c r="X244" s="27">
        <v>7.73</v>
      </c>
      <c r="Y244" s="27" t="s">
        <v>66</v>
      </c>
      <c r="Z244" s="29">
        <v>18</v>
      </c>
      <c r="AA244" s="30">
        <v>18055.330000000002</v>
      </c>
      <c r="AB244" s="29">
        <v>0.89924433249370295</v>
      </c>
      <c r="AC244" s="30">
        <v>15703.14</v>
      </c>
      <c r="AD244" s="30">
        <v>394.986498740554</v>
      </c>
      <c r="AE244" s="27">
        <v>539.73333333333301</v>
      </c>
      <c r="AF244" s="29">
        <v>0.80731225296442699</v>
      </c>
      <c r="AG244" s="30">
        <v>1957.2035012594499</v>
      </c>
      <c r="AH244" s="31">
        <f t="shared" si="49"/>
        <v>0.78458498023715417</v>
      </c>
      <c r="AI244" s="31">
        <f t="shared" si="50"/>
        <v>0.10075566750629723</v>
      </c>
      <c r="AJ244" s="31">
        <f t="shared" si="51"/>
        <v>3.2745591939546598E-2</v>
      </c>
      <c r="AK244" s="31">
        <f t="shared" si="52"/>
        <v>0.89924433249370272</v>
      </c>
      <c r="AL244" s="29">
        <f t="shared" si="53"/>
        <v>1.7333333333333334</v>
      </c>
      <c r="AM244" s="29">
        <f t="shared" si="54"/>
        <v>435.73333333333301</v>
      </c>
      <c r="AN244" s="29">
        <f t="shared" si="55"/>
        <v>0.91110771113831157</v>
      </c>
      <c r="AO244" s="29">
        <f t="shared" si="56"/>
        <v>0.9375</v>
      </c>
      <c r="AP244" s="31">
        <f t="shared" si="57"/>
        <v>0.971848225214199</v>
      </c>
      <c r="AQ244" s="31">
        <f t="shared" si="58"/>
        <v>0.89924433249370272</v>
      </c>
      <c r="AR244" s="31">
        <f t="shared" si="59"/>
        <v>0.70553359683794525</v>
      </c>
      <c r="AS244" s="29">
        <f t="shared" si="60"/>
        <v>39.554508816120908</v>
      </c>
      <c r="AT244" s="29">
        <f t="shared" si="61"/>
        <v>4.9299836303764479</v>
      </c>
      <c r="AU244" s="27" t="str">
        <f t="shared" si="62"/>
        <v>High</v>
      </c>
      <c r="AV244" s="27" t="str">
        <f t="shared" si="63"/>
        <v>Critical</v>
      </c>
      <c r="AW244" s="27"/>
    </row>
    <row r="245" spans="1:49" x14ac:dyDescent="0.25">
      <c r="A245" s="27">
        <v>244</v>
      </c>
      <c r="B245" s="28">
        <v>46036</v>
      </c>
      <c r="C245" s="28" t="str">
        <f t="shared" si="48"/>
        <v>January</v>
      </c>
      <c r="D245" s="27" t="s">
        <v>47</v>
      </c>
      <c r="E245" s="27" t="s">
        <v>98</v>
      </c>
      <c r="F245" s="27" t="s">
        <v>105</v>
      </c>
      <c r="G245" s="27" t="s">
        <v>63</v>
      </c>
      <c r="H245" s="27" t="s">
        <v>51</v>
      </c>
      <c r="I245" s="27" t="s">
        <v>368</v>
      </c>
      <c r="J245" s="27" t="s">
        <v>115</v>
      </c>
      <c r="K245" s="27">
        <v>947</v>
      </c>
      <c r="L245" s="27">
        <v>901</v>
      </c>
      <c r="M245" s="27">
        <v>850</v>
      </c>
      <c r="N245" s="27">
        <v>51</v>
      </c>
      <c r="O245" s="27">
        <v>18</v>
      </c>
      <c r="P245" s="27">
        <v>24</v>
      </c>
      <c r="Q245" s="27" t="s">
        <v>102</v>
      </c>
      <c r="R245" s="27">
        <v>42</v>
      </c>
      <c r="S245" s="27">
        <v>42</v>
      </c>
      <c r="T245" s="29">
        <v>72.8</v>
      </c>
      <c r="U245" s="29">
        <v>1.7</v>
      </c>
      <c r="V245" s="29">
        <v>36.619999999999997</v>
      </c>
      <c r="W245" s="30">
        <v>16109.76</v>
      </c>
      <c r="X245" s="27">
        <v>8.33</v>
      </c>
      <c r="Y245" s="27" t="s">
        <v>66</v>
      </c>
      <c r="Z245" s="29">
        <v>39</v>
      </c>
      <c r="AA245" s="30">
        <v>27837.279999999999</v>
      </c>
      <c r="AB245" s="29">
        <v>0.94339622641509402</v>
      </c>
      <c r="AC245" s="30">
        <v>20187.84</v>
      </c>
      <c r="AD245" s="30">
        <v>321.837602663707</v>
      </c>
      <c r="AE245" s="27">
        <v>662.9</v>
      </c>
      <c r="AF245" s="29">
        <v>0.96379544426006902</v>
      </c>
      <c r="AG245" s="30">
        <v>7327.6023973362899</v>
      </c>
      <c r="AH245" s="31">
        <f t="shared" si="49"/>
        <v>0.95142555438225973</v>
      </c>
      <c r="AI245" s="31">
        <f t="shared" si="50"/>
        <v>5.6603773584905662E-2</v>
      </c>
      <c r="AJ245" s="31">
        <f t="shared" si="51"/>
        <v>1.9977802441731411E-2</v>
      </c>
      <c r="AK245" s="31">
        <f t="shared" si="52"/>
        <v>0.94339622641509435</v>
      </c>
      <c r="AL245" s="29">
        <f t="shared" si="53"/>
        <v>0.4</v>
      </c>
      <c r="AM245" s="29">
        <f t="shared" si="54"/>
        <v>638.9</v>
      </c>
      <c r="AN245" s="29">
        <f t="shared" si="55"/>
        <v>1.4102363437157615</v>
      </c>
      <c r="AO245" s="29">
        <f t="shared" si="56"/>
        <v>1.4285714285714286</v>
      </c>
      <c r="AP245" s="31">
        <f t="shared" si="57"/>
        <v>0.98716544060103295</v>
      </c>
      <c r="AQ245" s="31">
        <f t="shared" si="58"/>
        <v>0.94339622641509435</v>
      </c>
      <c r="AR245" s="31">
        <f t="shared" si="59"/>
        <v>0.89757127771911249</v>
      </c>
      <c r="AS245" s="29">
        <f t="shared" si="60"/>
        <v>22.406037735849058</v>
      </c>
      <c r="AT245" s="29">
        <f t="shared" si="61"/>
        <v>8.1327440591967708</v>
      </c>
      <c r="AU245" s="27" t="str">
        <f t="shared" si="62"/>
        <v>Medium</v>
      </c>
      <c r="AV245" s="27" t="str">
        <f t="shared" si="63"/>
        <v>Normal</v>
      </c>
      <c r="AW245" s="27"/>
    </row>
    <row r="246" spans="1:49" x14ac:dyDescent="0.25">
      <c r="A246" s="27">
        <v>245</v>
      </c>
      <c r="B246" s="28">
        <v>46060</v>
      </c>
      <c r="C246" s="28" t="str">
        <f t="shared" si="48"/>
        <v>February</v>
      </c>
      <c r="D246" s="27" t="s">
        <v>47</v>
      </c>
      <c r="E246" s="27" t="s">
        <v>76</v>
      </c>
      <c r="F246" s="27" t="s">
        <v>119</v>
      </c>
      <c r="G246" s="27" t="s">
        <v>50</v>
      </c>
      <c r="H246" s="27" t="s">
        <v>79</v>
      </c>
      <c r="I246" s="27" t="s">
        <v>369</v>
      </c>
      <c r="J246" s="27" t="s">
        <v>117</v>
      </c>
      <c r="K246" s="27">
        <v>719</v>
      </c>
      <c r="L246" s="27">
        <v>755</v>
      </c>
      <c r="M246" s="27">
        <v>686</v>
      </c>
      <c r="N246" s="27">
        <v>69</v>
      </c>
      <c r="O246" s="27">
        <v>27</v>
      </c>
      <c r="P246" s="27">
        <v>24</v>
      </c>
      <c r="Q246" s="27" t="s">
        <v>91</v>
      </c>
      <c r="R246" s="27">
        <v>49</v>
      </c>
      <c r="S246" s="27">
        <v>49</v>
      </c>
      <c r="T246" s="29">
        <v>79.400000000000006</v>
      </c>
      <c r="U246" s="29">
        <v>1.88</v>
      </c>
      <c r="V246" s="29">
        <v>28.66</v>
      </c>
      <c r="W246" s="30">
        <v>16885.060000000001</v>
      </c>
      <c r="X246" s="27">
        <v>9.68</v>
      </c>
      <c r="Y246" s="27" t="s">
        <v>55</v>
      </c>
      <c r="Z246" s="29">
        <v>31</v>
      </c>
      <c r="AA246" s="30">
        <v>26803.33</v>
      </c>
      <c r="AB246" s="29">
        <v>0.90860927152317905</v>
      </c>
      <c r="AC246" s="30">
        <v>21499</v>
      </c>
      <c r="AD246" s="30">
        <v>603.83658278145697</v>
      </c>
      <c r="AE246" s="27">
        <v>587.18333333333305</v>
      </c>
      <c r="AF246" s="29">
        <v>0.95912690528227995</v>
      </c>
      <c r="AG246" s="30">
        <v>4700.4934172185503</v>
      </c>
      <c r="AH246" s="31">
        <f t="shared" si="49"/>
        <v>1.0500695410292071</v>
      </c>
      <c r="AI246" s="31">
        <f t="shared" si="50"/>
        <v>9.1390728476821198E-2</v>
      </c>
      <c r="AJ246" s="31">
        <f t="shared" si="51"/>
        <v>3.5761589403973511E-2</v>
      </c>
      <c r="AK246" s="31">
        <f t="shared" si="52"/>
        <v>0.90860927152317883</v>
      </c>
      <c r="AL246" s="29">
        <f t="shared" si="53"/>
        <v>0.4</v>
      </c>
      <c r="AM246" s="29">
        <f t="shared" si="54"/>
        <v>563.18333333333305</v>
      </c>
      <c r="AN246" s="29">
        <f t="shared" si="55"/>
        <v>1.3405936491965322</v>
      </c>
      <c r="AO246" s="29">
        <f t="shared" si="56"/>
        <v>1.2244897959183674</v>
      </c>
      <c r="AP246" s="31">
        <f t="shared" si="57"/>
        <v>1.0948181468438347</v>
      </c>
      <c r="AQ246" s="31">
        <f t="shared" si="58"/>
        <v>0.90860927152317883</v>
      </c>
      <c r="AR246" s="31">
        <f t="shared" si="59"/>
        <v>0.95410292072322744</v>
      </c>
      <c r="AS246" s="29">
        <f t="shared" si="60"/>
        <v>28.475496688741721</v>
      </c>
      <c r="AT246" s="29">
        <f t="shared" si="61"/>
        <v>6.2258190956537094</v>
      </c>
      <c r="AU246" s="27" t="str">
        <f t="shared" si="62"/>
        <v>Medium</v>
      </c>
      <c r="AV246" s="27" t="str">
        <f t="shared" si="63"/>
        <v>Warning</v>
      </c>
      <c r="AW246" s="27"/>
    </row>
    <row r="247" spans="1:49" x14ac:dyDescent="0.25">
      <c r="A247" s="27">
        <v>246</v>
      </c>
      <c r="B247" s="28">
        <v>46081</v>
      </c>
      <c r="C247" s="28" t="str">
        <f t="shared" si="48"/>
        <v>February</v>
      </c>
      <c r="D247" s="27" t="s">
        <v>47</v>
      </c>
      <c r="E247" s="27" t="s">
        <v>61</v>
      </c>
      <c r="F247" s="27" t="s">
        <v>95</v>
      </c>
      <c r="G247" s="27" t="s">
        <v>63</v>
      </c>
      <c r="H247" s="27" t="s">
        <v>68</v>
      </c>
      <c r="I247" s="27" t="s">
        <v>370</v>
      </c>
      <c r="J247" s="27" t="s">
        <v>84</v>
      </c>
      <c r="K247" s="27">
        <v>664</v>
      </c>
      <c r="L247" s="27">
        <v>640</v>
      </c>
      <c r="M247" s="27">
        <v>595</v>
      </c>
      <c r="N247" s="27">
        <v>45</v>
      </c>
      <c r="O247" s="27">
        <v>18</v>
      </c>
      <c r="P247" s="27">
        <v>38</v>
      </c>
      <c r="Q247" s="27" t="s">
        <v>97</v>
      </c>
      <c r="R247" s="27">
        <v>64</v>
      </c>
      <c r="S247" s="27">
        <v>64</v>
      </c>
      <c r="T247" s="29">
        <v>68.8</v>
      </c>
      <c r="U247" s="29">
        <v>2.2000000000000002</v>
      </c>
      <c r="V247" s="29">
        <v>28.22</v>
      </c>
      <c r="W247" s="30">
        <v>19644.23</v>
      </c>
      <c r="X247" s="27">
        <v>7.08</v>
      </c>
      <c r="Y247" s="27" t="s">
        <v>71</v>
      </c>
      <c r="Z247" s="29">
        <v>25</v>
      </c>
      <c r="AA247" s="30">
        <v>31373.43</v>
      </c>
      <c r="AB247" s="29">
        <v>0.9296875</v>
      </c>
      <c r="AC247" s="30">
        <v>23084.21</v>
      </c>
      <c r="AD247" s="30">
        <v>552.49396875000002</v>
      </c>
      <c r="AE247" s="27">
        <v>708.26666666666699</v>
      </c>
      <c r="AF247" s="29">
        <v>0.94634789156626498</v>
      </c>
      <c r="AG247" s="30">
        <v>7736.7260312500002</v>
      </c>
      <c r="AH247" s="31">
        <f t="shared" si="49"/>
        <v>0.96385542168674698</v>
      </c>
      <c r="AI247" s="31">
        <f t="shared" si="50"/>
        <v>7.03125E-2</v>
      </c>
      <c r="AJ247" s="31">
        <f t="shared" si="51"/>
        <v>2.8125000000000001E-2</v>
      </c>
      <c r="AK247" s="31">
        <f t="shared" si="52"/>
        <v>0.9296875</v>
      </c>
      <c r="AL247" s="29">
        <f t="shared" si="53"/>
        <v>0.6333333333333333</v>
      </c>
      <c r="AM247" s="29">
        <f t="shared" si="54"/>
        <v>670.26666666666699</v>
      </c>
      <c r="AN247" s="29">
        <f t="shared" si="55"/>
        <v>0.95484384324646865</v>
      </c>
      <c r="AO247" s="29">
        <f t="shared" si="56"/>
        <v>0.9375</v>
      </c>
      <c r="AP247" s="31">
        <f t="shared" si="57"/>
        <v>1.0185000994628999</v>
      </c>
      <c r="AQ247" s="31">
        <f t="shared" si="58"/>
        <v>0.9296875</v>
      </c>
      <c r="AR247" s="31">
        <f t="shared" si="59"/>
        <v>0.89608433734939708</v>
      </c>
      <c r="AS247" s="29">
        <f t="shared" si="60"/>
        <v>36.069078124999997</v>
      </c>
      <c r="AT247" s="29">
        <f t="shared" si="61"/>
        <v>12.088634423828125</v>
      </c>
      <c r="AU247" s="27" t="str">
        <f t="shared" si="62"/>
        <v>High</v>
      </c>
      <c r="AV247" s="27" t="str">
        <f t="shared" si="63"/>
        <v>Normal</v>
      </c>
      <c r="AW247" s="27"/>
    </row>
    <row r="248" spans="1:49" x14ac:dyDescent="0.25">
      <c r="A248" s="27">
        <v>247</v>
      </c>
      <c r="B248" s="28">
        <v>46152</v>
      </c>
      <c r="C248" s="28" t="str">
        <f t="shared" si="48"/>
        <v>May</v>
      </c>
      <c r="D248" s="27" t="s">
        <v>47</v>
      </c>
      <c r="E248" s="27" t="s">
        <v>61</v>
      </c>
      <c r="F248" s="27" t="s">
        <v>95</v>
      </c>
      <c r="G248" s="27" t="s">
        <v>50</v>
      </c>
      <c r="H248" s="27" t="s">
        <v>57</v>
      </c>
      <c r="I248" s="27" t="s">
        <v>371</v>
      </c>
      <c r="J248" s="27" t="s">
        <v>53</v>
      </c>
      <c r="K248" s="27">
        <v>911</v>
      </c>
      <c r="L248" s="27">
        <v>917</v>
      </c>
      <c r="M248" s="27">
        <v>875</v>
      </c>
      <c r="N248" s="27">
        <v>42</v>
      </c>
      <c r="O248" s="27">
        <v>14</v>
      </c>
      <c r="P248" s="27">
        <v>42</v>
      </c>
      <c r="Q248" s="27" t="s">
        <v>91</v>
      </c>
      <c r="R248" s="27">
        <v>45</v>
      </c>
      <c r="S248" s="27">
        <v>46</v>
      </c>
      <c r="T248" s="29">
        <v>76.599999999999994</v>
      </c>
      <c r="U248" s="29">
        <v>2.19</v>
      </c>
      <c r="V248" s="29">
        <v>29.85</v>
      </c>
      <c r="W248" s="30">
        <v>18957.27</v>
      </c>
      <c r="X248" s="27">
        <v>9.19</v>
      </c>
      <c r="Y248" s="27" t="s">
        <v>71</v>
      </c>
      <c r="Z248" s="29">
        <v>41</v>
      </c>
      <c r="AA248" s="30">
        <v>30558.41</v>
      </c>
      <c r="AB248" s="29">
        <v>0.954198473282443</v>
      </c>
      <c r="AC248" s="30">
        <v>23361.42</v>
      </c>
      <c r="AD248" s="30">
        <v>289.42396946564901</v>
      </c>
      <c r="AE248" s="27">
        <v>683.25</v>
      </c>
      <c r="AF248" s="29">
        <v>0.93852908891328202</v>
      </c>
      <c r="AG248" s="30">
        <v>6907.5660305343499</v>
      </c>
      <c r="AH248" s="31">
        <f t="shared" si="49"/>
        <v>1.0065861690450055</v>
      </c>
      <c r="AI248" s="31">
        <f t="shared" si="50"/>
        <v>4.5801526717557252E-2</v>
      </c>
      <c r="AJ248" s="31">
        <f t="shared" si="51"/>
        <v>1.5267175572519083E-2</v>
      </c>
      <c r="AK248" s="31">
        <f t="shared" si="52"/>
        <v>0.95419847328244278</v>
      </c>
      <c r="AL248" s="29">
        <f t="shared" si="53"/>
        <v>0.7</v>
      </c>
      <c r="AM248" s="29">
        <f t="shared" si="54"/>
        <v>641.25</v>
      </c>
      <c r="AN248" s="29">
        <f t="shared" si="55"/>
        <v>1.430019493177388</v>
      </c>
      <c r="AO248" s="29">
        <f t="shared" si="56"/>
        <v>1.3333333333333333</v>
      </c>
      <c r="AP248" s="31">
        <f t="shared" si="57"/>
        <v>1.0725146198830411</v>
      </c>
      <c r="AQ248" s="31">
        <f t="shared" si="58"/>
        <v>0.95419847328244278</v>
      </c>
      <c r="AR248" s="31">
        <f t="shared" si="59"/>
        <v>0.96048298572996715</v>
      </c>
      <c r="AS248" s="29">
        <f t="shared" si="60"/>
        <v>25.475921483097054</v>
      </c>
      <c r="AT248" s="29">
        <f t="shared" si="61"/>
        <v>7.5327873833526171</v>
      </c>
      <c r="AU248" s="27" t="str">
        <f t="shared" si="62"/>
        <v>High</v>
      </c>
      <c r="AV248" s="27" t="str">
        <f t="shared" si="63"/>
        <v>Normal</v>
      </c>
      <c r="AW248" s="27"/>
    </row>
    <row r="249" spans="1:49" x14ac:dyDescent="0.25">
      <c r="A249" s="27">
        <v>248</v>
      </c>
      <c r="B249" s="28">
        <v>46058</v>
      </c>
      <c r="C249" s="28" t="str">
        <f t="shared" si="48"/>
        <v>February</v>
      </c>
      <c r="D249" s="27" t="s">
        <v>67</v>
      </c>
      <c r="E249" s="27" t="s">
        <v>98</v>
      </c>
      <c r="F249" s="27" t="s">
        <v>99</v>
      </c>
      <c r="G249" s="27" t="s">
        <v>63</v>
      </c>
      <c r="H249" s="27" t="s">
        <v>57</v>
      </c>
      <c r="I249" s="27" t="s">
        <v>372</v>
      </c>
      <c r="J249" s="27" t="s">
        <v>132</v>
      </c>
      <c r="K249" s="27">
        <v>716</v>
      </c>
      <c r="L249" s="27">
        <v>595</v>
      </c>
      <c r="M249" s="27">
        <v>556</v>
      </c>
      <c r="N249" s="27">
        <v>39</v>
      </c>
      <c r="O249" s="27">
        <v>13</v>
      </c>
      <c r="P249" s="27">
        <v>40</v>
      </c>
      <c r="Q249" s="27" t="s">
        <v>75</v>
      </c>
      <c r="R249" s="27">
        <v>45</v>
      </c>
      <c r="S249" s="27">
        <v>48</v>
      </c>
      <c r="T249" s="29">
        <v>74.7</v>
      </c>
      <c r="U249" s="29">
        <v>1.93</v>
      </c>
      <c r="V249" s="29">
        <v>22.15</v>
      </c>
      <c r="W249" s="30">
        <v>12219.07</v>
      </c>
      <c r="X249" s="27">
        <v>8.48</v>
      </c>
      <c r="Y249" s="27" t="s">
        <v>110</v>
      </c>
      <c r="Z249" s="29">
        <v>68</v>
      </c>
      <c r="AA249" s="30">
        <v>18936.400000000001</v>
      </c>
      <c r="AB249" s="29">
        <v>0.93445378151260505</v>
      </c>
      <c r="AC249" s="30">
        <v>16234.42</v>
      </c>
      <c r="AD249" s="30">
        <v>266.97127731092399</v>
      </c>
      <c r="AE249" s="27">
        <v>537</v>
      </c>
      <c r="AF249" s="29">
        <v>0.92551210428305397</v>
      </c>
      <c r="AG249" s="30">
        <v>2435.0087226890801</v>
      </c>
      <c r="AH249" s="31">
        <f t="shared" si="49"/>
        <v>0.83100558659217882</v>
      </c>
      <c r="AI249" s="31">
        <f t="shared" si="50"/>
        <v>6.5546218487394961E-2</v>
      </c>
      <c r="AJ249" s="31">
        <f t="shared" si="51"/>
        <v>2.1848739495798318E-2</v>
      </c>
      <c r="AK249" s="31">
        <f t="shared" si="52"/>
        <v>0.93445378151260505</v>
      </c>
      <c r="AL249" s="29">
        <f t="shared" si="53"/>
        <v>0.66666666666666663</v>
      </c>
      <c r="AM249" s="29">
        <f t="shared" si="54"/>
        <v>497</v>
      </c>
      <c r="AN249" s="29">
        <f t="shared" si="55"/>
        <v>1.1971830985915493</v>
      </c>
      <c r="AO249" s="29">
        <f t="shared" si="56"/>
        <v>1.3333333333333333</v>
      </c>
      <c r="AP249" s="31">
        <f t="shared" si="57"/>
        <v>0.897887323943662</v>
      </c>
      <c r="AQ249" s="31">
        <f t="shared" si="58"/>
        <v>0.93445378151260505</v>
      </c>
      <c r="AR249" s="31">
        <f t="shared" si="59"/>
        <v>0.77653631284916191</v>
      </c>
      <c r="AS249" s="29">
        <f t="shared" si="60"/>
        <v>27.28473949579832</v>
      </c>
      <c r="AT249" s="29">
        <f t="shared" si="61"/>
        <v>4.0924516347715629</v>
      </c>
      <c r="AU249" s="27" t="str">
        <f t="shared" si="62"/>
        <v>High</v>
      </c>
      <c r="AV249" s="27" t="str">
        <f t="shared" si="63"/>
        <v>Warning</v>
      </c>
      <c r="AW249" s="27"/>
    </row>
    <row r="250" spans="1:49" x14ac:dyDescent="0.25">
      <c r="A250" s="27">
        <v>249</v>
      </c>
      <c r="B250" s="28">
        <v>46121</v>
      </c>
      <c r="C250" s="28" t="str">
        <f t="shared" si="48"/>
        <v>April</v>
      </c>
      <c r="D250" s="27" t="s">
        <v>67</v>
      </c>
      <c r="E250" s="27" t="s">
        <v>61</v>
      </c>
      <c r="F250" s="27" t="s">
        <v>95</v>
      </c>
      <c r="G250" s="27" t="s">
        <v>50</v>
      </c>
      <c r="H250" s="27" t="s">
        <v>79</v>
      </c>
      <c r="I250" s="27" t="s">
        <v>373</v>
      </c>
      <c r="J250" s="27" t="s">
        <v>93</v>
      </c>
      <c r="K250" s="27">
        <v>724</v>
      </c>
      <c r="L250" s="27">
        <v>686</v>
      </c>
      <c r="M250" s="27">
        <v>645</v>
      </c>
      <c r="N250" s="27">
        <v>41</v>
      </c>
      <c r="O250" s="27">
        <v>11</v>
      </c>
      <c r="P250" s="27">
        <v>38</v>
      </c>
      <c r="Q250" s="27" t="s">
        <v>102</v>
      </c>
      <c r="R250" s="27">
        <v>49</v>
      </c>
      <c r="S250" s="27">
        <v>52</v>
      </c>
      <c r="T250" s="29">
        <v>61.9</v>
      </c>
      <c r="U250" s="29">
        <v>1.85</v>
      </c>
      <c r="V250" s="29">
        <v>29.31</v>
      </c>
      <c r="W250" s="30">
        <v>14952.42</v>
      </c>
      <c r="X250" s="27">
        <v>6.99</v>
      </c>
      <c r="Y250" s="27" t="s">
        <v>55</v>
      </c>
      <c r="Z250" s="29">
        <v>16</v>
      </c>
      <c r="AA250" s="30">
        <v>24440.02</v>
      </c>
      <c r="AB250" s="29">
        <v>0.94023323615160403</v>
      </c>
      <c r="AC250" s="30">
        <v>18361.71</v>
      </c>
      <c r="AD250" s="30">
        <v>239.76183673469399</v>
      </c>
      <c r="AE250" s="27">
        <v>591.26666666666699</v>
      </c>
      <c r="AF250" s="29">
        <v>0.935731198556771</v>
      </c>
      <c r="AG250" s="30">
        <v>5838.54816326531</v>
      </c>
      <c r="AH250" s="31">
        <f t="shared" si="49"/>
        <v>0.9475138121546961</v>
      </c>
      <c r="AI250" s="31">
        <f t="shared" si="50"/>
        <v>5.9766763848396499E-2</v>
      </c>
      <c r="AJ250" s="31">
        <f t="shared" si="51"/>
        <v>1.6034985422740525E-2</v>
      </c>
      <c r="AK250" s="31">
        <f t="shared" si="52"/>
        <v>0.94023323615160348</v>
      </c>
      <c r="AL250" s="29">
        <f t="shared" si="53"/>
        <v>0.6333333333333333</v>
      </c>
      <c r="AM250" s="29">
        <f t="shared" si="54"/>
        <v>553.26666666666699</v>
      </c>
      <c r="AN250" s="29">
        <f t="shared" si="55"/>
        <v>1.2399084227015296</v>
      </c>
      <c r="AO250" s="29">
        <f t="shared" si="56"/>
        <v>1.2244897959183674</v>
      </c>
      <c r="AP250" s="31">
        <f t="shared" si="57"/>
        <v>1.0125918785395824</v>
      </c>
      <c r="AQ250" s="31">
        <f t="shared" si="58"/>
        <v>0.94023323615160348</v>
      </c>
      <c r="AR250" s="31">
        <f t="shared" si="59"/>
        <v>0.89088397790055207</v>
      </c>
      <c r="AS250" s="29">
        <f t="shared" si="60"/>
        <v>26.766341107871717</v>
      </c>
      <c r="AT250" s="29">
        <f t="shared" si="61"/>
        <v>8.5110031534479731</v>
      </c>
      <c r="AU250" s="27" t="str">
        <f t="shared" si="62"/>
        <v>Low</v>
      </c>
      <c r="AV250" s="27" t="str">
        <f t="shared" si="63"/>
        <v>Normal</v>
      </c>
      <c r="AW250" s="27"/>
    </row>
    <row r="251" spans="1:49" x14ac:dyDescent="0.25">
      <c r="A251" s="27">
        <v>250</v>
      </c>
      <c r="B251" s="28">
        <v>46151</v>
      </c>
      <c r="C251" s="28" t="str">
        <f t="shared" si="48"/>
        <v>May</v>
      </c>
      <c r="D251" s="27" t="s">
        <v>47</v>
      </c>
      <c r="E251" s="27" t="s">
        <v>61</v>
      </c>
      <c r="F251" s="27" t="s">
        <v>95</v>
      </c>
      <c r="G251" s="27" t="s">
        <v>63</v>
      </c>
      <c r="H251" s="27" t="s">
        <v>57</v>
      </c>
      <c r="I251" s="27" t="s">
        <v>374</v>
      </c>
      <c r="J251" s="27" t="s">
        <v>143</v>
      </c>
      <c r="K251" s="27">
        <v>911</v>
      </c>
      <c r="L251" s="27">
        <v>842</v>
      </c>
      <c r="M251" s="27">
        <v>797</v>
      </c>
      <c r="N251" s="27">
        <v>45</v>
      </c>
      <c r="O251" s="27">
        <v>9</v>
      </c>
      <c r="P251" s="27">
        <v>33</v>
      </c>
      <c r="Q251" s="27" t="s">
        <v>82</v>
      </c>
      <c r="R251" s="27">
        <v>45</v>
      </c>
      <c r="S251" s="27">
        <v>49</v>
      </c>
      <c r="T251" s="29">
        <v>81.7</v>
      </c>
      <c r="U251" s="29">
        <v>2.4500000000000002</v>
      </c>
      <c r="V251" s="29">
        <v>34.94</v>
      </c>
      <c r="W251" s="30">
        <v>18206.82</v>
      </c>
      <c r="X251" s="27">
        <v>6.99</v>
      </c>
      <c r="Y251" s="27" t="s">
        <v>55</v>
      </c>
      <c r="Z251" s="29">
        <v>4</v>
      </c>
      <c r="AA251" s="30">
        <v>28224.86</v>
      </c>
      <c r="AB251" s="29">
        <v>0.94655581947743495</v>
      </c>
      <c r="AC251" s="30">
        <v>21666.78</v>
      </c>
      <c r="AD251" s="30">
        <v>194.60971496437099</v>
      </c>
      <c r="AE251" s="27">
        <v>683.25</v>
      </c>
      <c r="AF251" s="29">
        <v>0.95170142700329297</v>
      </c>
      <c r="AG251" s="30">
        <v>6363.4702850356298</v>
      </c>
      <c r="AH251" s="31">
        <f t="shared" si="49"/>
        <v>0.92425905598243685</v>
      </c>
      <c r="AI251" s="31">
        <f t="shared" si="50"/>
        <v>5.3444180522565318E-2</v>
      </c>
      <c r="AJ251" s="31">
        <f t="shared" si="51"/>
        <v>1.0688836104513063E-2</v>
      </c>
      <c r="AK251" s="31">
        <f t="shared" si="52"/>
        <v>0.94655581947743472</v>
      </c>
      <c r="AL251" s="29">
        <f t="shared" si="53"/>
        <v>0.55000000000000004</v>
      </c>
      <c r="AM251" s="29">
        <f t="shared" si="54"/>
        <v>650.25</v>
      </c>
      <c r="AN251" s="29">
        <f t="shared" si="55"/>
        <v>1.294886582083814</v>
      </c>
      <c r="AO251" s="29">
        <f t="shared" si="56"/>
        <v>1.3333333333333333</v>
      </c>
      <c r="AP251" s="31">
        <f t="shared" si="57"/>
        <v>0.97116493656286051</v>
      </c>
      <c r="AQ251" s="31">
        <f t="shared" si="58"/>
        <v>0.94655581947743472</v>
      </c>
      <c r="AR251" s="31">
        <f t="shared" si="59"/>
        <v>0.87486278814489571</v>
      </c>
      <c r="AS251" s="29">
        <f t="shared" si="60"/>
        <v>25.73251781472684</v>
      </c>
      <c r="AT251" s="29">
        <f t="shared" si="61"/>
        <v>7.5575656591872091</v>
      </c>
      <c r="AU251" s="27" t="str">
        <f t="shared" si="62"/>
        <v>Medium</v>
      </c>
      <c r="AV251" s="27" t="str">
        <f t="shared" si="63"/>
        <v>Warning</v>
      </c>
      <c r="AW251" s="27"/>
    </row>
    <row r="252" spans="1:49" x14ac:dyDescent="0.25">
      <c r="A252" s="27">
        <v>251</v>
      </c>
      <c r="B252" s="28">
        <v>46150</v>
      </c>
      <c r="C252" s="28" t="str">
        <f t="shared" si="48"/>
        <v>May</v>
      </c>
      <c r="D252" s="27" t="s">
        <v>47</v>
      </c>
      <c r="E252" s="27" t="s">
        <v>98</v>
      </c>
      <c r="F252" s="27" t="s">
        <v>126</v>
      </c>
      <c r="G252" s="27" t="s">
        <v>78</v>
      </c>
      <c r="H252" s="27" t="s">
        <v>51</v>
      </c>
      <c r="I252" s="27" t="s">
        <v>375</v>
      </c>
      <c r="J252" s="27" t="s">
        <v>107</v>
      </c>
      <c r="K252" s="27">
        <v>787</v>
      </c>
      <c r="L252" s="27">
        <v>550</v>
      </c>
      <c r="M252" s="27">
        <v>502</v>
      </c>
      <c r="N252" s="27">
        <v>48</v>
      </c>
      <c r="O252" s="27">
        <v>16</v>
      </c>
      <c r="P252" s="27">
        <v>114</v>
      </c>
      <c r="Q252" s="27" t="s">
        <v>54</v>
      </c>
      <c r="R252" s="27">
        <v>42</v>
      </c>
      <c r="S252" s="27">
        <v>47</v>
      </c>
      <c r="T252" s="29">
        <v>84.1</v>
      </c>
      <c r="U252" s="29">
        <v>1.82</v>
      </c>
      <c r="V252" s="29">
        <v>24.43</v>
      </c>
      <c r="W252" s="30">
        <v>10415.370000000001</v>
      </c>
      <c r="X252" s="27">
        <v>6.97</v>
      </c>
      <c r="Y252" s="27" t="s">
        <v>55</v>
      </c>
      <c r="Z252" s="29">
        <v>6</v>
      </c>
      <c r="AA252" s="30">
        <v>15875.17</v>
      </c>
      <c r="AB252" s="29">
        <v>0.91272727272727305</v>
      </c>
      <c r="AC252" s="30">
        <v>13771.74</v>
      </c>
      <c r="AD252" s="30">
        <v>302.99258181818197</v>
      </c>
      <c r="AE252" s="27">
        <v>550.9</v>
      </c>
      <c r="AF252" s="29">
        <v>0.79306589217643897</v>
      </c>
      <c r="AG252" s="30">
        <v>1800.43741818182</v>
      </c>
      <c r="AH252" s="31">
        <f t="shared" si="49"/>
        <v>0.69885641677255406</v>
      </c>
      <c r="AI252" s="31">
        <f t="shared" si="50"/>
        <v>8.727272727272728E-2</v>
      </c>
      <c r="AJ252" s="31">
        <f t="shared" si="51"/>
        <v>2.9090909090909091E-2</v>
      </c>
      <c r="AK252" s="31">
        <f t="shared" si="52"/>
        <v>0.91272727272727272</v>
      </c>
      <c r="AL252" s="29">
        <f t="shared" si="53"/>
        <v>1.9</v>
      </c>
      <c r="AM252" s="29">
        <f t="shared" si="54"/>
        <v>436.9</v>
      </c>
      <c r="AN252" s="29">
        <f t="shared" si="55"/>
        <v>1.2588693064774548</v>
      </c>
      <c r="AO252" s="29">
        <f t="shared" si="56"/>
        <v>1.4285714285714286</v>
      </c>
      <c r="AP252" s="31">
        <f t="shared" si="57"/>
        <v>0.88120851453421833</v>
      </c>
      <c r="AQ252" s="31">
        <f t="shared" si="58"/>
        <v>0.91272727272727272</v>
      </c>
      <c r="AR252" s="31">
        <f t="shared" si="59"/>
        <v>0.63786531130876778</v>
      </c>
      <c r="AS252" s="29">
        <f t="shared" si="60"/>
        <v>25.039527272727273</v>
      </c>
      <c r="AT252" s="29">
        <f t="shared" si="61"/>
        <v>3.2735225785124</v>
      </c>
      <c r="AU252" s="27" t="str">
        <f t="shared" si="62"/>
        <v>High</v>
      </c>
      <c r="AV252" s="27" t="str">
        <f t="shared" si="63"/>
        <v>Critical</v>
      </c>
      <c r="AW252" s="27"/>
    </row>
    <row r="253" spans="1:49" x14ac:dyDescent="0.25">
      <c r="A253" s="27">
        <v>252</v>
      </c>
      <c r="B253" s="28">
        <v>46056</v>
      </c>
      <c r="C253" s="28" t="str">
        <f t="shared" si="48"/>
        <v>February</v>
      </c>
      <c r="D253" s="27" t="s">
        <v>67</v>
      </c>
      <c r="E253" s="27" t="s">
        <v>98</v>
      </c>
      <c r="F253" s="27" t="s">
        <v>99</v>
      </c>
      <c r="G253" s="27" t="s">
        <v>50</v>
      </c>
      <c r="H253" s="27" t="s">
        <v>79</v>
      </c>
      <c r="I253" s="27" t="s">
        <v>376</v>
      </c>
      <c r="J253" s="27" t="s">
        <v>143</v>
      </c>
      <c r="K253" s="27">
        <v>644</v>
      </c>
      <c r="L253" s="27">
        <v>662</v>
      </c>
      <c r="M253" s="27">
        <v>637</v>
      </c>
      <c r="N253" s="27">
        <v>25</v>
      </c>
      <c r="O253" s="27">
        <v>9</v>
      </c>
      <c r="P253" s="27">
        <v>12</v>
      </c>
      <c r="Q253" s="27" t="s">
        <v>102</v>
      </c>
      <c r="R253" s="27">
        <v>49</v>
      </c>
      <c r="S253" s="27">
        <v>48</v>
      </c>
      <c r="T253" s="29">
        <v>68.900000000000006</v>
      </c>
      <c r="U253" s="29">
        <v>1.99</v>
      </c>
      <c r="V253" s="29">
        <v>27.12</v>
      </c>
      <c r="W253" s="30">
        <v>13971.98</v>
      </c>
      <c r="X253" s="27">
        <v>7.8</v>
      </c>
      <c r="Y253" s="27" t="s">
        <v>71</v>
      </c>
      <c r="Z253" s="29">
        <v>14</v>
      </c>
      <c r="AA253" s="30">
        <v>24314.240000000002</v>
      </c>
      <c r="AB253" s="29">
        <v>0.96223564954682805</v>
      </c>
      <c r="AC253" s="30">
        <v>17726.060000000001</v>
      </c>
      <c r="AD253" s="30">
        <v>189.95138972809701</v>
      </c>
      <c r="AE253" s="27">
        <v>525.93333333333305</v>
      </c>
      <c r="AF253" s="29">
        <v>0.977183419951832</v>
      </c>
      <c r="AG253" s="30">
        <v>6398.2286102718999</v>
      </c>
      <c r="AH253" s="31">
        <f t="shared" si="49"/>
        <v>1.0279503105590062</v>
      </c>
      <c r="AI253" s="31">
        <f t="shared" si="50"/>
        <v>3.7764350453172203E-2</v>
      </c>
      <c r="AJ253" s="31">
        <f t="shared" si="51"/>
        <v>1.3595166163141994E-2</v>
      </c>
      <c r="AK253" s="31">
        <f t="shared" si="52"/>
        <v>0.96223564954682783</v>
      </c>
      <c r="AL253" s="29">
        <f t="shared" si="53"/>
        <v>0.2</v>
      </c>
      <c r="AM253" s="29">
        <f t="shared" si="54"/>
        <v>513.93333333333305</v>
      </c>
      <c r="AN253" s="29">
        <f t="shared" si="55"/>
        <v>1.2881048125567525</v>
      </c>
      <c r="AO253" s="29">
        <f t="shared" si="56"/>
        <v>1.2244897959183674</v>
      </c>
      <c r="AP253" s="31">
        <f t="shared" si="57"/>
        <v>1.0519522635880145</v>
      </c>
      <c r="AQ253" s="31">
        <f t="shared" si="58"/>
        <v>0.96223564954682783</v>
      </c>
      <c r="AR253" s="31">
        <f t="shared" si="59"/>
        <v>0.98913043478260954</v>
      </c>
      <c r="AS253" s="29">
        <f t="shared" si="60"/>
        <v>26.776525679758311</v>
      </c>
      <c r="AT253" s="29">
        <f t="shared" si="61"/>
        <v>9.664997900712839</v>
      </c>
      <c r="AU253" s="27" t="str">
        <f t="shared" si="62"/>
        <v>High</v>
      </c>
      <c r="AV253" s="27" t="str">
        <f t="shared" si="63"/>
        <v>Normal</v>
      </c>
      <c r="AW253" s="27"/>
    </row>
    <row r="254" spans="1:49" x14ac:dyDescent="0.25">
      <c r="A254" s="27">
        <v>253</v>
      </c>
      <c r="B254" s="28">
        <v>46135</v>
      </c>
      <c r="C254" s="28" t="str">
        <f t="shared" si="48"/>
        <v>April</v>
      </c>
      <c r="D254" s="27" t="s">
        <v>67</v>
      </c>
      <c r="E254" s="27" t="s">
        <v>129</v>
      </c>
      <c r="F254" s="27" t="s">
        <v>167</v>
      </c>
      <c r="G254" s="27" t="s">
        <v>50</v>
      </c>
      <c r="H254" s="27" t="s">
        <v>57</v>
      </c>
      <c r="I254" s="27" t="s">
        <v>377</v>
      </c>
      <c r="J254" s="27" t="s">
        <v>70</v>
      </c>
      <c r="K254" s="27">
        <v>856</v>
      </c>
      <c r="L254" s="27">
        <v>791</v>
      </c>
      <c r="M254" s="27">
        <v>718</v>
      </c>
      <c r="N254" s="27">
        <v>73</v>
      </c>
      <c r="O254" s="27">
        <v>16</v>
      </c>
      <c r="P254" s="27">
        <v>38</v>
      </c>
      <c r="Q254" s="27" t="s">
        <v>94</v>
      </c>
      <c r="R254" s="27">
        <v>45</v>
      </c>
      <c r="S254" s="27">
        <v>44</v>
      </c>
      <c r="T254" s="29">
        <v>73.8</v>
      </c>
      <c r="U254" s="29">
        <v>2.25</v>
      </c>
      <c r="V254" s="29">
        <v>34.28</v>
      </c>
      <c r="W254" s="30">
        <v>16229.92</v>
      </c>
      <c r="X254" s="27">
        <v>8.6300000000000008</v>
      </c>
      <c r="Y254" s="27" t="s">
        <v>55</v>
      </c>
      <c r="Z254" s="29">
        <v>1</v>
      </c>
      <c r="AA254" s="30">
        <v>25727.05</v>
      </c>
      <c r="AB254" s="29">
        <v>0.907711757269279</v>
      </c>
      <c r="AC254" s="30">
        <v>20421.939999999999</v>
      </c>
      <c r="AD254" s="30">
        <v>328.29168141592902</v>
      </c>
      <c r="AE254" s="27">
        <v>642</v>
      </c>
      <c r="AF254" s="29">
        <v>0.94080996884735202</v>
      </c>
      <c r="AG254" s="30">
        <v>4976.8183185840699</v>
      </c>
      <c r="AH254" s="31">
        <f t="shared" si="49"/>
        <v>0.9240654205607477</v>
      </c>
      <c r="AI254" s="31">
        <f t="shared" si="50"/>
        <v>9.2288242730720602E-2</v>
      </c>
      <c r="AJ254" s="31">
        <f t="shared" si="51"/>
        <v>2.0227560050568902E-2</v>
      </c>
      <c r="AK254" s="31">
        <f t="shared" si="52"/>
        <v>0.90771175726927944</v>
      </c>
      <c r="AL254" s="29">
        <f t="shared" si="53"/>
        <v>0.6333333333333333</v>
      </c>
      <c r="AM254" s="29">
        <f t="shared" si="54"/>
        <v>604</v>
      </c>
      <c r="AN254" s="29">
        <f t="shared" si="55"/>
        <v>1.3096026490066226</v>
      </c>
      <c r="AO254" s="29">
        <f t="shared" si="56"/>
        <v>1.3333333333333333</v>
      </c>
      <c r="AP254" s="31">
        <f t="shared" si="57"/>
        <v>0.98220198675496695</v>
      </c>
      <c r="AQ254" s="31">
        <f t="shared" si="58"/>
        <v>0.90771175726927944</v>
      </c>
      <c r="AR254" s="31">
        <f t="shared" si="59"/>
        <v>0.83878504672897203</v>
      </c>
      <c r="AS254" s="29">
        <f t="shared" si="60"/>
        <v>25.817876106194689</v>
      </c>
      <c r="AT254" s="29">
        <f t="shared" si="61"/>
        <v>6.2918057124956634</v>
      </c>
      <c r="AU254" s="27" t="str">
        <f t="shared" si="62"/>
        <v>Medium</v>
      </c>
      <c r="AV254" s="27" t="str">
        <f t="shared" si="63"/>
        <v>Warning</v>
      </c>
      <c r="AW254" s="27"/>
    </row>
    <row r="255" spans="1:49" x14ac:dyDescent="0.25">
      <c r="A255" s="27">
        <v>254</v>
      </c>
      <c r="B255" s="28">
        <v>46169</v>
      </c>
      <c r="C255" s="28" t="str">
        <f t="shared" si="48"/>
        <v>May</v>
      </c>
      <c r="D255" s="27" t="s">
        <v>47</v>
      </c>
      <c r="E255" s="27" t="s">
        <v>76</v>
      </c>
      <c r="F255" s="27" t="s">
        <v>113</v>
      </c>
      <c r="G255" s="27" t="s">
        <v>78</v>
      </c>
      <c r="H255" s="27" t="s">
        <v>79</v>
      </c>
      <c r="I255" s="27" t="s">
        <v>378</v>
      </c>
      <c r="J255" s="27" t="s">
        <v>197</v>
      </c>
      <c r="K255" s="27">
        <v>865</v>
      </c>
      <c r="L255" s="27">
        <v>809</v>
      </c>
      <c r="M255" s="27">
        <v>773</v>
      </c>
      <c r="N255" s="27">
        <v>36</v>
      </c>
      <c r="O255" s="27">
        <v>7</v>
      </c>
      <c r="P255" s="27">
        <v>33</v>
      </c>
      <c r="Q255" s="27" t="s">
        <v>75</v>
      </c>
      <c r="R255" s="27">
        <v>49</v>
      </c>
      <c r="S255" s="27">
        <v>51</v>
      </c>
      <c r="T255" s="29">
        <v>74.900000000000006</v>
      </c>
      <c r="U255" s="29">
        <v>1.64</v>
      </c>
      <c r="V255" s="29">
        <v>31.32</v>
      </c>
      <c r="W255" s="30">
        <v>17204.57</v>
      </c>
      <c r="X255" s="27">
        <v>9.6199999999999992</v>
      </c>
      <c r="Y255" s="27" t="s">
        <v>55</v>
      </c>
      <c r="Z255" s="29">
        <v>1</v>
      </c>
      <c r="AA255" s="30">
        <v>28532.52</v>
      </c>
      <c r="AB255" s="29">
        <v>0.95550061804697195</v>
      </c>
      <c r="AC255" s="30">
        <v>21815.45</v>
      </c>
      <c r="AD255" s="30">
        <v>148.86525339925799</v>
      </c>
      <c r="AE255" s="27">
        <v>706.41666666666697</v>
      </c>
      <c r="AF255" s="29">
        <v>0.95328536038692901</v>
      </c>
      <c r="AG255" s="30">
        <v>6568.2047466007398</v>
      </c>
      <c r="AH255" s="31">
        <f t="shared" si="49"/>
        <v>0.93526011560693645</v>
      </c>
      <c r="AI255" s="31">
        <f t="shared" si="50"/>
        <v>4.4499381953028432E-2</v>
      </c>
      <c r="AJ255" s="31">
        <f t="shared" si="51"/>
        <v>8.65265760197775E-3</v>
      </c>
      <c r="AK255" s="31">
        <f t="shared" si="52"/>
        <v>0.95550061804697162</v>
      </c>
      <c r="AL255" s="29">
        <f t="shared" si="53"/>
        <v>0.55000000000000004</v>
      </c>
      <c r="AM255" s="29">
        <f t="shared" si="54"/>
        <v>673.41666666666697</v>
      </c>
      <c r="AN255" s="29">
        <f t="shared" si="55"/>
        <v>1.2013364682588783</v>
      </c>
      <c r="AO255" s="29">
        <f t="shared" si="56"/>
        <v>1.2244897959183674</v>
      </c>
      <c r="AP255" s="31">
        <f t="shared" si="57"/>
        <v>0.98109144907808388</v>
      </c>
      <c r="AQ255" s="31">
        <f t="shared" si="58"/>
        <v>0.95550061804697162</v>
      </c>
      <c r="AR255" s="31">
        <f t="shared" si="59"/>
        <v>0.8936416184971091</v>
      </c>
      <c r="AS255" s="29">
        <f t="shared" si="60"/>
        <v>26.965945611866502</v>
      </c>
      <c r="AT255" s="29">
        <f t="shared" si="61"/>
        <v>8.1189181045744618</v>
      </c>
      <c r="AU255" s="27" t="str">
        <f t="shared" si="62"/>
        <v>Low</v>
      </c>
      <c r="AV255" s="27" t="str">
        <f t="shared" si="63"/>
        <v>Normal</v>
      </c>
      <c r="AW255" s="27"/>
    </row>
    <row r="256" spans="1:49" x14ac:dyDescent="0.25">
      <c r="A256" s="27">
        <v>255</v>
      </c>
      <c r="B256" s="28">
        <v>46160</v>
      </c>
      <c r="C256" s="28" t="str">
        <f t="shared" si="48"/>
        <v>May</v>
      </c>
      <c r="D256" s="27" t="s">
        <v>67</v>
      </c>
      <c r="E256" s="27" t="s">
        <v>48</v>
      </c>
      <c r="F256" s="27" t="s">
        <v>49</v>
      </c>
      <c r="G256" s="27" t="s">
        <v>50</v>
      </c>
      <c r="H256" s="27" t="s">
        <v>124</v>
      </c>
      <c r="I256" s="27" t="s">
        <v>379</v>
      </c>
      <c r="J256" s="27" t="s">
        <v>81</v>
      </c>
      <c r="K256" s="27">
        <v>534</v>
      </c>
      <c r="L256" s="27">
        <v>552</v>
      </c>
      <c r="M256" s="27">
        <v>524</v>
      </c>
      <c r="N256" s="27">
        <v>28</v>
      </c>
      <c r="O256" s="27">
        <v>6</v>
      </c>
      <c r="P256" s="27">
        <v>27</v>
      </c>
      <c r="Q256" s="27" t="s">
        <v>82</v>
      </c>
      <c r="R256" s="27">
        <v>57</v>
      </c>
      <c r="S256" s="27">
        <v>58</v>
      </c>
      <c r="T256" s="29">
        <v>74.900000000000006</v>
      </c>
      <c r="U256" s="29">
        <v>1.32</v>
      </c>
      <c r="V256" s="29">
        <v>22.1</v>
      </c>
      <c r="W256" s="30">
        <v>16077.31</v>
      </c>
      <c r="X256" s="27">
        <v>10.18</v>
      </c>
      <c r="Y256" s="27" t="s">
        <v>55</v>
      </c>
      <c r="Z256" s="29">
        <v>19</v>
      </c>
      <c r="AA256" s="30">
        <v>24546.080000000002</v>
      </c>
      <c r="AB256" s="29">
        <v>0.94927536231884102</v>
      </c>
      <c r="AC256" s="30">
        <v>20857.21</v>
      </c>
      <c r="AD256" s="30">
        <v>174.75336956521701</v>
      </c>
      <c r="AE256" s="27">
        <v>507.3</v>
      </c>
      <c r="AF256" s="29">
        <v>0.94677705499704301</v>
      </c>
      <c r="AG256" s="30">
        <v>3514.1166304347898</v>
      </c>
      <c r="AH256" s="31">
        <f t="shared" si="49"/>
        <v>1.0337078651685394</v>
      </c>
      <c r="AI256" s="31">
        <f t="shared" si="50"/>
        <v>5.0724637681159424E-2</v>
      </c>
      <c r="AJ256" s="31">
        <f t="shared" si="51"/>
        <v>1.0869565217391304E-2</v>
      </c>
      <c r="AK256" s="31">
        <f t="shared" si="52"/>
        <v>0.94927536231884058</v>
      </c>
      <c r="AL256" s="29">
        <f t="shared" si="53"/>
        <v>0.45</v>
      </c>
      <c r="AM256" s="29">
        <f t="shared" si="54"/>
        <v>480.3</v>
      </c>
      <c r="AN256" s="29">
        <f t="shared" si="55"/>
        <v>1.1492816989381636</v>
      </c>
      <c r="AO256" s="29">
        <f t="shared" si="56"/>
        <v>1.0526315789473684</v>
      </c>
      <c r="AP256" s="31">
        <f t="shared" si="57"/>
        <v>1.0918176139912554</v>
      </c>
      <c r="AQ256" s="31">
        <f t="shared" si="58"/>
        <v>0.94927536231884058</v>
      </c>
      <c r="AR256" s="31">
        <f t="shared" si="59"/>
        <v>0.98127340823970022</v>
      </c>
      <c r="AS256" s="29">
        <f t="shared" si="60"/>
        <v>37.784800724637677</v>
      </c>
      <c r="AT256" s="29">
        <f t="shared" si="61"/>
        <v>6.3661533160050539</v>
      </c>
      <c r="AU256" s="27" t="str">
        <f t="shared" si="62"/>
        <v>Low</v>
      </c>
      <c r="AV256" s="27" t="str">
        <f t="shared" si="63"/>
        <v>Normal</v>
      </c>
      <c r="AW256" s="27"/>
    </row>
    <row r="257" spans="1:49" x14ac:dyDescent="0.25">
      <c r="A257" s="27">
        <v>256</v>
      </c>
      <c r="B257" s="28">
        <v>46131</v>
      </c>
      <c r="C257" s="28" t="str">
        <f t="shared" si="48"/>
        <v>April</v>
      </c>
      <c r="D257" s="27" t="s">
        <v>67</v>
      </c>
      <c r="E257" s="27" t="s">
        <v>98</v>
      </c>
      <c r="F257" s="27" t="s">
        <v>126</v>
      </c>
      <c r="G257" s="27" t="s">
        <v>63</v>
      </c>
      <c r="H257" s="27" t="s">
        <v>51</v>
      </c>
      <c r="I257" s="27" t="s">
        <v>380</v>
      </c>
      <c r="J257" s="27" t="s">
        <v>121</v>
      </c>
      <c r="K257" s="27">
        <v>963</v>
      </c>
      <c r="L257" s="27">
        <v>956</v>
      </c>
      <c r="M257" s="27">
        <v>866</v>
      </c>
      <c r="N257" s="27">
        <v>90</v>
      </c>
      <c r="O257" s="27">
        <v>28</v>
      </c>
      <c r="P257" s="27">
        <v>23</v>
      </c>
      <c r="Q257" s="27" t="s">
        <v>102</v>
      </c>
      <c r="R257" s="27">
        <v>42</v>
      </c>
      <c r="S257" s="27">
        <v>43</v>
      </c>
      <c r="T257" s="29">
        <v>82.5</v>
      </c>
      <c r="U257" s="29">
        <v>2.57</v>
      </c>
      <c r="V257" s="29">
        <v>39.130000000000003</v>
      </c>
      <c r="W257" s="30">
        <v>18391.21</v>
      </c>
      <c r="X257" s="27">
        <v>8.1</v>
      </c>
      <c r="Y257" s="27" t="s">
        <v>110</v>
      </c>
      <c r="Z257" s="29">
        <v>50</v>
      </c>
      <c r="AA257" s="30">
        <v>28248.720000000001</v>
      </c>
      <c r="AB257" s="29">
        <v>0.90585774058577395</v>
      </c>
      <c r="AC257" s="30">
        <v>22388.38</v>
      </c>
      <c r="AD257" s="30">
        <v>538.65468619246894</v>
      </c>
      <c r="AE257" s="27">
        <v>674.1</v>
      </c>
      <c r="AF257" s="29">
        <v>0.96588043317015304</v>
      </c>
      <c r="AG257" s="30">
        <v>5321.6853138075403</v>
      </c>
      <c r="AH257" s="31">
        <f t="shared" si="49"/>
        <v>0.9927310488058152</v>
      </c>
      <c r="AI257" s="31">
        <f t="shared" si="50"/>
        <v>9.4142259414225937E-2</v>
      </c>
      <c r="AJ257" s="31">
        <f t="shared" si="51"/>
        <v>2.9288702928870293E-2</v>
      </c>
      <c r="AK257" s="31">
        <f t="shared" si="52"/>
        <v>0.90585774058577406</v>
      </c>
      <c r="AL257" s="29">
        <f t="shared" si="53"/>
        <v>0.38333333333333336</v>
      </c>
      <c r="AM257" s="29">
        <f t="shared" si="54"/>
        <v>651.1</v>
      </c>
      <c r="AN257" s="29">
        <f t="shared" si="55"/>
        <v>1.4682844417140224</v>
      </c>
      <c r="AO257" s="29">
        <f t="shared" si="56"/>
        <v>1.4285714285714286</v>
      </c>
      <c r="AP257" s="31">
        <f t="shared" si="57"/>
        <v>1.0277991091998155</v>
      </c>
      <c r="AQ257" s="31">
        <f t="shared" si="58"/>
        <v>0.90585774058577406</v>
      </c>
      <c r="AR257" s="31">
        <f t="shared" si="59"/>
        <v>0.89927310488058165</v>
      </c>
      <c r="AS257" s="29">
        <f t="shared" si="60"/>
        <v>23.418807531380754</v>
      </c>
      <c r="AT257" s="29">
        <f t="shared" si="61"/>
        <v>5.566616437037176</v>
      </c>
      <c r="AU257" s="27" t="str">
        <f t="shared" si="62"/>
        <v>Medium</v>
      </c>
      <c r="AV257" s="27" t="str">
        <f t="shared" si="63"/>
        <v>Warning</v>
      </c>
      <c r="AW257" s="27"/>
    </row>
    <row r="258" spans="1:49" x14ac:dyDescent="0.25">
      <c r="A258" s="27">
        <v>257</v>
      </c>
      <c r="B258" s="28">
        <v>46100</v>
      </c>
      <c r="C258" s="28" t="str">
        <f t="shared" ref="C258:C321" si="64">TEXT(B258,"mmmm")</f>
        <v>March</v>
      </c>
      <c r="D258" s="27" t="s">
        <v>67</v>
      </c>
      <c r="E258" s="27" t="s">
        <v>61</v>
      </c>
      <c r="F258" s="27" t="s">
        <v>95</v>
      </c>
      <c r="G258" s="27" t="s">
        <v>63</v>
      </c>
      <c r="H258" s="27" t="s">
        <v>51</v>
      </c>
      <c r="I258" s="27" t="s">
        <v>381</v>
      </c>
      <c r="J258" s="27" t="s">
        <v>132</v>
      </c>
      <c r="K258" s="27">
        <v>798</v>
      </c>
      <c r="L258" s="27">
        <v>782</v>
      </c>
      <c r="M258" s="27">
        <v>743</v>
      </c>
      <c r="N258" s="27">
        <v>39</v>
      </c>
      <c r="O258" s="27">
        <v>8</v>
      </c>
      <c r="P258" s="27">
        <v>24</v>
      </c>
      <c r="Q258" s="27" t="s">
        <v>94</v>
      </c>
      <c r="R258" s="27">
        <v>42</v>
      </c>
      <c r="S258" s="27">
        <v>44</v>
      </c>
      <c r="T258" s="29">
        <v>68.8</v>
      </c>
      <c r="U258" s="29">
        <v>1.39</v>
      </c>
      <c r="V258" s="29">
        <v>26.51</v>
      </c>
      <c r="W258" s="30">
        <v>13714.82</v>
      </c>
      <c r="X258" s="27">
        <v>9.4700000000000006</v>
      </c>
      <c r="Y258" s="27" t="s">
        <v>71</v>
      </c>
      <c r="Z258" s="29">
        <v>45</v>
      </c>
      <c r="AA258" s="30">
        <v>23869.55</v>
      </c>
      <c r="AB258" s="29">
        <v>0.95012787723785197</v>
      </c>
      <c r="AC258" s="30">
        <v>18214.91</v>
      </c>
      <c r="AD258" s="30">
        <v>140.30506393861901</v>
      </c>
      <c r="AE258" s="27">
        <v>558.6</v>
      </c>
      <c r="AF258" s="29">
        <v>0.95703544575724997</v>
      </c>
      <c r="AG258" s="30">
        <v>5514.3349360613802</v>
      </c>
      <c r="AH258" s="31">
        <f t="shared" ref="AH258:AH321" si="65">IFERROR(L258/K258,0)</f>
        <v>0.97994987468671679</v>
      </c>
      <c r="AI258" s="31">
        <f t="shared" ref="AI258:AI321" si="66">IFERROR(N258/L258,0)</f>
        <v>4.9872122762148335E-2</v>
      </c>
      <c r="AJ258" s="31">
        <f t="shared" ref="AJ258:AJ321" si="67">IFERROR(O258/L258,0)</f>
        <v>1.0230179028132993E-2</v>
      </c>
      <c r="AK258" s="31">
        <f t="shared" ref="AK258:AK321" si="68">IFERROR(M258/L258,0)</f>
        <v>0.95012787723785164</v>
      </c>
      <c r="AL258" s="29">
        <f t="shared" ref="AL258:AL321" si="69">P258/60</f>
        <v>0.4</v>
      </c>
      <c r="AM258" s="29">
        <f t="shared" ref="AM258:AM321" si="70">MAX(0,AE258-P258)</f>
        <v>534.6</v>
      </c>
      <c r="AN258" s="29">
        <f t="shared" ref="AN258:AN321" si="71">IFERROR(L258/AM258,0)</f>
        <v>1.4627759072203517</v>
      </c>
      <c r="AO258" s="29">
        <f t="shared" ref="AO258:AO321" si="72">IFERROR(60/R258,0)</f>
        <v>1.4285714285714286</v>
      </c>
      <c r="AP258" s="31">
        <f t="shared" ref="AP258:AP321" si="73">IFERROR(AN258/AO258,0)</f>
        <v>1.0239431350542461</v>
      </c>
      <c r="AQ258" s="31">
        <f t="shared" ref="AQ258:AQ321" si="74">IFERROR(M258/L258,0)</f>
        <v>0.95012787723785164</v>
      </c>
      <c r="AR258" s="31">
        <f t="shared" ref="AR258:AR321" si="75">AF258*AP258*AQ258</f>
        <v>0.9310776942355885</v>
      </c>
      <c r="AS258" s="29">
        <f t="shared" ref="AS258:AS321" si="76">IFERROR(AC258/L258,0)</f>
        <v>23.292723785166242</v>
      </c>
      <c r="AT258" s="29">
        <f t="shared" ref="AT258:AT321" si="77">IFERROR(AG258/L258,0)</f>
        <v>7.0515792021245272</v>
      </c>
      <c r="AU258" s="27" t="str">
        <f t="shared" ref="AU258:AU321" si="78">IF(OR(Y258="Overdue",P258&gt;=120,T258&gt;=85,U258&gt;=4,AI258&gt;=0.12,AR258&lt;0.8),"High",IF(OR(Y258="Pending",Z258&gt;=30,P258&gt;=60,T258&gt;=80,U258&gt;=3,AI258&gt;=0.08,AR258&lt;0.85),"Medium","Low"))</f>
        <v>High</v>
      </c>
      <c r="AV258" s="27" t="str">
        <f t="shared" ref="AV258:AV321" si="79">IF(OR(P258&gt;=120,T258&gt;=90,U258&gt;=4.5,AI258&gt;=0.15,AR258&lt;0.75),"Critical",IF(OR(P258&gt;=60,T258&gt;=80,U258&gt;=3,AI258&gt;=0.08,AR258&lt;0.85),"Warning","Normal"))</f>
        <v>Normal</v>
      </c>
      <c r="AW258" s="27"/>
    </row>
    <row r="259" spans="1:49" x14ac:dyDescent="0.25">
      <c r="A259" s="27">
        <v>258</v>
      </c>
      <c r="B259" s="28">
        <v>46089</v>
      </c>
      <c r="C259" s="28" t="str">
        <f t="shared" si="64"/>
        <v>March</v>
      </c>
      <c r="D259" s="27" t="s">
        <v>67</v>
      </c>
      <c r="E259" s="27" t="s">
        <v>48</v>
      </c>
      <c r="F259" s="27" t="s">
        <v>56</v>
      </c>
      <c r="G259" s="27" t="s">
        <v>63</v>
      </c>
      <c r="H259" s="27" t="s">
        <v>124</v>
      </c>
      <c r="I259" s="27" t="s">
        <v>382</v>
      </c>
      <c r="J259" s="27" t="s">
        <v>59</v>
      </c>
      <c r="K259" s="27">
        <v>561</v>
      </c>
      <c r="L259" s="27">
        <v>563</v>
      </c>
      <c r="M259" s="27">
        <v>531</v>
      </c>
      <c r="N259" s="27">
        <v>32</v>
      </c>
      <c r="O259" s="27">
        <v>13</v>
      </c>
      <c r="P259" s="27">
        <v>32</v>
      </c>
      <c r="Q259" s="27" t="s">
        <v>91</v>
      </c>
      <c r="R259" s="27">
        <v>57</v>
      </c>
      <c r="S259" s="27">
        <v>58</v>
      </c>
      <c r="T259" s="29">
        <v>76.5</v>
      </c>
      <c r="U259" s="29">
        <v>2.21</v>
      </c>
      <c r="V259" s="29">
        <v>17.61</v>
      </c>
      <c r="W259" s="30">
        <v>15740.65</v>
      </c>
      <c r="X259" s="27">
        <v>7.48</v>
      </c>
      <c r="Y259" s="27" t="s">
        <v>55</v>
      </c>
      <c r="Z259" s="29">
        <v>24</v>
      </c>
      <c r="AA259" s="30">
        <v>24613.64</v>
      </c>
      <c r="AB259" s="29">
        <v>0.94316163410302001</v>
      </c>
      <c r="AC259" s="30">
        <v>19265.14</v>
      </c>
      <c r="AD259" s="30">
        <v>363.46083481349899</v>
      </c>
      <c r="AE259" s="27">
        <v>532.95000000000005</v>
      </c>
      <c r="AF259" s="29">
        <v>0.93995684398161194</v>
      </c>
      <c r="AG259" s="30">
        <v>4985.0391651865002</v>
      </c>
      <c r="AH259" s="31">
        <f t="shared" si="65"/>
        <v>1.0035650623885919</v>
      </c>
      <c r="AI259" s="31">
        <f t="shared" si="66"/>
        <v>5.6838365896980464E-2</v>
      </c>
      <c r="AJ259" s="31">
        <f t="shared" si="67"/>
        <v>2.3090586145648313E-2</v>
      </c>
      <c r="AK259" s="31">
        <f t="shared" si="68"/>
        <v>0.94316163410301956</v>
      </c>
      <c r="AL259" s="29">
        <f t="shared" si="69"/>
        <v>0.53333333333333333</v>
      </c>
      <c r="AM259" s="29">
        <f t="shared" si="70"/>
        <v>500.95000000000005</v>
      </c>
      <c r="AN259" s="29">
        <f t="shared" si="71"/>
        <v>1.1238646571514121</v>
      </c>
      <c r="AO259" s="29">
        <f t="shared" si="72"/>
        <v>1.0526315789473684</v>
      </c>
      <c r="AP259" s="31">
        <f t="shared" si="73"/>
        <v>1.0676714242938417</v>
      </c>
      <c r="AQ259" s="31">
        <f t="shared" si="74"/>
        <v>0.94316163410301956</v>
      </c>
      <c r="AR259" s="31">
        <f t="shared" si="75"/>
        <v>0.94652406417112311</v>
      </c>
      <c r="AS259" s="29">
        <f t="shared" si="76"/>
        <v>34.218721136767314</v>
      </c>
      <c r="AT259" s="29">
        <f t="shared" si="77"/>
        <v>8.8544212525515107</v>
      </c>
      <c r="AU259" s="27" t="str">
        <f t="shared" si="78"/>
        <v>Low</v>
      </c>
      <c r="AV259" s="27" t="str">
        <f t="shared" si="79"/>
        <v>Normal</v>
      </c>
      <c r="AW259" s="27"/>
    </row>
    <row r="260" spans="1:49" x14ac:dyDescent="0.25">
      <c r="A260" s="27">
        <v>259</v>
      </c>
      <c r="B260" s="28">
        <v>46047</v>
      </c>
      <c r="C260" s="28" t="str">
        <f t="shared" si="64"/>
        <v>January</v>
      </c>
      <c r="D260" s="27" t="s">
        <v>47</v>
      </c>
      <c r="E260" s="27" t="s">
        <v>76</v>
      </c>
      <c r="F260" s="27" t="s">
        <v>119</v>
      </c>
      <c r="G260" s="27" t="s">
        <v>78</v>
      </c>
      <c r="H260" s="27" t="s">
        <v>57</v>
      </c>
      <c r="I260" s="27" t="s">
        <v>383</v>
      </c>
      <c r="J260" s="27" t="s">
        <v>121</v>
      </c>
      <c r="K260" s="27">
        <v>818</v>
      </c>
      <c r="L260" s="27">
        <v>708</v>
      </c>
      <c r="M260" s="27">
        <v>630</v>
      </c>
      <c r="N260" s="27">
        <v>78</v>
      </c>
      <c r="O260" s="27">
        <v>16</v>
      </c>
      <c r="P260" s="27">
        <v>18</v>
      </c>
      <c r="Q260" s="27" t="s">
        <v>82</v>
      </c>
      <c r="R260" s="27">
        <v>45</v>
      </c>
      <c r="S260" s="27">
        <v>46</v>
      </c>
      <c r="T260" s="29">
        <v>71.400000000000006</v>
      </c>
      <c r="U260" s="29">
        <v>1.74</v>
      </c>
      <c r="V260" s="29">
        <v>22.04</v>
      </c>
      <c r="W260" s="30">
        <v>13971.32</v>
      </c>
      <c r="X260" s="27">
        <v>8.7899999999999991</v>
      </c>
      <c r="Y260" s="27" t="s">
        <v>110</v>
      </c>
      <c r="Z260" s="29">
        <v>21</v>
      </c>
      <c r="AA260" s="30">
        <v>22488.46</v>
      </c>
      <c r="AB260" s="29">
        <v>0.88983050847457601</v>
      </c>
      <c r="AC260" s="30">
        <v>18125.18</v>
      </c>
      <c r="AD260" s="30">
        <v>315.73604519774</v>
      </c>
      <c r="AE260" s="27">
        <v>613.5</v>
      </c>
      <c r="AF260" s="29">
        <v>0.97066014669926703</v>
      </c>
      <c r="AG260" s="30">
        <v>4047.54395480226</v>
      </c>
      <c r="AH260" s="31">
        <f t="shared" si="65"/>
        <v>0.86552567237163813</v>
      </c>
      <c r="AI260" s="31">
        <f t="shared" si="66"/>
        <v>0.11016949152542373</v>
      </c>
      <c r="AJ260" s="31">
        <f t="shared" si="67"/>
        <v>2.2598870056497175E-2</v>
      </c>
      <c r="AK260" s="31">
        <f t="shared" si="68"/>
        <v>0.88983050847457623</v>
      </c>
      <c r="AL260" s="29">
        <f t="shared" si="69"/>
        <v>0.3</v>
      </c>
      <c r="AM260" s="29">
        <f t="shared" si="70"/>
        <v>595.5</v>
      </c>
      <c r="AN260" s="29">
        <f t="shared" si="71"/>
        <v>1.1889168765743072</v>
      </c>
      <c r="AO260" s="29">
        <f t="shared" si="72"/>
        <v>1.3333333333333333</v>
      </c>
      <c r="AP260" s="31">
        <f t="shared" si="73"/>
        <v>0.89168765743073042</v>
      </c>
      <c r="AQ260" s="31">
        <f t="shared" si="74"/>
        <v>0.88983050847457623</v>
      </c>
      <c r="AR260" s="31">
        <f t="shared" si="75"/>
        <v>0.77017114914425466</v>
      </c>
      <c r="AS260" s="29">
        <f t="shared" si="76"/>
        <v>25.600536723163842</v>
      </c>
      <c r="AT260" s="29">
        <f t="shared" si="77"/>
        <v>5.7168699926585598</v>
      </c>
      <c r="AU260" s="27" t="str">
        <f t="shared" si="78"/>
        <v>High</v>
      </c>
      <c r="AV260" s="27" t="str">
        <f t="shared" si="79"/>
        <v>Warning</v>
      </c>
      <c r="AW260" s="27"/>
    </row>
    <row r="261" spans="1:49" x14ac:dyDescent="0.25">
      <c r="A261" s="27">
        <v>260</v>
      </c>
      <c r="B261" s="28">
        <v>46157</v>
      </c>
      <c r="C261" s="28" t="str">
        <f t="shared" si="64"/>
        <v>May</v>
      </c>
      <c r="D261" s="27" t="s">
        <v>47</v>
      </c>
      <c r="E261" s="27" t="s">
        <v>61</v>
      </c>
      <c r="F261" s="27" t="s">
        <v>62</v>
      </c>
      <c r="G261" s="27" t="s">
        <v>78</v>
      </c>
      <c r="H261" s="27" t="s">
        <v>51</v>
      </c>
      <c r="I261" s="27" t="s">
        <v>384</v>
      </c>
      <c r="J261" s="27" t="s">
        <v>153</v>
      </c>
      <c r="K261" s="27">
        <v>728</v>
      </c>
      <c r="L261" s="27">
        <v>694</v>
      </c>
      <c r="M261" s="27">
        <v>660</v>
      </c>
      <c r="N261" s="27">
        <v>34</v>
      </c>
      <c r="O261" s="27">
        <v>12</v>
      </c>
      <c r="P261" s="27">
        <v>15</v>
      </c>
      <c r="Q261" s="27" t="s">
        <v>82</v>
      </c>
      <c r="R261" s="27">
        <v>42</v>
      </c>
      <c r="S261" s="27">
        <v>47</v>
      </c>
      <c r="T261" s="29">
        <v>65.099999999999994</v>
      </c>
      <c r="U261" s="29">
        <v>1.61</v>
      </c>
      <c r="V261" s="29">
        <v>20.71</v>
      </c>
      <c r="W261" s="30">
        <v>12411.24</v>
      </c>
      <c r="X261" s="27">
        <v>9.56</v>
      </c>
      <c r="Y261" s="27" t="s">
        <v>55</v>
      </c>
      <c r="Z261" s="29">
        <v>25</v>
      </c>
      <c r="AA261" s="30">
        <v>20773.52</v>
      </c>
      <c r="AB261" s="29">
        <v>0.95100864553314102</v>
      </c>
      <c r="AC261" s="30">
        <v>16899.63</v>
      </c>
      <c r="AD261" s="30">
        <v>214.60357348703201</v>
      </c>
      <c r="AE261" s="27">
        <v>509.6</v>
      </c>
      <c r="AF261" s="29">
        <v>0.97056514913657799</v>
      </c>
      <c r="AG261" s="30">
        <v>3659.2864265129701</v>
      </c>
      <c r="AH261" s="31">
        <f t="shared" si="65"/>
        <v>0.95329670329670335</v>
      </c>
      <c r="AI261" s="31">
        <f t="shared" si="66"/>
        <v>4.8991354466858789E-2</v>
      </c>
      <c r="AJ261" s="31">
        <f t="shared" si="67"/>
        <v>1.7291066282420751E-2</v>
      </c>
      <c r="AK261" s="31">
        <f t="shared" si="68"/>
        <v>0.95100864553314124</v>
      </c>
      <c r="AL261" s="29">
        <f t="shared" si="69"/>
        <v>0.25</v>
      </c>
      <c r="AM261" s="29">
        <f t="shared" si="70"/>
        <v>494.6</v>
      </c>
      <c r="AN261" s="29">
        <f t="shared" si="71"/>
        <v>1.403154063890012</v>
      </c>
      <c r="AO261" s="29">
        <f t="shared" si="72"/>
        <v>1.4285714285714286</v>
      </c>
      <c r="AP261" s="31">
        <f t="shared" si="73"/>
        <v>0.98220784472300837</v>
      </c>
      <c r="AQ261" s="31">
        <f t="shared" si="74"/>
        <v>0.95100864553314124</v>
      </c>
      <c r="AR261" s="31">
        <f t="shared" si="75"/>
        <v>0.90659340659340681</v>
      </c>
      <c r="AS261" s="29">
        <f t="shared" si="76"/>
        <v>24.351051873198848</v>
      </c>
      <c r="AT261" s="29">
        <f t="shared" si="77"/>
        <v>5.2727470122665272</v>
      </c>
      <c r="AU261" s="27" t="str">
        <f t="shared" si="78"/>
        <v>Low</v>
      </c>
      <c r="AV261" s="27" t="str">
        <f t="shared" si="79"/>
        <v>Normal</v>
      </c>
      <c r="AW261" s="27"/>
    </row>
    <row r="262" spans="1:49" x14ac:dyDescent="0.25">
      <c r="A262" s="27">
        <v>261</v>
      </c>
      <c r="B262" s="28">
        <v>46055</v>
      </c>
      <c r="C262" s="28" t="str">
        <f t="shared" si="64"/>
        <v>February</v>
      </c>
      <c r="D262" s="27" t="s">
        <v>47</v>
      </c>
      <c r="E262" s="27" t="s">
        <v>98</v>
      </c>
      <c r="F262" s="27" t="s">
        <v>105</v>
      </c>
      <c r="G262" s="27" t="s">
        <v>63</v>
      </c>
      <c r="H262" s="27" t="s">
        <v>57</v>
      </c>
      <c r="I262" s="27" t="s">
        <v>385</v>
      </c>
      <c r="J262" s="27" t="s">
        <v>197</v>
      </c>
      <c r="K262" s="27">
        <v>719</v>
      </c>
      <c r="L262" s="27">
        <v>588</v>
      </c>
      <c r="M262" s="27">
        <v>555</v>
      </c>
      <c r="N262" s="27">
        <v>33</v>
      </c>
      <c r="O262" s="27">
        <v>8</v>
      </c>
      <c r="P262" s="27">
        <v>24</v>
      </c>
      <c r="Q262" s="27" t="s">
        <v>54</v>
      </c>
      <c r="R262" s="27">
        <v>45</v>
      </c>
      <c r="S262" s="27">
        <v>43</v>
      </c>
      <c r="T262" s="29">
        <v>66.3</v>
      </c>
      <c r="U262" s="29">
        <v>1.1200000000000001</v>
      </c>
      <c r="V262" s="29">
        <v>17.48</v>
      </c>
      <c r="W262" s="30">
        <v>11509.82</v>
      </c>
      <c r="X262" s="27">
        <v>7.51</v>
      </c>
      <c r="Y262" s="27" t="s">
        <v>66</v>
      </c>
      <c r="Z262" s="29">
        <v>11</v>
      </c>
      <c r="AA262" s="30">
        <v>19075.38</v>
      </c>
      <c r="AB262" s="29">
        <v>0.94387755102040805</v>
      </c>
      <c r="AC262" s="30">
        <v>15046.64</v>
      </c>
      <c r="AD262" s="30">
        <v>156.596190476191</v>
      </c>
      <c r="AE262" s="27">
        <v>539.25</v>
      </c>
      <c r="AF262" s="29">
        <v>0.95549374130737097</v>
      </c>
      <c r="AG262" s="30">
        <v>3872.14380952381</v>
      </c>
      <c r="AH262" s="31">
        <f t="shared" si="65"/>
        <v>0.81780250347705141</v>
      </c>
      <c r="AI262" s="31">
        <f t="shared" si="66"/>
        <v>5.6122448979591837E-2</v>
      </c>
      <c r="AJ262" s="31">
        <f t="shared" si="67"/>
        <v>1.3605442176870748E-2</v>
      </c>
      <c r="AK262" s="31">
        <f t="shared" si="68"/>
        <v>0.94387755102040816</v>
      </c>
      <c r="AL262" s="29">
        <f t="shared" si="69"/>
        <v>0.4</v>
      </c>
      <c r="AM262" s="29">
        <f t="shared" si="70"/>
        <v>515.25</v>
      </c>
      <c r="AN262" s="29">
        <f t="shared" si="71"/>
        <v>1.1411935953420669</v>
      </c>
      <c r="AO262" s="29">
        <f t="shared" si="72"/>
        <v>1.3333333333333333</v>
      </c>
      <c r="AP262" s="31">
        <f t="shared" si="73"/>
        <v>0.85589519650655022</v>
      </c>
      <c r="AQ262" s="31">
        <f t="shared" si="74"/>
        <v>0.94387755102040816</v>
      </c>
      <c r="AR262" s="31">
        <f t="shared" si="75"/>
        <v>0.77190542420027775</v>
      </c>
      <c r="AS262" s="29">
        <f t="shared" si="76"/>
        <v>25.589523809523808</v>
      </c>
      <c r="AT262" s="29">
        <f t="shared" si="77"/>
        <v>6.5852785876255275</v>
      </c>
      <c r="AU262" s="27" t="str">
        <f t="shared" si="78"/>
        <v>High</v>
      </c>
      <c r="AV262" s="27" t="str">
        <f t="shared" si="79"/>
        <v>Warning</v>
      </c>
      <c r="AW262" s="27"/>
    </row>
    <row r="263" spans="1:49" x14ac:dyDescent="0.25">
      <c r="A263" s="27">
        <v>262</v>
      </c>
      <c r="B263" s="28">
        <v>46194</v>
      </c>
      <c r="C263" s="28" t="str">
        <f t="shared" si="64"/>
        <v>June</v>
      </c>
      <c r="D263" s="27" t="s">
        <v>67</v>
      </c>
      <c r="E263" s="27" t="s">
        <v>48</v>
      </c>
      <c r="F263" s="27" t="s">
        <v>72</v>
      </c>
      <c r="G263" s="27" t="s">
        <v>50</v>
      </c>
      <c r="H263" s="27" t="s">
        <v>57</v>
      </c>
      <c r="I263" s="27" t="s">
        <v>386</v>
      </c>
      <c r="J263" s="27" t="s">
        <v>109</v>
      </c>
      <c r="K263" s="27">
        <v>858</v>
      </c>
      <c r="L263" s="27">
        <v>780</v>
      </c>
      <c r="M263" s="27">
        <v>749</v>
      </c>
      <c r="N263" s="27">
        <v>31</v>
      </c>
      <c r="O263" s="27">
        <v>10</v>
      </c>
      <c r="P263" s="27">
        <v>37</v>
      </c>
      <c r="Q263" s="27" t="s">
        <v>102</v>
      </c>
      <c r="R263" s="27">
        <v>45</v>
      </c>
      <c r="S263" s="27">
        <v>46</v>
      </c>
      <c r="T263" s="29">
        <v>80.400000000000006</v>
      </c>
      <c r="U263" s="29">
        <v>2.38</v>
      </c>
      <c r="V263" s="29">
        <v>31.82</v>
      </c>
      <c r="W263" s="30">
        <v>15360.2</v>
      </c>
      <c r="X263" s="27">
        <v>8.81</v>
      </c>
      <c r="Y263" s="27" t="s">
        <v>55</v>
      </c>
      <c r="Z263" s="29">
        <v>29</v>
      </c>
      <c r="AA263" s="30">
        <v>26569.45</v>
      </c>
      <c r="AB263" s="29">
        <v>0.96025641025640995</v>
      </c>
      <c r="AC263" s="30">
        <v>19611.080000000002</v>
      </c>
      <c r="AD263" s="30">
        <v>196.925641025641</v>
      </c>
      <c r="AE263" s="27">
        <v>643.5</v>
      </c>
      <c r="AF263" s="29">
        <v>0.94250194250194297</v>
      </c>
      <c r="AG263" s="30">
        <v>6761.4443589743596</v>
      </c>
      <c r="AH263" s="31">
        <f t="shared" si="65"/>
        <v>0.90909090909090906</v>
      </c>
      <c r="AI263" s="31">
        <f t="shared" si="66"/>
        <v>3.9743589743589741E-2</v>
      </c>
      <c r="AJ263" s="31">
        <f t="shared" si="67"/>
        <v>1.282051282051282E-2</v>
      </c>
      <c r="AK263" s="31">
        <f t="shared" si="68"/>
        <v>0.96025641025641029</v>
      </c>
      <c r="AL263" s="29">
        <f t="shared" si="69"/>
        <v>0.6166666666666667</v>
      </c>
      <c r="AM263" s="29">
        <f t="shared" si="70"/>
        <v>606.5</v>
      </c>
      <c r="AN263" s="29">
        <f t="shared" si="71"/>
        <v>1.2860676009892829</v>
      </c>
      <c r="AO263" s="29">
        <f t="shared" si="72"/>
        <v>1.3333333333333333</v>
      </c>
      <c r="AP263" s="31">
        <f t="shared" si="73"/>
        <v>0.96455070074196214</v>
      </c>
      <c r="AQ263" s="31">
        <f t="shared" si="74"/>
        <v>0.96025641025641029</v>
      </c>
      <c r="AR263" s="31">
        <f t="shared" si="75"/>
        <v>0.87296037296037354</v>
      </c>
      <c r="AS263" s="29">
        <f t="shared" si="76"/>
        <v>25.142410256410258</v>
      </c>
      <c r="AT263" s="29">
        <f t="shared" si="77"/>
        <v>8.6685184089414875</v>
      </c>
      <c r="AU263" s="27" t="str">
        <f t="shared" si="78"/>
        <v>Medium</v>
      </c>
      <c r="AV263" s="27" t="str">
        <f t="shared" si="79"/>
        <v>Warning</v>
      </c>
      <c r="AW263" s="27"/>
    </row>
    <row r="264" spans="1:49" x14ac:dyDescent="0.25">
      <c r="A264" s="27">
        <v>263</v>
      </c>
      <c r="B264" s="28">
        <v>46077</v>
      </c>
      <c r="C264" s="28" t="str">
        <f t="shared" si="64"/>
        <v>February</v>
      </c>
      <c r="D264" s="27" t="s">
        <v>67</v>
      </c>
      <c r="E264" s="27" t="s">
        <v>129</v>
      </c>
      <c r="F264" s="27" t="s">
        <v>130</v>
      </c>
      <c r="G264" s="27" t="s">
        <v>63</v>
      </c>
      <c r="H264" s="27" t="s">
        <v>79</v>
      </c>
      <c r="I264" s="27" t="s">
        <v>387</v>
      </c>
      <c r="J264" s="27" t="s">
        <v>53</v>
      </c>
      <c r="K264" s="27">
        <v>712</v>
      </c>
      <c r="L264" s="27">
        <v>655</v>
      </c>
      <c r="M264" s="27">
        <v>555</v>
      </c>
      <c r="N264" s="27">
        <v>100</v>
      </c>
      <c r="O264" s="27">
        <v>25</v>
      </c>
      <c r="P264" s="27">
        <v>44</v>
      </c>
      <c r="Q264" s="27" t="s">
        <v>54</v>
      </c>
      <c r="R264" s="27">
        <v>49</v>
      </c>
      <c r="S264" s="27">
        <v>56</v>
      </c>
      <c r="T264" s="29">
        <v>82.4</v>
      </c>
      <c r="U264" s="29">
        <v>4.22</v>
      </c>
      <c r="V264" s="29">
        <v>25.54</v>
      </c>
      <c r="W264" s="30">
        <v>15233.41</v>
      </c>
      <c r="X264" s="27">
        <v>7.97</v>
      </c>
      <c r="Y264" s="27" t="s">
        <v>71</v>
      </c>
      <c r="Z264" s="29">
        <v>57</v>
      </c>
      <c r="AA264" s="30">
        <v>20825.009999999998</v>
      </c>
      <c r="AB264" s="29">
        <v>0.84732824427480902</v>
      </c>
      <c r="AC264" s="30">
        <v>19049.77</v>
      </c>
      <c r="AD264" s="30">
        <v>581.42786259542004</v>
      </c>
      <c r="AE264" s="27">
        <v>581.46666666666704</v>
      </c>
      <c r="AF264" s="29">
        <v>0.92432928227470801</v>
      </c>
      <c r="AG264" s="30">
        <v>1193.81213740458</v>
      </c>
      <c r="AH264" s="31">
        <f t="shared" si="65"/>
        <v>0.9199438202247191</v>
      </c>
      <c r="AI264" s="31">
        <f t="shared" si="66"/>
        <v>0.15267175572519084</v>
      </c>
      <c r="AJ264" s="31">
        <f t="shared" si="67"/>
        <v>3.8167938931297711E-2</v>
      </c>
      <c r="AK264" s="31">
        <f t="shared" si="68"/>
        <v>0.84732824427480913</v>
      </c>
      <c r="AL264" s="29">
        <f t="shared" si="69"/>
        <v>0.73333333333333328</v>
      </c>
      <c r="AM264" s="29">
        <f t="shared" si="70"/>
        <v>537.46666666666704</v>
      </c>
      <c r="AN264" s="29">
        <f t="shared" si="71"/>
        <v>1.2186802282312073</v>
      </c>
      <c r="AO264" s="29">
        <f t="shared" si="72"/>
        <v>1.2244897959183674</v>
      </c>
      <c r="AP264" s="31">
        <f t="shared" si="73"/>
        <v>0.99525551972215254</v>
      </c>
      <c r="AQ264" s="31">
        <f t="shared" si="74"/>
        <v>0.84732824427480913</v>
      </c>
      <c r="AR264" s="31">
        <f t="shared" si="75"/>
        <v>0.77949438202247157</v>
      </c>
      <c r="AS264" s="29">
        <f t="shared" si="76"/>
        <v>29.083618320610686</v>
      </c>
      <c r="AT264" s="29">
        <f t="shared" si="77"/>
        <v>1.8226139502359999</v>
      </c>
      <c r="AU264" s="27" t="str">
        <f t="shared" si="78"/>
        <v>High</v>
      </c>
      <c r="AV264" s="27" t="str">
        <f t="shared" si="79"/>
        <v>Critical</v>
      </c>
      <c r="AW264" s="27"/>
    </row>
    <row r="265" spans="1:49" x14ac:dyDescent="0.25">
      <c r="A265" s="27">
        <v>264</v>
      </c>
      <c r="B265" s="28">
        <v>46132</v>
      </c>
      <c r="C265" s="28" t="str">
        <f t="shared" si="64"/>
        <v>April</v>
      </c>
      <c r="D265" s="27" t="s">
        <v>47</v>
      </c>
      <c r="E265" s="27" t="s">
        <v>48</v>
      </c>
      <c r="F265" s="27" t="s">
        <v>56</v>
      </c>
      <c r="G265" s="27" t="s">
        <v>78</v>
      </c>
      <c r="H265" s="27" t="s">
        <v>79</v>
      </c>
      <c r="I265" s="27" t="s">
        <v>388</v>
      </c>
      <c r="J265" s="27" t="s">
        <v>132</v>
      </c>
      <c r="K265" s="27">
        <v>871</v>
      </c>
      <c r="L265" s="27">
        <v>827</v>
      </c>
      <c r="M265" s="27">
        <v>768</v>
      </c>
      <c r="N265" s="27">
        <v>59</v>
      </c>
      <c r="O265" s="27">
        <v>21</v>
      </c>
      <c r="P265" s="27">
        <v>12</v>
      </c>
      <c r="Q265" s="27" t="s">
        <v>102</v>
      </c>
      <c r="R265" s="27">
        <v>49</v>
      </c>
      <c r="S265" s="27">
        <v>49</v>
      </c>
      <c r="T265" s="29">
        <v>65.900000000000006</v>
      </c>
      <c r="U265" s="29">
        <v>2.5</v>
      </c>
      <c r="V265" s="29">
        <v>33.25</v>
      </c>
      <c r="W265" s="30">
        <v>17896.439999999999</v>
      </c>
      <c r="X265" s="27">
        <v>7.46</v>
      </c>
      <c r="Y265" s="27" t="s">
        <v>55</v>
      </c>
      <c r="Z265" s="29">
        <v>39</v>
      </c>
      <c r="AA265" s="30">
        <v>29786.41</v>
      </c>
      <c r="AB265" s="29">
        <v>0.928657799274486</v>
      </c>
      <c r="AC265" s="30">
        <v>21552.69</v>
      </c>
      <c r="AD265" s="30">
        <v>454.444062877872</v>
      </c>
      <c r="AE265" s="27">
        <v>711.31666666666695</v>
      </c>
      <c r="AF265" s="29">
        <v>0.983129876520068</v>
      </c>
      <c r="AG265" s="30">
        <v>7779.27593712213</v>
      </c>
      <c r="AH265" s="31">
        <f t="shared" si="65"/>
        <v>0.94948335246842708</v>
      </c>
      <c r="AI265" s="31">
        <f t="shared" si="66"/>
        <v>7.1342200725513907E-2</v>
      </c>
      <c r="AJ265" s="31">
        <f t="shared" si="67"/>
        <v>2.539298669891173E-2</v>
      </c>
      <c r="AK265" s="31">
        <f t="shared" si="68"/>
        <v>0.92865779927448611</v>
      </c>
      <c r="AL265" s="29">
        <f t="shared" si="69"/>
        <v>0.2</v>
      </c>
      <c r="AM265" s="29">
        <f t="shared" si="70"/>
        <v>699.31666666666695</v>
      </c>
      <c r="AN265" s="29">
        <f t="shared" si="71"/>
        <v>1.182582997688219</v>
      </c>
      <c r="AO265" s="29">
        <f t="shared" si="72"/>
        <v>1.2244897959183674</v>
      </c>
      <c r="AP265" s="31">
        <f t="shared" si="73"/>
        <v>0.96577611477871217</v>
      </c>
      <c r="AQ265" s="31">
        <f t="shared" si="74"/>
        <v>0.92865779927448611</v>
      </c>
      <c r="AR265" s="31">
        <f t="shared" si="75"/>
        <v>0.88174512055109</v>
      </c>
      <c r="AS265" s="29">
        <f t="shared" si="76"/>
        <v>26.061293833131799</v>
      </c>
      <c r="AT265" s="29">
        <f t="shared" si="77"/>
        <v>9.40662144754792</v>
      </c>
      <c r="AU265" s="27" t="str">
        <f t="shared" si="78"/>
        <v>Medium</v>
      </c>
      <c r="AV265" s="27" t="str">
        <f t="shared" si="79"/>
        <v>Normal</v>
      </c>
      <c r="AW265" s="27"/>
    </row>
    <row r="266" spans="1:49" x14ac:dyDescent="0.25">
      <c r="A266" s="27">
        <v>265</v>
      </c>
      <c r="B266" s="28">
        <v>46126</v>
      </c>
      <c r="C266" s="28" t="str">
        <f t="shared" si="64"/>
        <v>April</v>
      </c>
      <c r="D266" s="27" t="s">
        <v>47</v>
      </c>
      <c r="E266" s="27" t="s">
        <v>98</v>
      </c>
      <c r="F266" s="27" t="s">
        <v>99</v>
      </c>
      <c r="G266" s="27" t="s">
        <v>63</v>
      </c>
      <c r="H266" s="27" t="s">
        <v>79</v>
      </c>
      <c r="I266" s="27" t="s">
        <v>389</v>
      </c>
      <c r="J266" s="27" t="s">
        <v>109</v>
      </c>
      <c r="K266" s="27">
        <v>824</v>
      </c>
      <c r="L266" s="27">
        <v>757</v>
      </c>
      <c r="M266" s="27">
        <v>723</v>
      </c>
      <c r="N266" s="27">
        <v>34</v>
      </c>
      <c r="O266" s="27">
        <v>8</v>
      </c>
      <c r="P266" s="27">
        <v>0</v>
      </c>
      <c r="Q266" s="27" t="s">
        <v>60</v>
      </c>
      <c r="R266" s="27">
        <v>49</v>
      </c>
      <c r="S266" s="27">
        <v>54</v>
      </c>
      <c r="T266" s="29">
        <v>71.8</v>
      </c>
      <c r="U266" s="29">
        <v>1.83</v>
      </c>
      <c r="V266" s="29">
        <v>30.47</v>
      </c>
      <c r="W266" s="30">
        <v>17129.240000000002</v>
      </c>
      <c r="X266" s="27">
        <v>9.1300000000000008</v>
      </c>
      <c r="Y266" s="27" t="s">
        <v>55</v>
      </c>
      <c r="Z266" s="29">
        <v>9</v>
      </c>
      <c r="AA266" s="30">
        <v>26693.87</v>
      </c>
      <c r="AB266" s="29">
        <v>0.95508586525759598</v>
      </c>
      <c r="AC266" s="30">
        <v>21511.97</v>
      </c>
      <c r="AD266" s="30">
        <v>181.02235138705399</v>
      </c>
      <c r="AE266" s="27">
        <v>672.93333333333305</v>
      </c>
      <c r="AF266" s="29">
        <v>1</v>
      </c>
      <c r="AG266" s="30">
        <v>5000.87764861294</v>
      </c>
      <c r="AH266" s="31">
        <f t="shared" si="65"/>
        <v>0.9186893203883495</v>
      </c>
      <c r="AI266" s="31">
        <f t="shared" si="66"/>
        <v>4.491413474240423E-2</v>
      </c>
      <c r="AJ266" s="31">
        <f t="shared" si="67"/>
        <v>1.0568031704095112E-2</v>
      </c>
      <c r="AK266" s="31">
        <f t="shared" si="68"/>
        <v>0.95508586525759576</v>
      </c>
      <c r="AL266" s="29">
        <f t="shared" si="69"/>
        <v>0</v>
      </c>
      <c r="AM266" s="29">
        <f t="shared" si="70"/>
        <v>672.93333333333305</v>
      </c>
      <c r="AN266" s="29">
        <f t="shared" si="71"/>
        <v>1.1249256984347142</v>
      </c>
      <c r="AO266" s="29">
        <f t="shared" si="72"/>
        <v>1.2244897959183674</v>
      </c>
      <c r="AP266" s="31">
        <f t="shared" si="73"/>
        <v>0.91868932038834994</v>
      </c>
      <c r="AQ266" s="31">
        <f t="shared" si="74"/>
        <v>0.95508586525759576</v>
      </c>
      <c r="AR266" s="31">
        <f t="shared" si="75"/>
        <v>0.87742718446601986</v>
      </c>
      <c r="AS266" s="29">
        <f t="shared" si="76"/>
        <v>28.417397622192869</v>
      </c>
      <c r="AT266" s="29">
        <f t="shared" si="77"/>
        <v>6.6061791923552704</v>
      </c>
      <c r="AU266" s="27" t="str">
        <f t="shared" si="78"/>
        <v>Low</v>
      </c>
      <c r="AV266" s="27" t="str">
        <f t="shared" si="79"/>
        <v>Normal</v>
      </c>
      <c r="AW266" s="27"/>
    </row>
    <row r="267" spans="1:49" x14ac:dyDescent="0.25">
      <c r="A267" s="27">
        <v>266</v>
      </c>
      <c r="B267" s="28">
        <v>46068</v>
      </c>
      <c r="C267" s="28" t="str">
        <f t="shared" si="64"/>
        <v>February</v>
      </c>
      <c r="D267" s="27" t="s">
        <v>67</v>
      </c>
      <c r="E267" s="27" t="s">
        <v>76</v>
      </c>
      <c r="F267" s="27" t="s">
        <v>113</v>
      </c>
      <c r="G267" s="27" t="s">
        <v>50</v>
      </c>
      <c r="H267" s="27" t="s">
        <v>79</v>
      </c>
      <c r="I267" s="27" t="s">
        <v>390</v>
      </c>
      <c r="J267" s="27" t="s">
        <v>53</v>
      </c>
      <c r="K267" s="27">
        <v>659</v>
      </c>
      <c r="L267" s="27">
        <v>685</v>
      </c>
      <c r="M267" s="27">
        <v>654</v>
      </c>
      <c r="N267" s="27">
        <v>31</v>
      </c>
      <c r="O267" s="27">
        <v>10</v>
      </c>
      <c r="P267" s="27">
        <v>0</v>
      </c>
      <c r="Q267" s="27" t="s">
        <v>60</v>
      </c>
      <c r="R267" s="27">
        <v>49</v>
      </c>
      <c r="S267" s="27">
        <v>50</v>
      </c>
      <c r="T267" s="29">
        <v>70.400000000000006</v>
      </c>
      <c r="U267" s="29">
        <v>2.56</v>
      </c>
      <c r="V267" s="29">
        <v>26.39</v>
      </c>
      <c r="W267" s="30">
        <v>14197.76</v>
      </c>
      <c r="X267" s="27">
        <v>10.1</v>
      </c>
      <c r="Y267" s="27" t="s">
        <v>71</v>
      </c>
      <c r="Z267" s="29">
        <v>25</v>
      </c>
      <c r="AA267" s="30">
        <v>25418.81</v>
      </c>
      <c r="AB267" s="29">
        <v>0.95474452554744504</v>
      </c>
      <c r="AC267" s="30">
        <v>18980.27</v>
      </c>
      <c r="AD267" s="30">
        <v>207.26656934306601</v>
      </c>
      <c r="AE267" s="27">
        <v>538.18333333333305</v>
      </c>
      <c r="AF267" s="29">
        <v>1</v>
      </c>
      <c r="AG267" s="30">
        <v>6231.27343065694</v>
      </c>
      <c r="AH267" s="31">
        <f t="shared" si="65"/>
        <v>1.0394537177541729</v>
      </c>
      <c r="AI267" s="31">
        <f t="shared" si="66"/>
        <v>4.5255474452554748E-2</v>
      </c>
      <c r="AJ267" s="31">
        <f t="shared" si="67"/>
        <v>1.4598540145985401E-2</v>
      </c>
      <c r="AK267" s="31">
        <f t="shared" si="68"/>
        <v>0.95474452554744527</v>
      </c>
      <c r="AL267" s="29">
        <f t="shared" si="69"/>
        <v>0</v>
      </c>
      <c r="AM267" s="29">
        <f t="shared" si="70"/>
        <v>538.18333333333305</v>
      </c>
      <c r="AN267" s="29">
        <f t="shared" si="71"/>
        <v>1.2728004707193961</v>
      </c>
      <c r="AO267" s="29">
        <f t="shared" si="72"/>
        <v>1.2244897959183674</v>
      </c>
      <c r="AP267" s="31">
        <f t="shared" si="73"/>
        <v>1.0394537177541734</v>
      </c>
      <c r="AQ267" s="31">
        <f t="shared" si="74"/>
        <v>0.95474452554744527</v>
      </c>
      <c r="AR267" s="31">
        <f t="shared" si="75"/>
        <v>0.99241274658573631</v>
      </c>
      <c r="AS267" s="29">
        <f t="shared" si="76"/>
        <v>27.708423357664234</v>
      </c>
      <c r="AT267" s="29">
        <f t="shared" si="77"/>
        <v>9.0967495338057525</v>
      </c>
      <c r="AU267" s="27" t="str">
        <f t="shared" si="78"/>
        <v>High</v>
      </c>
      <c r="AV267" s="27" t="str">
        <f t="shared" si="79"/>
        <v>Normal</v>
      </c>
      <c r="AW267" s="27"/>
    </row>
    <row r="268" spans="1:49" x14ac:dyDescent="0.25">
      <c r="A268" s="27">
        <v>267</v>
      </c>
      <c r="B268" s="28">
        <v>46053</v>
      </c>
      <c r="C268" s="28" t="str">
        <f t="shared" si="64"/>
        <v>January</v>
      </c>
      <c r="D268" s="27" t="s">
        <v>67</v>
      </c>
      <c r="E268" s="27" t="s">
        <v>61</v>
      </c>
      <c r="F268" s="27" t="s">
        <v>62</v>
      </c>
      <c r="G268" s="27" t="s">
        <v>78</v>
      </c>
      <c r="H268" s="27" t="s">
        <v>79</v>
      </c>
      <c r="I268" s="27" t="s">
        <v>391</v>
      </c>
      <c r="J268" s="27" t="s">
        <v>86</v>
      </c>
      <c r="K268" s="27">
        <v>636</v>
      </c>
      <c r="L268" s="27">
        <v>587</v>
      </c>
      <c r="M268" s="27">
        <v>553</v>
      </c>
      <c r="N268" s="27">
        <v>34</v>
      </c>
      <c r="O268" s="27">
        <v>11</v>
      </c>
      <c r="P268" s="27">
        <v>0</v>
      </c>
      <c r="Q268" s="27" t="s">
        <v>60</v>
      </c>
      <c r="R268" s="27">
        <v>49</v>
      </c>
      <c r="S268" s="27">
        <v>55</v>
      </c>
      <c r="T268" s="29">
        <v>76.599999999999994</v>
      </c>
      <c r="U268" s="29">
        <v>1.88</v>
      </c>
      <c r="V268" s="29">
        <v>20.18</v>
      </c>
      <c r="W268" s="30">
        <v>12975.05</v>
      </c>
      <c r="X268" s="27">
        <v>8.08</v>
      </c>
      <c r="Y268" s="27" t="s">
        <v>66</v>
      </c>
      <c r="Z268" s="29">
        <v>12</v>
      </c>
      <c r="AA268" s="30">
        <v>20580.66</v>
      </c>
      <c r="AB268" s="29">
        <v>0.94207836456558802</v>
      </c>
      <c r="AC268" s="30">
        <v>16792.669999999998</v>
      </c>
      <c r="AD268" s="30">
        <v>243.144037478705</v>
      </c>
      <c r="AE268" s="27">
        <v>519.4</v>
      </c>
      <c r="AF268" s="29">
        <v>1</v>
      </c>
      <c r="AG268" s="30">
        <v>3544.8459625213</v>
      </c>
      <c r="AH268" s="31">
        <f t="shared" si="65"/>
        <v>0.92295597484276726</v>
      </c>
      <c r="AI268" s="31">
        <f t="shared" si="66"/>
        <v>5.7921635434412269E-2</v>
      </c>
      <c r="AJ268" s="31">
        <f t="shared" si="67"/>
        <v>1.8739352640545145E-2</v>
      </c>
      <c r="AK268" s="31">
        <f t="shared" si="68"/>
        <v>0.94207836456558769</v>
      </c>
      <c r="AL268" s="29">
        <f t="shared" si="69"/>
        <v>0</v>
      </c>
      <c r="AM268" s="29">
        <f t="shared" si="70"/>
        <v>519.4</v>
      </c>
      <c r="AN268" s="29">
        <f t="shared" si="71"/>
        <v>1.130150173276858</v>
      </c>
      <c r="AO268" s="29">
        <f t="shared" si="72"/>
        <v>1.2244897959183674</v>
      </c>
      <c r="AP268" s="31">
        <f t="shared" si="73"/>
        <v>0.92295597484276737</v>
      </c>
      <c r="AQ268" s="31">
        <f t="shared" si="74"/>
        <v>0.94207836456558769</v>
      </c>
      <c r="AR268" s="31">
        <f t="shared" si="75"/>
        <v>0.86949685534591192</v>
      </c>
      <c r="AS268" s="29">
        <f t="shared" si="76"/>
        <v>28.607614991482109</v>
      </c>
      <c r="AT268" s="29">
        <f t="shared" si="77"/>
        <v>6.038919868009029</v>
      </c>
      <c r="AU268" s="27" t="str">
        <f t="shared" si="78"/>
        <v>Low</v>
      </c>
      <c r="AV268" s="27" t="str">
        <f t="shared" si="79"/>
        <v>Normal</v>
      </c>
      <c r="AW268" s="27"/>
    </row>
    <row r="269" spans="1:49" x14ac:dyDescent="0.25">
      <c r="A269" s="27">
        <v>268</v>
      </c>
      <c r="B269" s="28">
        <v>46037</v>
      </c>
      <c r="C269" s="28" t="str">
        <f t="shared" si="64"/>
        <v>January</v>
      </c>
      <c r="D269" s="27" t="s">
        <v>67</v>
      </c>
      <c r="E269" s="27" t="s">
        <v>129</v>
      </c>
      <c r="F269" s="27" t="s">
        <v>151</v>
      </c>
      <c r="G269" s="27" t="s">
        <v>63</v>
      </c>
      <c r="H269" s="27" t="s">
        <v>79</v>
      </c>
      <c r="I269" s="27" t="s">
        <v>392</v>
      </c>
      <c r="J269" s="27" t="s">
        <v>170</v>
      </c>
      <c r="K269" s="27">
        <v>765</v>
      </c>
      <c r="L269" s="27">
        <v>654</v>
      </c>
      <c r="M269" s="27">
        <v>613</v>
      </c>
      <c r="N269" s="27">
        <v>41</v>
      </c>
      <c r="O269" s="27">
        <v>11</v>
      </c>
      <c r="P269" s="27">
        <v>30</v>
      </c>
      <c r="Q269" s="27" t="s">
        <v>82</v>
      </c>
      <c r="R269" s="27">
        <v>49</v>
      </c>
      <c r="S269" s="27">
        <v>49</v>
      </c>
      <c r="T269" s="29">
        <v>71.900000000000006</v>
      </c>
      <c r="U269" s="29">
        <v>1.97</v>
      </c>
      <c r="V269" s="29">
        <v>20.6</v>
      </c>
      <c r="W269" s="30">
        <v>14141.73</v>
      </c>
      <c r="X269" s="27">
        <v>7.15</v>
      </c>
      <c r="Y269" s="27" t="s">
        <v>110</v>
      </c>
      <c r="Z269" s="29">
        <v>35</v>
      </c>
      <c r="AA269" s="30">
        <v>22941.26</v>
      </c>
      <c r="AB269" s="29">
        <v>0.93730886850152895</v>
      </c>
      <c r="AC269" s="30">
        <v>17544.63</v>
      </c>
      <c r="AD269" s="30">
        <v>237.857844036697</v>
      </c>
      <c r="AE269" s="27">
        <v>624.75</v>
      </c>
      <c r="AF269" s="29">
        <v>0.951980792316927</v>
      </c>
      <c r="AG269" s="30">
        <v>5158.7721559633001</v>
      </c>
      <c r="AH269" s="31">
        <f t="shared" si="65"/>
        <v>0.85490196078431369</v>
      </c>
      <c r="AI269" s="31">
        <f t="shared" si="66"/>
        <v>6.2691131498470942E-2</v>
      </c>
      <c r="AJ269" s="31">
        <f t="shared" si="67"/>
        <v>1.6819571865443424E-2</v>
      </c>
      <c r="AK269" s="31">
        <f t="shared" si="68"/>
        <v>0.93730886850152906</v>
      </c>
      <c r="AL269" s="29">
        <f t="shared" si="69"/>
        <v>0.5</v>
      </c>
      <c r="AM269" s="29">
        <f t="shared" si="70"/>
        <v>594.75</v>
      </c>
      <c r="AN269" s="29">
        <f t="shared" si="71"/>
        <v>1.0996216897856241</v>
      </c>
      <c r="AO269" s="29">
        <f t="shared" si="72"/>
        <v>1.2244897959183674</v>
      </c>
      <c r="AP269" s="31">
        <f t="shared" si="73"/>
        <v>0.89802437999159301</v>
      </c>
      <c r="AQ269" s="31">
        <f t="shared" si="74"/>
        <v>0.93730886850152906</v>
      </c>
      <c r="AR269" s="31">
        <f t="shared" si="75"/>
        <v>0.8013071895424837</v>
      </c>
      <c r="AS269" s="29">
        <f t="shared" si="76"/>
        <v>26.826651376146792</v>
      </c>
      <c r="AT269" s="29">
        <f t="shared" si="77"/>
        <v>7.8880308195157491</v>
      </c>
      <c r="AU269" s="27" t="str">
        <f t="shared" si="78"/>
        <v>Medium</v>
      </c>
      <c r="AV269" s="27" t="str">
        <f t="shared" si="79"/>
        <v>Warning</v>
      </c>
      <c r="AW269" s="27"/>
    </row>
    <row r="270" spans="1:49" x14ac:dyDescent="0.25">
      <c r="A270" s="27">
        <v>269</v>
      </c>
      <c r="B270" s="28">
        <v>46188</v>
      </c>
      <c r="C270" s="28" t="str">
        <f t="shared" si="64"/>
        <v>June</v>
      </c>
      <c r="D270" s="27" t="s">
        <v>67</v>
      </c>
      <c r="E270" s="27" t="s">
        <v>76</v>
      </c>
      <c r="F270" s="27" t="s">
        <v>77</v>
      </c>
      <c r="G270" s="27" t="s">
        <v>78</v>
      </c>
      <c r="H270" s="27" t="s">
        <v>51</v>
      </c>
      <c r="I270" s="27" t="s">
        <v>393</v>
      </c>
      <c r="J270" s="27" t="s">
        <v>121</v>
      </c>
      <c r="K270" s="27">
        <v>778</v>
      </c>
      <c r="L270" s="27">
        <v>593</v>
      </c>
      <c r="M270" s="27">
        <v>549</v>
      </c>
      <c r="N270" s="27">
        <v>44</v>
      </c>
      <c r="O270" s="27">
        <v>18</v>
      </c>
      <c r="P270" s="27">
        <v>27</v>
      </c>
      <c r="Q270" s="27" t="s">
        <v>104</v>
      </c>
      <c r="R270" s="27">
        <v>42</v>
      </c>
      <c r="S270" s="27">
        <v>47</v>
      </c>
      <c r="T270" s="29">
        <v>67.5</v>
      </c>
      <c r="U270" s="29">
        <v>2.02</v>
      </c>
      <c r="V270" s="29">
        <v>20.88</v>
      </c>
      <c r="W270" s="30">
        <v>11065.99</v>
      </c>
      <c r="X270" s="27">
        <v>7.52</v>
      </c>
      <c r="Y270" s="27" t="s">
        <v>55</v>
      </c>
      <c r="Z270" s="29">
        <v>34</v>
      </c>
      <c r="AA270" s="30">
        <v>17752.580000000002</v>
      </c>
      <c r="AB270" s="29">
        <v>0.92580101180438501</v>
      </c>
      <c r="AC270" s="30">
        <v>14637.91</v>
      </c>
      <c r="AD270" s="30">
        <v>335.898516020236</v>
      </c>
      <c r="AE270" s="27">
        <v>544.6</v>
      </c>
      <c r="AF270" s="29">
        <v>0.95042232831435902</v>
      </c>
      <c r="AG270" s="30">
        <v>2778.77148397977</v>
      </c>
      <c r="AH270" s="31">
        <f t="shared" si="65"/>
        <v>0.76221079691516713</v>
      </c>
      <c r="AI270" s="31">
        <f t="shared" si="66"/>
        <v>7.4198988195615517E-2</v>
      </c>
      <c r="AJ270" s="31">
        <f t="shared" si="67"/>
        <v>3.0354131534569982E-2</v>
      </c>
      <c r="AK270" s="31">
        <f t="shared" si="68"/>
        <v>0.92580101180438445</v>
      </c>
      <c r="AL270" s="29">
        <f t="shared" si="69"/>
        <v>0.45</v>
      </c>
      <c r="AM270" s="29">
        <f t="shared" si="70"/>
        <v>517.6</v>
      </c>
      <c r="AN270" s="29">
        <f t="shared" si="71"/>
        <v>1.1456723338485317</v>
      </c>
      <c r="AO270" s="29">
        <f t="shared" si="72"/>
        <v>1.4285714285714286</v>
      </c>
      <c r="AP270" s="31">
        <f t="shared" si="73"/>
        <v>0.80197063369397215</v>
      </c>
      <c r="AQ270" s="31">
        <f t="shared" si="74"/>
        <v>0.92580101180438445</v>
      </c>
      <c r="AR270" s="31">
        <f t="shared" si="75"/>
        <v>0.70565552699228773</v>
      </c>
      <c r="AS270" s="29">
        <f t="shared" si="76"/>
        <v>24.684502529510961</v>
      </c>
      <c r="AT270" s="29">
        <f t="shared" si="77"/>
        <v>4.6859552849574539</v>
      </c>
      <c r="AU270" s="27" t="str">
        <f t="shared" si="78"/>
        <v>High</v>
      </c>
      <c r="AV270" s="27" t="str">
        <f t="shared" si="79"/>
        <v>Critical</v>
      </c>
      <c r="AW270" s="27"/>
    </row>
    <row r="271" spans="1:49" x14ac:dyDescent="0.25">
      <c r="A271" s="27">
        <v>270</v>
      </c>
      <c r="B271" s="28">
        <v>46109</v>
      </c>
      <c r="C271" s="28" t="str">
        <f t="shared" si="64"/>
        <v>March</v>
      </c>
      <c r="D271" s="27" t="s">
        <v>67</v>
      </c>
      <c r="E271" s="27" t="s">
        <v>76</v>
      </c>
      <c r="F271" s="27" t="s">
        <v>113</v>
      </c>
      <c r="G271" s="27" t="s">
        <v>50</v>
      </c>
      <c r="H271" s="27" t="s">
        <v>124</v>
      </c>
      <c r="I271" s="27" t="s">
        <v>394</v>
      </c>
      <c r="J271" s="27" t="s">
        <v>155</v>
      </c>
      <c r="K271" s="27">
        <v>631</v>
      </c>
      <c r="L271" s="27">
        <v>556</v>
      </c>
      <c r="M271" s="27">
        <v>534</v>
      </c>
      <c r="N271" s="27">
        <v>22</v>
      </c>
      <c r="O271" s="27">
        <v>6</v>
      </c>
      <c r="P271" s="27">
        <v>0</v>
      </c>
      <c r="Q271" s="27" t="s">
        <v>60</v>
      </c>
      <c r="R271" s="27">
        <v>57</v>
      </c>
      <c r="S271" s="27">
        <v>55</v>
      </c>
      <c r="T271" s="29">
        <v>74</v>
      </c>
      <c r="U271" s="29">
        <v>1.8</v>
      </c>
      <c r="V271" s="29">
        <v>19.71</v>
      </c>
      <c r="W271" s="30">
        <v>15518.57</v>
      </c>
      <c r="X271" s="27">
        <v>9.1300000000000008</v>
      </c>
      <c r="Y271" s="27" t="s">
        <v>71</v>
      </c>
      <c r="Z271" s="29">
        <v>42</v>
      </c>
      <c r="AA271" s="30">
        <v>24679.24</v>
      </c>
      <c r="AB271" s="29">
        <v>0.96043165467625902</v>
      </c>
      <c r="AC271" s="30">
        <v>19804.46</v>
      </c>
      <c r="AD271" s="30">
        <v>167.466582733813</v>
      </c>
      <c r="AE271" s="27">
        <v>599.45000000000005</v>
      </c>
      <c r="AF271" s="29">
        <v>1</v>
      </c>
      <c r="AG271" s="30">
        <v>4707.3134172661903</v>
      </c>
      <c r="AH271" s="31">
        <f t="shared" si="65"/>
        <v>0.88114104595879561</v>
      </c>
      <c r="AI271" s="31">
        <f t="shared" si="66"/>
        <v>3.9568345323741004E-2</v>
      </c>
      <c r="AJ271" s="31">
        <f t="shared" si="67"/>
        <v>1.0791366906474821E-2</v>
      </c>
      <c r="AK271" s="31">
        <f t="shared" si="68"/>
        <v>0.96043165467625902</v>
      </c>
      <c r="AL271" s="29">
        <f t="shared" si="69"/>
        <v>0</v>
      </c>
      <c r="AM271" s="29">
        <f t="shared" si="70"/>
        <v>599.45000000000005</v>
      </c>
      <c r="AN271" s="29">
        <f t="shared" si="71"/>
        <v>0.92751689048294261</v>
      </c>
      <c r="AO271" s="29">
        <f t="shared" si="72"/>
        <v>1.0526315789473684</v>
      </c>
      <c r="AP271" s="31">
        <f t="shared" si="73"/>
        <v>0.8811410459587955</v>
      </c>
      <c r="AQ271" s="31">
        <f t="shared" si="74"/>
        <v>0.96043165467625902</v>
      </c>
      <c r="AR271" s="31">
        <f t="shared" si="75"/>
        <v>0.84627575277337552</v>
      </c>
      <c r="AS271" s="29">
        <f t="shared" si="76"/>
        <v>35.619532374100714</v>
      </c>
      <c r="AT271" s="29">
        <f t="shared" si="77"/>
        <v>8.4663910382485437</v>
      </c>
      <c r="AU271" s="27" t="str">
        <f t="shared" si="78"/>
        <v>High</v>
      </c>
      <c r="AV271" s="27" t="str">
        <f t="shared" si="79"/>
        <v>Warning</v>
      </c>
      <c r="AW271" s="27"/>
    </row>
    <row r="272" spans="1:49" x14ac:dyDescent="0.25">
      <c r="A272" s="27">
        <v>271</v>
      </c>
      <c r="B272" s="28">
        <v>46174</v>
      </c>
      <c r="C272" s="28" t="str">
        <f t="shared" si="64"/>
        <v>June</v>
      </c>
      <c r="D272" s="27" t="s">
        <v>67</v>
      </c>
      <c r="E272" s="27" t="s">
        <v>129</v>
      </c>
      <c r="F272" s="27" t="s">
        <v>167</v>
      </c>
      <c r="G272" s="27" t="s">
        <v>63</v>
      </c>
      <c r="H272" s="27" t="s">
        <v>124</v>
      </c>
      <c r="I272" s="27" t="s">
        <v>395</v>
      </c>
      <c r="J272" s="27" t="s">
        <v>74</v>
      </c>
      <c r="K272" s="27">
        <v>573</v>
      </c>
      <c r="L272" s="27">
        <v>462</v>
      </c>
      <c r="M272" s="27">
        <v>423</v>
      </c>
      <c r="N272" s="27">
        <v>39</v>
      </c>
      <c r="O272" s="27">
        <v>13</v>
      </c>
      <c r="P272" s="27">
        <v>47</v>
      </c>
      <c r="Q272" s="27" t="s">
        <v>94</v>
      </c>
      <c r="R272" s="27">
        <v>57</v>
      </c>
      <c r="S272" s="27">
        <v>57</v>
      </c>
      <c r="T272" s="29">
        <v>68.3</v>
      </c>
      <c r="U272" s="29">
        <v>1.83</v>
      </c>
      <c r="V272" s="29">
        <v>19.53</v>
      </c>
      <c r="W272" s="30">
        <v>12899.91</v>
      </c>
      <c r="X272" s="27">
        <v>7.18</v>
      </c>
      <c r="Y272" s="27" t="s">
        <v>66</v>
      </c>
      <c r="Z272" s="29">
        <v>43</v>
      </c>
      <c r="AA272" s="30">
        <v>19457.07</v>
      </c>
      <c r="AB272" s="29">
        <v>0.91558441558441594</v>
      </c>
      <c r="AC272" s="30">
        <v>16306.68</v>
      </c>
      <c r="AD272" s="30">
        <v>362.984480519481</v>
      </c>
      <c r="AE272" s="27">
        <v>544.35</v>
      </c>
      <c r="AF272" s="29">
        <v>0.91365849177918601</v>
      </c>
      <c r="AG272" s="30">
        <v>2787.4055194805201</v>
      </c>
      <c r="AH272" s="31">
        <f t="shared" si="65"/>
        <v>0.80628272251308897</v>
      </c>
      <c r="AI272" s="31">
        <f t="shared" si="66"/>
        <v>8.4415584415584416E-2</v>
      </c>
      <c r="AJ272" s="31">
        <f t="shared" si="67"/>
        <v>2.813852813852814E-2</v>
      </c>
      <c r="AK272" s="31">
        <f t="shared" si="68"/>
        <v>0.91558441558441561</v>
      </c>
      <c r="AL272" s="29">
        <f t="shared" si="69"/>
        <v>0.78333333333333333</v>
      </c>
      <c r="AM272" s="29">
        <f t="shared" si="70"/>
        <v>497.35</v>
      </c>
      <c r="AN272" s="29">
        <f t="shared" si="71"/>
        <v>0.9289232934553131</v>
      </c>
      <c r="AO272" s="29">
        <f t="shared" si="72"/>
        <v>1.0526315789473684</v>
      </c>
      <c r="AP272" s="31">
        <f t="shared" si="73"/>
        <v>0.88247712878254747</v>
      </c>
      <c r="AQ272" s="31">
        <f t="shared" si="74"/>
        <v>0.91558441558441561</v>
      </c>
      <c r="AR272" s="31">
        <f t="shared" si="75"/>
        <v>0.73821989528795795</v>
      </c>
      <c r="AS272" s="29">
        <f t="shared" si="76"/>
        <v>35.295844155844158</v>
      </c>
      <c r="AT272" s="29">
        <f t="shared" si="77"/>
        <v>6.0333452802608658</v>
      </c>
      <c r="AU272" s="27" t="str">
        <f t="shared" si="78"/>
        <v>High</v>
      </c>
      <c r="AV272" s="27" t="str">
        <f t="shared" si="79"/>
        <v>Critical</v>
      </c>
      <c r="AW272" s="27"/>
    </row>
    <row r="273" spans="1:49" x14ac:dyDescent="0.25">
      <c r="A273" s="27">
        <v>272</v>
      </c>
      <c r="B273" s="28">
        <v>46192</v>
      </c>
      <c r="C273" s="28" t="str">
        <f t="shared" si="64"/>
        <v>June</v>
      </c>
      <c r="D273" s="27" t="s">
        <v>67</v>
      </c>
      <c r="E273" s="27" t="s">
        <v>129</v>
      </c>
      <c r="F273" s="27" t="s">
        <v>130</v>
      </c>
      <c r="G273" s="27" t="s">
        <v>63</v>
      </c>
      <c r="H273" s="27" t="s">
        <v>124</v>
      </c>
      <c r="I273" s="27" t="s">
        <v>396</v>
      </c>
      <c r="J273" s="27" t="s">
        <v>74</v>
      </c>
      <c r="K273" s="27">
        <v>759</v>
      </c>
      <c r="L273" s="27">
        <v>653</v>
      </c>
      <c r="M273" s="27">
        <v>549</v>
      </c>
      <c r="N273" s="27">
        <v>104</v>
      </c>
      <c r="O273" s="27">
        <v>25</v>
      </c>
      <c r="P273" s="27">
        <v>53</v>
      </c>
      <c r="Q273" s="27" t="s">
        <v>75</v>
      </c>
      <c r="R273" s="27">
        <v>57</v>
      </c>
      <c r="S273" s="27">
        <v>63</v>
      </c>
      <c r="T273" s="29">
        <v>84.5</v>
      </c>
      <c r="U273" s="29">
        <v>3.38</v>
      </c>
      <c r="V273" s="29">
        <v>22.92</v>
      </c>
      <c r="W273" s="30">
        <v>18360.150000000001</v>
      </c>
      <c r="X273" s="27">
        <v>6.86</v>
      </c>
      <c r="Y273" s="27" t="s">
        <v>66</v>
      </c>
      <c r="Z273" s="29">
        <v>53</v>
      </c>
      <c r="AA273" s="30">
        <v>24723.61</v>
      </c>
      <c r="AB273" s="29">
        <v>0.84073506891271099</v>
      </c>
      <c r="AC273" s="30">
        <v>21653.43</v>
      </c>
      <c r="AD273" s="30">
        <v>702.91539050536005</v>
      </c>
      <c r="AE273" s="27">
        <v>721.05</v>
      </c>
      <c r="AF273" s="29">
        <v>0.92649608210249002</v>
      </c>
      <c r="AG273" s="30">
        <v>2367.2646094946399</v>
      </c>
      <c r="AH273" s="31">
        <f t="shared" si="65"/>
        <v>0.86034255599472986</v>
      </c>
      <c r="AI273" s="31">
        <f t="shared" si="66"/>
        <v>0.15926493108728942</v>
      </c>
      <c r="AJ273" s="31">
        <f t="shared" si="67"/>
        <v>3.8284839203675342E-2</v>
      </c>
      <c r="AK273" s="31">
        <f t="shared" si="68"/>
        <v>0.84073506891271055</v>
      </c>
      <c r="AL273" s="29">
        <f t="shared" si="69"/>
        <v>0.8833333333333333</v>
      </c>
      <c r="AM273" s="29">
        <f t="shared" si="70"/>
        <v>668.05</v>
      </c>
      <c r="AN273" s="29">
        <f t="shared" si="71"/>
        <v>0.977471746126787</v>
      </c>
      <c r="AO273" s="29">
        <f t="shared" si="72"/>
        <v>1.0526315789473684</v>
      </c>
      <c r="AP273" s="31">
        <f t="shared" si="73"/>
        <v>0.92859815882044772</v>
      </c>
      <c r="AQ273" s="31">
        <f t="shared" si="74"/>
        <v>0.84073506891271055</v>
      </c>
      <c r="AR273" s="31">
        <f t="shared" si="75"/>
        <v>0.7233201581027674</v>
      </c>
      <c r="AS273" s="29">
        <f t="shared" si="76"/>
        <v>33.159923430321591</v>
      </c>
      <c r="AT273" s="29">
        <f t="shared" si="77"/>
        <v>3.6252137970821439</v>
      </c>
      <c r="AU273" s="27" t="str">
        <f t="shared" si="78"/>
        <v>High</v>
      </c>
      <c r="AV273" s="27" t="str">
        <f t="shared" si="79"/>
        <v>Critical</v>
      </c>
      <c r="AW273" s="27"/>
    </row>
    <row r="274" spans="1:49" x14ac:dyDescent="0.25">
      <c r="A274" s="27">
        <v>273</v>
      </c>
      <c r="B274" s="28">
        <v>46030</v>
      </c>
      <c r="C274" s="28" t="str">
        <f t="shared" si="64"/>
        <v>January</v>
      </c>
      <c r="D274" s="27" t="s">
        <v>47</v>
      </c>
      <c r="E274" s="27" t="s">
        <v>129</v>
      </c>
      <c r="F274" s="27" t="s">
        <v>151</v>
      </c>
      <c r="G274" s="27" t="s">
        <v>63</v>
      </c>
      <c r="H274" s="27" t="s">
        <v>68</v>
      </c>
      <c r="I274" s="27" t="s">
        <v>397</v>
      </c>
      <c r="J274" s="27" t="s">
        <v>74</v>
      </c>
      <c r="K274" s="27">
        <v>615</v>
      </c>
      <c r="L274" s="27">
        <v>569</v>
      </c>
      <c r="M274" s="27">
        <v>531</v>
      </c>
      <c r="N274" s="27">
        <v>38</v>
      </c>
      <c r="O274" s="27">
        <v>14</v>
      </c>
      <c r="P274" s="27">
        <v>33</v>
      </c>
      <c r="Q274" s="27" t="s">
        <v>54</v>
      </c>
      <c r="R274" s="27">
        <v>64</v>
      </c>
      <c r="S274" s="27">
        <v>69</v>
      </c>
      <c r="T274" s="29">
        <v>78.2</v>
      </c>
      <c r="U274" s="29">
        <v>1.99</v>
      </c>
      <c r="V274" s="29">
        <v>18.68</v>
      </c>
      <c r="W274" s="30">
        <v>17245.099999999999</v>
      </c>
      <c r="X274" s="27">
        <v>7.57</v>
      </c>
      <c r="Y274" s="27" t="s">
        <v>55</v>
      </c>
      <c r="Z274" s="29">
        <v>26</v>
      </c>
      <c r="AA274" s="30">
        <v>28365.95</v>
      </c>
      <c r="AB274" s="29">
        <v>0.93321616871704804</v>
      </c>
      <c r="AC274" s="30">
        <v>20819.72</v>
      </c>
      <c r="AD274" s="30">
        <v>424.30826010544803</v>
      </c>
      <c r="AE274" s="27">
        <v>656</v>
      </c>
      <c r="AF274" s="29">
        <v>0.94969512195121997</v>
      </c>
      <c r="AG274" s="30">
        <v>7121.9217398945602</v>
      </c>
      <c r="AH274" s="31">
        <f t="shared" si="65"/>
        <v>0.9252032520325203</v>
      </c>
      <c r="AI274" s="31">
        <f t="shared" si="66"/>
        <v>6.6783831282952552E-2</v>
      </c>
      <c r="AJ274" s="31">
        <f t="shared" si="67"/>
        <v>2.4604569420035149E-2</v>
      </c>
      <c r="AK274" s="31">
        <f t="shared" si="68"/>
        <v>0.93321616871704749</v>
      </c>
      <c r="AL274" s="29">
        <f t="shared" si="69"/>
        <v>0.55000000000000004</v>
      </c>
      <c r="AM274" s="29">
        <f t="shared" si="70"/>
        <v>623</v>
      </c>
      <c r="AN274" s="29">
        <f t="shared" si="71"/>
        <v>0.913322632423756</v>
      </c>
      <c r="AO274" s="29">
        <f t="shared" si="72"/>
        <v>0.9375</v>
      </c>
      <c r="AP274" s="31">
        <f t="shared" si="73"/>
        <v>0.97421080791867309</v>
      </c>
      <c r="AQ274" s="31">
        <f t="shared" si="74"/>
        <v>0.93321616871704749</v>
      </c>
      <c r="AR274" s="31">
        <f t="shared" si="75"/>
        <v>0.8634146341463419</v>
      </c>
      <c r="AS274" s="29">
        <f t="shared" si="76"/>
        <v>36.590017574692446</v>
      </c>
      <c r="AT274" s="29">
        <f t="shared" si="77"/>
        <v>12.516558418092373</v>
      </c>
      <c r="AU274" s="27" t="str">
        <f t="shared" si="78"/>
        <v>Low</v>
      </c>
      <c r="AV274" s="27" t="str">
        <f t="shared" si="79"/>
        <v>Normal</v>
      </c>
      <c r="AW274" s="27"/>
    </row>
    <row r="275" spans="1:49" x14ac:dyDescent="0.25">
      <c r="A275" s="27">
        <v>274</v>
      </c>
      <c r="B275" s="28">
        <v>46116</v>
      </c>
      <c r="C275" s="28" t="str">
        <f t="shared" si="64"/>
        <v>April</v>
      </c>
      <c r="D275" s="27" t="s">
        <v>47</v>
      </c>
      <c r="E275" s="27" t="s">
        <v>61</v>
      </c>
      <c r="F275" s="27" t="s">
        <v>95</v>
      </c>
      <c r="G275" s="27" t="s">
        <v>78</v>
      </c>
      <c r="H275" s="27" t="s">
        <v>51</v>
      </c>
      <c r="I275" s="27" t="s">
        <v>398</v>
      </c>
      <c r="J275" s="27" t="s">
        <v>81</v>
      </c>
      <c r="K275" s="27">
        <v>781</v>
      </c>
      <c r="L275" s="27">
        <v>630</v>
      </c>
      <c r="M275" s="27">
        <v>595</v>
      </c>
      <c r="N275" s="27">
        <v>35</v>
      </c>
      <c r="O275" s="27">
        <v>13</v>
      </c>
      <c r="P275" s="27">
        <v>40</v>
      </c>
      <c r="Q275" s="27" t="s">
        <v>97</v>
      </c>
      <c r="R275" s="27">
        <v>42</v>
      </c>
      <c r="S275" s="27">
        <v>43</v>
      </c>
      <c r="T275" s="29">
        <v>74.8</v>
      </c>
      <c r="U275" s="29">
        <v>1.85</v>
      </c>
      <c r="V275" s="29">
        <v>22.67</v>
      </c>
      <c r="W275" s="30">
        <v>11501.09</v>
      </c>
      <c r="X275" s="27">
        <v>7.8</v>
      </c>
      <c r="Y275" s="27" t="s">
        <v>55</v>
      </c>
      <c r="Z275" s="29">
        <v>21</v>
      </c>
      <c r="AA275" s="30">
        <v>18951.89</v>
      </c>
      <c r="AB275" s="29">
        <v>0.94444444444444398</v>
      </c>
      <c r="AC275" s="30">
        <v>15215.12</v>
      </c>
      <c r="AD275" s="30">
        <v>237.324079365079</v>
      </c>
      <c r="AE275" s="27">
        <v>546.70000000000005</v>
      </c>
      <c r="AF275" s="29">
        <v>0.92683372965063104</v>
      </c>
      <c r="AG275" s="30">
        <v>3499.4459206349202</v>
      </c>
      <c r="AH275" s="31">
        <f t="shared" si="65"/>
        <v>0.80665813060179259</v>
      </c>
      <c r="AI275" s="31">
        <f t="shared" si="66"/>
        <v>5.5555555555555552E-2</v>
      </c>
      <c r="AJ275" s="31">
        <f t="shared" si="67"/>
        <v>2.0634920634920634E-2</v>
      </c>
      <c r="AK275" s="31">
        <f t="shared" si="68"/>
        <v>0.94444444444444442</v>
      </c>
      <c r="AL275" s="29">
        <f t="shared" si="69"/>
        <v>0.66666666666666663</v>
      </c>
      <c r="AM275" s="29">
        <f t="shared" si="70"/>
        <v>506.70000000000005</v>
      </c>
      <c r="AN275" s="29">
        <f t="shared" si="71"/>
        <v>1.2433392539964474</v>
      </c>
      <c r="AO275" s="29">
        <f t="shared" si="72"/>
        <v>1.4285714285714286</v>
      </c>
      <c r="AP275" s="31">
        <f t="shared" si="73"/>
        <v>0.87033747779751314</v>
      </c>
      <c r="AQ275" s="31">
        <f t="shared" si="74"/>
        <v>0.94444444444444442</v>
      </c>
      <c r="AR275" s="31">
        <f t="shared" si="75"/>
        <v>0.76184379001280389</v>
      </c>
      <c r="AS275" s="29">
        <f t="shared" si="76"/>
        <v>24.150984126984127</v>
      </c>
      <c r="AT275" s="29">
        <f t="shared" si="77"/>
        <v>5.5546760644998736</v>
      </c>
      <c r="AU275" s="27" t="str">
        <f t="shared" si="78"/>
        <v>High</v>
      </c>
      <c r="AV275" s="27" t="str">
        <f t="shared" si="79"/>
        <v>Warning</v>
      </c>
      <c r="AW275" s="27"/>
    </row>
    <row r="276" spans="1:49" x14ac:dyDescent="0.25">
      <c r="A276" s="27">
        <v>275</v>
      </c>
      <c r="B276" s="28">
        <v>46059</v>
      </c>
      <c r="C276" s="28" t="str">
        <f t="shared" si="64"/>
        <v>February</v>
      </c>
      <c r="D276" s="27" t="s">
        <v>47</v>
      </c>
      <c r="E276" s="27" t="s">
        <v>98</v>
      </c>
      <c r="F276" s="27" t="s">
        <v>105</v>
      </c>
      <c r="G276" s="27" t="s">
        <v>78</v>
      </c>
      <c r="H276" s="27" t="s">
        <v>79</v>
      </c>
      <c r="I276" s="27" t="s">
        <v>399</v>
      </c>
      <c r="J276" s="27" t="s">
        <v>59</v>
      </c>
      <c r="K276" s="27">
        <v>648</v>
      </c>
      <c r="L276" s="27">
        <v>488</v>
      </c>
      <c r="M276" s="27">
        <v>453</v>
      </c>
      <c r="N276" s="27">
        <v>35</v>
      </c>
      <c r="O276" s="27">
        <v>12</v>
      </c>
      <c r="P276" s="27">
        <v>50</v>
      </c>
      <c r="Q276" s="27" t="s">
        <v>75</v>
      </c>
      <c r="R276" s="27">
        <v>49</v>
      </c>
      <c r="S276" s="27">
        <v>51</v>
      </c>
      <c r="T276" s="29">
        <v>60.3</v>
      </c>
      <c r="U276" s="29">
        <v>2.86</v>
      </c>
      <c r="V276" s="29">
        <v>20.67</v>
      </c>
      <c r="W276" s="30">
        <v>11337.39</v>
      </c>
      <c r="X276" s="27">
        <v>6.93</v>
      </c>
      <c r="Y276" s="27" t="s">
        <v>66</v>
      </c>
      <c r="Z276" s="29">
        <v>3</v>
      </c>
      <c r="AA276" s="30">
        <v>17381.55</v>
      </c>
      <c r="AB276" s="29">
        <v>0.92827868852458995</v>
      </c>
      <c r="AC276" s="30">
        <v>14641.92</v>
      </c>
      <c r="AD276" s="30">
        <v>278.788278688525</v>
      </c>
      <c r="AE276" s="27">
        <v>529.20000000000005</v>
      </c>
      <c r="AF276" s="29">
        <v>0.90551776266062001</v>
      </c>
      <c r="AG276" s="30">
        <v>2460.8417213114699</v>
      </c>
      <c r="AH276" s="31">
        <f t="shared" si="65"/>
        <v>0.75308641975308643</v>
      </c>
      <c r="AI276" s="31">
        <f t="shared" si="66"/>
        <v>7.1721311475409832E-2</v>
      </c>
      <c r="AJ276" s="31">
        <f t="shared" si="67"/>
        <v>2.4590163934426229E-2</v>
      </c>
      <c r="AK276" s="31">
        <f t="shared" si="68"/>
        <v>0.92827868852459017</v>
      </c>
      <c r="AL276" s="29">
        <f t="shared" si="69"/>
        <v>0.83333333333333337</v>
      </c>
      <c r="AM276" s="29">
        <f t="shared" si="70"/>
        <v>479.20000000000005</v>
      </c>
      <c r="AN276" s="29">
        <f t="shared" si="71"/>
        <v>1.018363939899833</v>
      </c>
      <c r="AO276" s="29">
        <f t="shared" si="72"/>
        <v>1.2244897959183674</v>
      </c>
      <c r="AP276" s="31">
        <f t="shared" si="73"/>
        <v>0.83166388425153026</v>
      </c>
      <c r="AQ276" s="31">
        <f t="shared" si="74"/>
        <v>0.92827868852459017</v>
      </c>
      <c r="AR276" s="31">
        <f t="shared" si="75"/>
        <v>0.69907407407407418</v>
      </c>
      <c r="AS276" s="29">
        <f t="shared" si="76"/>
        <v>30.00393442622951</v>
      </c>
      <c r="AT276" s="29">
        <f t="shared" si="77"/>
        <v>5.0427084453103888</v>
      </c>
      <c r="AU276" s="27" t="str">
        <f t="shared" si="78"/>
        <v>High</v>
      </c>
      <c r="AV276" s="27" t="str">
        <f t="shared" si="79"/>
        <v>Critical</v>
      </c>
      <c r="AW276" s="27"/>
    </row>
    <row r="277" spans="1:49" x14ac:dyDescent="0.25">
      <c r="A277" s="27">
        <v>276</v>
      </c>
      <c r="B277" s="28">
        <v>46036</v>
      </c>
      <c r="C277" s="28" t="str">
        <f t="shared" si="64"/>
        <v>January</v>
      </c>
      <c r="D277" s="27" t="s">
        <v>47</v>
      </c>
      <c r="E277" s="27" t="s">
        <v>129</v>
      </c>
      <c r="F277" s="27" t="s">
        <v>130</v>
      </c>
      <c r="G277" s="27" t="s">
        <v>50</v>
      </c>
      <c r="H277" s="27" t="s">
        <v>124</v>
      </c>
      <c r="I277" s="27" t="s">
        <v>400</v>
      </c>
      <c r="J277" s="27" t="s">
        <v>155</v>
      </c>
      <c r="K277" s="27">
        <v>751</v>
      </c>
      <c r="L277" s="27">
        <v>738</v>
      </c>
      <c r="M277" s="27">
        <v>633</v>
      </c>
      <c r="N277" s="27">
        <v>105</v>
      </c>
      <c r="O277" s="27">
        <v>26</v>
      </c>
      <c r="P277" s="27">
        <v>16</v>
      </c>
      <c r="Q277" s="27" t="s">
        <v>54</v>
      </c>
      <c r="R277" s="27">
        <v>57</v>
      </c>
      <c r="S277" s="27">
        <v>65</v>
      </c>
      <c r="T277" s="29">
        <v>86.5</v>
      </c>
      <c r="U277" s="29">
        <v>3.08</v>
      </c>
      <c r="V277" s="29">
        <v>29.57</v>
      </c>
      <c r="W277" s="30">
        <v>20146.07</v>
      </c>
      <c r="X277" s="27">
        <v>8.1</v>
      </c>
      <c r="Y277" s="27" t="s">
        <v>66</v>
      </c>
      <c r="Z277" s="29">
        <v>12</v>
      </c>
      <c r="AA277" s="30">
        <v>29370.33</v>
      </c>
      <c r="AB277" s="29">
        <v>0.85772357723577197</v>
      </c>
      <c r="AC277" s="30">
        <v>24057.200000000001</v>
      </c>
      <c r="AD277" s="30">
        <v>709.75314363143605</v>
      </c>
      <c r="AE277" s="27">
        <v>713.45</v>
      </c>
      <c r="AF277" s="29">
        <v>0.97757376130072204</v>
      </c>
      <c r="AG277" s="30">
        <v>4603.3768563685599</v>
      </c>
      <c r="AH277" s="31">
        <f t="shared" si="65"/>
        <v>0.9826897470039947</v>
      </c>
      <c r="AI277" s="31">
        <f t="shared" si="66"/>
        <v>0.14227642276422764</v>
      </c>
      <c r="AJ277" s="31">
        <f t="shared" si="67"/>
        <v>3.5230352303523033E-2</v>
      </c>
      <c r="AK277" s="31">
        <f t="shared" si="68"/>
        <v>0.85772357723577231</v>
      </c>
      <c r="AL277" s="29">
        <f t="shared" si="69"/>
        <v>0.26666666666666666</v>
      </c>
      <c r="AM277" s="29">
        <f t="shared" si="70"/>
        <v>697.45</v>
      </c>
      <c r="AN277" s="29">
        <f t="shared" si="71"/>
        <v>1.058140368485196</v>
      </c>
      <c r="AO277" s="29">
        <f t="shared" si="72"/>
        <v>1.0526315789473684</v>
      </c>
      <c r="AP277" s="31">
        <f t="shared" si="73"/>
        <v>1.0052333500609363</v>
      </c>
      <c r="AQ277" s="31">
        <f t="shared" si="74"/>
        <v>0.85772357723577231</v>
      </c>
      <c r="AR277" s="31">
        <f t="shared" si="75"/>
        <v>0.84287616511318253</v>
      </c>
      <c r="AS277" s="29">
        <f t="shared" si="76"/>
        <v>32.597831978319782</v>
      </c>
      <c r="AT277" s="29">
        <f t="shared" si="77"/>
        <v>6.2376380167595666</v>
      </c>
      <c r="AU277" s="27" t="str">
        <f t="shared" si="78"/>
        <v>High</v>
      </c>
      <c r="AV277" s="27" t="str">
        <f t="shared" si="79"/>
        <v>Warning</v>
      </c>
      <c r="AW277" s="27"/>
    </row>
    <row r="278" spans="1:49" x14ac:dyDescent="0.25">
      <c r="A278" s="27">
        <v>277</v>
      </c>
      <c r="B278" s="28">
        <v>46031</v>
      </c>
      <c r="C278" s="28" t="str">
        <f t="shared" si="64"/>
        <v>January</v>
      </c>
      <c r="D278" s="27" t="s">
        <v>67</v>
      </c>
      <c r="E278" s="27" t="s">
        <v>48</v>
      </c>
      <c r="F278" s="27" t="s">
        <v>56</v>
      </c>
      <c r="G278" s="27" t="s">
        <v>63</v>
      </c>
      <c r="H278" s="27" t="s">
        <v>79</v>
      </c>
      <c r="I278" s="27" t="s">
        <v>401</v>
      </c>
      <c r="J278" s="27" t="s">
        <v>226</v>
      </c>
      <c r="K278" s="27">
        <v>836</v>
      </c>
      <c r="L278" s="27">
        <v>860</v>
      </c>
      <c r="M278" s="27">
        <v>809</v>
      </c>
      <c r="N278" s="27">
        <v>51</v>
      </c>
      <c r="O278" s="27">
        <v>15</v>
      </c>
      <c r="P278" s="27">
        <v>0</v>
      </c>
      <c r="Q278" s="27" t="s">
        <v>60</v>
      </c>
      <c r="R278" s="27">
        <v>49</v>
      </c>
      <c r="S278" s="27">
        <v>52</v>
      </c>
      <c r="T278" s="29">
        <v>71.8</v>
      </c>
      <c r="U278" s="29">
        <v>1.41</v>
      </c>
      <c r="V278" s="29">
        <v>24.39</v>
      </c>
      <c r="W278" s="30">
        <v>19241.47</v>
      </c>
      <c r="X278" s="27">
        <v>9.5500000000000007</v>
      </c>
      <c r="Y278" s="27" t="s">
        <v>110</v>
      </c>
      <c r="Z278" s="29">
        <v>33</v>
      </c>
      <c r="AA278" s="30">
        <v>30070.76</v>
      </c>
      <c r="AB278" s="29">
        <v>0.94069767441860497</v>
      </c>
      <c r="AC278" s="30">
        <v>23758.48</v>
      </c>
      <c r="AD278" s="30">
        <v>335.60703488372098</v>
      </c>
      <c r="AE278" s="27">
        <v>682.73333333333301</v>
      </c>
      <c r="AF278" s="29">
        <v>1</v>
      </c>
      <c r="AG278" s="30">
        <v>5976.6729651162796</v>
      </c>
      <c r="AH278" s="31">
        <f t="shared" si="65"/>
        <v>1.0287081339712918</v>
      </c>
      <c r="AI278" s="31">
        <f t="shared" si="66"/>
        <v>5.9302325581395351E-2</v>
      </c>
      <c r="AJ278" s="31">
        <f t="shared" si="67"/>
        <v>1.7441860465116279E-2</v>
      </c>
      <c r="AK278" s="31">
        <f t="shared" si="68"/>
        <v>0.94069767441860463</v>
      </c>
      <c r="AL278" s="29">
        <f t="shared" si="69"/>
        <v>0</v>
      </c>
      <c r="AM278" s="29">
        <f t="shared" si="70"/>
        <v>682.73333333333301</v>
      </c>
      <c r="AN278" s="29">
        <f t="shared" si="71"/>
        <v>1.2596426130260723</v>
      </c>
      <c r="AO278" s="29">
        <f t="shared" si="72"/>
        <v>1.2244897959183674</v>
      </c>
      <c r="AP278" s="31">
        <f t="shared" si="73"/>
        <v>1.0287081339712922</v>
      </c>
      <c r="AQ278" s="31">
        <f t="shared" si="74"/>
        <v>0.94069767441860463</v>
      </c>
      <c r="AR278" s="31">
        <f t="shared" si="75"/>
        <v>0.96770334928229695</v>
      </c>
      <c r="AS278" s="29">
        <f t="shared" si="76"/>
        <v>27.62613953488372</v>
      </c>
      <c r="AT278" s="29">
        <f t="shared" si="77"/>
        <v>6.9496197268793951</v>
      </c>
      <c r="AU278" s="27" t="str">
        <f t="shared" si="78"/>
        <v>Medium</v>
      </c>
      <c r="AV278" s="27" t="str">
        <f t="shared" si="79"/>
        <v>Normal</v>
      </c>
      <c r="AW278" s="27"/>
    </row>
    <row r="279" spans="1:49" x14ac:dyDescent="0.25">
      <c r="A279" s="27">
        <v>278</v>
      </c>
      <c r="B279" s="28">
        <v>46125</v>
      </c>
      <c r="C279" s="28" t="str">
        <f t="shared" si="64"/>
        <v>April</v>
      </c>
      <c r="D279" s="27" t="s">
        <v>47</v>
      </c>
      <c r="E279" s="27" t="s">
        <v>129</v>
      </c>
      <c r="F279" s="27" t="s">
        <v>151</v>
      </c>
      <c r="G279" s="27" t="s">
        <v>63</v>
      </c>
      <c r="H279" s="27" t="s">
        <v>51</v>
      </c>
      <c r="I279" s="27" t="s">
        <v>402</v>
      </c>
      <c r="J279" s="27" t="s">
        <v>115</v>
      </c>
      <c r="K279" s="27">
        <v>786</v>
      </c>
      <c r="L279" s="27">
        <v>713</v>
      </c>
      <c r="M279" s="27">
        <v>672</v>
      </c>
      <c r="N279" s="27">
        <v>41</v>
      </c>
      <c r="O279" s="27">
        <v>16</v>
      </c>
      <c r="P279" s="27">
        <v>10</v>
      </c>
      <c r="Q279" s="27" t="s">
        <v>75</v>
      </c>
      <c r="R279" s="27">
        <v>42</v>
      </c>
      <c r="S279" s="27">
        <v>43</v>
      </c>
      <c r="T279" s="29">
        <v>71.599999999999994</v>
      </c>
      <c r="U279" s="29">
        <v>1.72</v>
      </c>
      <c r="V279" s="29">
        <v>27.8</v>
      </c>
      <c r="W279" s="30">
        <v>13055.16</v>
      </c>
      <c r="X279" s="27">
        <v>7.08</v>
      </c>
      <c r="Y279" s="27" t="s">
        <v>110</v>
      </c>
      <c r="Z279" s="29">
        <v>10</v>
      </c>
      <c r="AA279" s="30">
        <v>22077.84</v>
      </c>
      <c r="AB279" s="29">
        <v>0.94249649368863997</v>
      </c>
      <c r="AC279" s="30">
        <v>16491.36</v>
      </c>
      <c r="AD279" s="30">
        <v>292.96291725105198</v>
      </c>
      <c r="AE279" s="27">
        <v>550.20000000000005</v>
      </c>
      <c r="AF279" s="29">
        <v>0.98182479098509601</v>
      </c>
      <c r="AG279" s="30">
        <v>5293.5170827489501</v>
      </c>
      <c r="AH279" s="31">
        <f t="shared" si="65"/>
        <v>0.90712468193384221</v>
      </c>
      <c r="AI279" s="31">
        <f t="shared" si="66"/>
        <v>5.7503506311360447E-2</v>
      </c>
      <c r="AJ279" s="31">
        <f t="shared" si="67"/>
        <v>2.244039270687237E-2</v>
      </c>
      <c r="AK279" s="31">
        <f t="shared" si="68"/>
        <v>0.94249649368863953</v>
      </c>
      <c r="AL279" s="29">
        <f t="shared" si="69"/>
        <v>0.16666666666666666</v>
      </c>
      <c r="AM279" s="29">
        <f t="shared" si="70"/>
        <v>540.20000000000005</v>
      </c>
      <c r="AN279" s="29">
        <f t="shared" si="71"/>
        <v>1.3198815253609772</v>
      </c>
      <c r="AO279" s="29">
        <f t="shared" si="72"/>
        <v>1.4285714285714286</v>
      </c>
      <c r="AP279" s="31">
        <f t="shared" si="73"/>
        <v>0.92391706775268401</v>
      </c>
      <c r="AQ279" s="31">
        <f t="shared" si="74"/>
        <v>0.94249649368863953</v>
      </c>
      <c r="AR279" s="31">
        <f t="shared" si="75"/>
        <v>0.85496183206106824</v>
      </c>
      <c r="AS279" s="29">
        <f t="shared" si="76"/>
        <v>23.129537166900423</v>
      </c>
      <c r="AT279" s="29">
        <f t="shared" si="77"/>
        <v>7.4242876335889907</v>
      </c>
      <c r="AU279" s="27" t="str">
        <f t="shared" si="78"/>
        <v>Medium</v>
      </c>
      <c r="AV279" s="27" t="str">
        <f t="shared" si="79"/>
        <v>Normal</v>
      </c>
      <c r="AW279" s="27"/>
    </row>
    <row r="280" spans="1:49" x14ac:dyDescent="0.25">
      <c r="A280" s="27">
        <v>279</v>
      </c>
      <c r="B280" s="28">
        <v>46169</v>
      </c>
      <c r="C280" s="28" t="str">
        <f t="shared" si="64"/>
        <v>May</v>
      </c>
      <c r="D280" s="27" t="s">
        <v>47</v>
      </c>
      <c r="E280" s="27" t="s">
        <v>48</v>
      </c>
      <c r="F280" s="27" t="s">
        <v>72</v>
      </c>
      <c r="G280" s="27" t="s">
        <v>78</v>
      </c>
      <c r="H280" s="27" t="s">
        <v>124</v>
      </c>
      <c r="I280" s="27" t="s">
        <v>403</v>
      </c>
      <c r="J280" s="27" t="s">
        <v>286</v>
      </c>
      <c r="K280" s="27">
        <v>752</v>
      </c>
      <c r="L280" s="27">
        <v>591</v>
      </c>
      <c r="M280" s="27">
        <v>570</v>
      </c>
      <c r="N280" s="27">
        <v>21</v>
      </c>
      <c r="O280" s="27">
        <v>7</v>
      </c>
      <c r="P280" s="27">
        <v>22</v>
      </c>
      <c r="Q280" s="27" t="s">
        <v>82</v>
      </c>
      <c r="R280" s="27">
        <v>57</v>
      </c>
      <c r="S280" s="27">
        <v>57</v>
      </c>
      <c r="T280" s="29">
        <v>67.400000000000006</v>
      </c>
      <c r="U280" s="29">
        <v>2.71</v>
      </c>
      <c r="V280" s="29">
        <v>17.89</v>
      </c>
      <c r="W280" s="30">
        <v>16785.63</v>
      </c>
      <c r="X280" s="27">
        <v>8.07</v>
      </c>
      <c r="Y280" s="27" t="s">
        <v>66</v>
      </c>
      <c r="Z280" s="29">
        <v>14</v>
      </c>
      <c r="AA280" s="30">
        <v>26210.799999999999</v>
      </c>
      <c r="AB280" s="29">
        <v>0.96446700507614203</v>
      </c>
      <c r="AC280" s="30">
        <v>20578.14</v>
      </c>
      <c r="AD280" s="30">
        <v>198.81456852791899</v>
      </c>
      <c r="AE280" s="27">
        <v>714.4</v>
      </c>
      <c r="AF280" s="29">
        <v>0.96920492721164597</v>
      </c>
      <c r="AG280" s="30">
        <v>5433.8454314720802</v>
      </c>
      <c r="AH280" s="31">
        <f t="shared" si="65"/>
        <v>0.78590425531914898</v>
      </c>
      <c r="AI280" s="31">
        <f t="shared" si="66"/>
        <v>3.553299492385787E-2</v>
      </c>
      <c r="AJ280" s="31">
        <f t="shared" si="67"/>
        <v>1.1844331641285956E-2</v>
      </c>
      <c r="AK280" s="31">
        <f t="shared" si="68"/>
        <v>0.96446700507614214</v>
      </c>
      <c r="AL280" s="29">
        <f t="shared" si="69"/>
        <v>0.36666666666666664</v>
      </c>
      <c r="AM280" s="29">
        <f t="shared" si="70"/>
        <v>692.4</v>
      </c>
      <c r="AN280" s="29">
        <f t="shared" si="71"/>
        <v>0.85355285961871752</v>
      </c>
      <c r="AO280" s="29">
        <f t="shared" si="72"/>
        <v>1.0526315789473684</v>
      </c>
      <c r="AP280" s="31">
        <f t="shared" si="73"/>
        <v>0.81087521663778173</v>
      </c>
      <c r="AQ280" s="31">
        <f t="shared" si="74"/>
        <v>0.96446700507614214</v>
      </c>
      <c r="AR280" s="31">
        <f t="shared" si="75"/>
        <v>0.75797872340425521</v>
      </c>
      <c r="AS280" s="29">
        <f t="shared" si="76"/>
        <v>34.819187817258886</v>
      </c>
      <c r="AT280" s="29">
        <f t="shared" si="77"/>
        <v>9.1943239111202715</v>
      </c>
      <c r="AU280" s="27" t="str">
        <f t="shared" si="78"/>
        <v>High</v>
      </c>
      <c r="AV280" s="27" t="str">
        <f t="shared" si="79"/>
        <v>Warning</v>
      </c>
      <c r="AW280" s="27"/>
    </row>
    <row r="281" spans="1:49" x14ac:dyDescent="0.25">
      <c r="A281" s="27">
        <v>280</v>
      </c>
      <c r="B281" s="28">
        <v>46080</v>
      </c>
      <c r="C281" s="28" t="str">
        <f t="shared" si="64"/>
        <v>February</v>
      </c>
      <c r="D281" s="27" t="s">
        <v>47</v>
      </c>
      <c r="E281" s="27" t="s">
        <v>98</v>
      </c>
      <c r="F281" s="27" t="s">
        <v>99</v>
      </c>
      <c r="G281" s="27" t="s">
        <v>50</v>
      </c>
      <c r="H281" s="27" t="s">
        <v>124</v>
      </c>
      <c r="I281" s="27" t="s">
        <v>404</v>
      </c>
      <c r="J281" s="27" t="s">
        <v>153</v>
      </c>
      <c r="K281" s="27">
        <v>630</v>
      </c>
      <c r="L281" s="27">
        <v>611</v>
      </c>
      <c r="M281" s="27">
        <v>575</v>
      </c>
      <c r="N281" s="27">
        <v>36</v>
      </c>
      <c r="O281" s="27">
        <v>9</v>
      </c>
      <c r="P281" s="27">
        <v>0</v>
      </c>
      <c r="Q281" s="27" t="s">
        <v>60</v>
      </c>
      <c r="R281" s="27">
        <v>57</v>
      </c>
      <c r="S281" s="27">
        <v>57</v>
      </c>
      <c r="T281" s="29">
        <v>73.7</v>
      </c>
      <c r="U281" s="29">
        <v>2.0499999999999998</v>
      </c>
      <c r="V281" s="29">
        <v>22.01</v>
      </c>
      <c r="W281" s="30">
        <v>16539.650000000001</v>
      </c>
      <c r="X281" s="27">
        <v>9.17</v>
      </c>
      <c r="Y281" s="27" t="s">
        <v>110</v>
      </c>
      <c r="Z281" s="29">
        <v>48</v>
      </c>
      <c r="AA281" s="30">
        <v>25672.880000000001</v>
      </c>
      <c r="AB281" s="29">
        <v>0.94108019639934504</v>
      </c>
      <c r="AC281" s="30">
        <v>20864.240000000002</v>
      </c>
      <c r="AD281" s="30">
        <v>243.62823240589199</v>
      </c>
      <c r="AE281" s="27">
        <v>598.5</v>
      </c>
      <c r="AF281" s="29">
        <v>1</v>
      </c>
      <c r="AG281" s="30">
        <v>4565.0117675941101</v>
      </c>
      <c r="AH281" s="31">
        <f t="shared" si="65"/>
        <v>0.96984126984126984</v>
      </c>
      <c r="AI281" s="31">
        <f t="shared" si="66"/>
        <v>5.8919803600654665E-2</v>
      </c>
      <c r="AJ281" s="31">
        <f t="shared" si="67"/>
        <v>1.4729950900163666E-2</v>
      </c>
      <c r="AK281" s="31">
        <f t="shared" si="68"/>
        <v>0.94108019639934537</v>
      </c>
      <c r="AL281" s="29">
        <f t="shared" si="69"/>
        <v>0</v>
      </c>
      <c r="AM281" s="29">
        <f t="shared" si="70"/>
        <v>598.5</v>
      </c>
      <c r="AN281" s="29">
        <f t="shared" si="71"/>
        <v>1.0208855472013367</v>
      </c>
      <c r="AO281" s="29">
        <f t="shared" si="72"/>
        <v>1.0526315789473684</v>
      </c>
      <c r="AP281" s="31">
        <f t="shared" si="73"/>
        <v>0.96984126984126995</v>
      </c>
      <c r="AQ281" s="31">
        <f t="shared" si="74"/>
        <v>0.94108019639934537</v>
      </c>
      <c r="AR281" s="31">
        <f t="shared" si="75"/>
        <v>0.91269841269841279</v>
      </c>
      <c r="AS281" s="29">
        <f t="shared" si="76"/>
        <v>34.14769230769231</v>
      </c>
      <c r="AT281" s="29">
        <f t="shared" si="77"/>
        <v>7.4713776883700653</v>
      </c>
      <c r="AU281" s="27" t="str">
        <f t="shared" si="78"/>
        <v>Medium</v>
      </c>
      <c r="AV281" s="27" t="str">
        <f t="shared" si="79"/>
        <v>Normal</v>
      </c>
      <c r="AW281" s="27"/>
    </row>
    <row r="282" spans="1:49" x14ac:dyDescent="0.25">
      <c r="A282" s="27">
        <v>281</v>
      </c>
      <c r="B282" s="28">
        <v>46057</v>
      </c>
      <c r="C282" s="28" t="str">
        <f t="shared" si="64"/>
        <v>February</v>
      </c>
      <c r="D282" s="27" t="s">
        <v>67</v>
      </c>
      <c r="E282" s="27" t="s">
        <v>61</v>
      </c>
      <c r="F282" s="27" t="s">
        <v>95</v>
      </c>
      <c r="G282" s="27" t="s">
        <v>50</v>
      </c>
      <c r="H282" s="27" t="s">
        <v>79</v>
      </c>
      <c r="I282" s="27" t="s">
        <v>405</v>
      </c>
      <c r="J282" s="27" t="s">
        <v>74</v>
      </c>
      <c r="K282" s="27">
        <v>751</v>
      </c>
      <c r="L282" s="27">
        <v>702</v>
      </c>
      <c r="M282" s="27">
        <v>661</v>
      </c>
      <c r="N282" s="27">
        <v>41</v>
      </c>
      <c r="O282" s="27">
        <v>15</v>
      </c>
      <c r="P282" s="27">
        <v>19</v>
      </c>
      <c r="Q282" s="27" t="s">
        <v>97</v>
      </c>
      <c r="R282" s="27">
        <v>49</v>
      </c>
      <c r="S282" s="27">
        <v>50</v>
      </c>
      <c r="T282" s="29">
        <v>77.400000000000006</v>
      </c>
      <c r="U282" s="29">
        <v>1.69</v>
      </c>
      <c r="V282" s="29">
        <v>20.75</v>
      </c>
      <c r="W282" s="30">
        <v>15223.34</v>
      </c>
      <c r="X282" s="27">
        <v>9.75</v>
      </c>
      <c r="Y282" s="27" t="s">
        <v>66</v>
      </c>
      <c r="Z282" s="29">
        <v>20</v>
      </c>
      <c r="AA282" s="30">
        <v>24563.75</v>
      </c>
      <c r="AB282" s="29">
        <v>0.94159544159544195</v>
      </c>
      <c r="AC282" s="30">
        <v>19797.59</v>
      </c>
      <c r="AD282" s="30">
        <v>325.28504273504302</v>
      </c>
      <c r="AE282" s="27">
        <v>613.31666666666695</v>
      </c>
      <c r="AF282" s="29">
        <v>0.96902089730699204</v>
      </c>
      <c r="AG282" s="30">
        <v>4440.8749572649604</v>
      </c>
      <c r="AH282" s="31">
        <f t="shared" si="65"/>
        <v>0.93475366178428765</v>
      </c>
      <c r="AI282" s="31">
        <f t="shared" si="66"/>
        <v>5.8404558404558403E-2</v>
      </c>
      <c r="AJ282" s="31">
        <f t="shared" si="67"/>
        <v>2.1367521367521368E-2</v>
      </c>
      <c r="AK282" s="31">
        <f t="shared" si="68"/>
        <v>0.94159544159544162</v>
      </c>
      <c r="AL282" s="29">
        <f t="shared" si="69"/>
        <v>0.31666666666666665</v>
      </c>
      <c r="AM282" s="29">
        <f t="shared" si="70"/>
        <v>594.31666666666695</v>
      </c>
      <c r="AN282" s="29">
        <f t="shared" si="71"/>
        <v>1.1811884797666783</v>
      </c>
      <c r="AO282" s="29">
        <f t="shared" si="72"/>
        <v>1.2244897959183674</v>
      </c>
      <c r="AP282" s="31">
        <f t="shared" si="73"/>
        <v>0.96463725847612058</v>
      </c>
      <c r="AQ282" s="31">
        <f t="shared" si="74"/>
        <v>0.94159544159544162</v>
      </c>
      <c r="AR282" s="31">
        <f t="shared" si="75"/>
        <v>0.88015978695073194</v>
      </c>
      <c r="AS282" s="29">
        <f t="shared" si="76"/>
        <v>28.201695156695155</v>
      </c>
      <c r="AT282" s="29">
        <f t="shared" si="77"/>
        <v>6.3260327026566383</v>
      </c>
      <c r="AU282" s="27" t="str">
        <f t="shared" si="78"/>
        <v>Low</v>
      </c>
      <c r="AV282" s="27" t="str">
        <f t="shared" si="79"/>
        <v>Normal</v>
      </c>
      <c r="AW282" s="27"/>
    </row>
    <row r="283" spans="1:49" x14ac:dyDescent="0.25">
      <c r="A283" s="27">
        <v>282</v>
      </c>
      <c r="B283" s="28">
        <v>46166</v>
      </c>
      <c r="C283" s="28" t="str">
        <f t="shared" si="64"/>
        <v>May</v>
      </c>
      <c r="D283" s="27" t="s">
        <v>47</v>
      </c>
      <c r="E283" s="27" t="s">
        <v>76</v>
      </c>
      <c r="F283" s="27" t="s">
        <v>77</v>
      </c>
      <c r="G283" s="27" t="s">
        <v>50</v>
      </c>
      <c r="H283" s="27" t="s">
        <v>124</v>
      </c>
      <c r="I283" s="27" t="s">
        <v>406</v>
      </c>
      <c r="J283" s="27" t="s">
        <v>226</v>
      </c>
      <c r="K283" s="27">
        <v>744</v>
      </c>
      <c r="L283" s="27">
        <v>723</v>
      </c>
      <c r="M283" s="27">
        <v>671</v>
      </c>
      <c r="N283" s="27">
        <v>52</v>
      </c>
      <c r="O283" s="27">
        <v>22</v>
      </c>
      <c r="P283" s="27">
        <v>44</v>
      </c>
      <c r="Q283" s="27" t="s">
        <v>104</v>
      </c>
      <c r="R283" s="27">
        <v>57</v>
      </c>
      <c r="S283" s="27">
        <v>57</v>
      </c>
      <c r="T283" s="29">
        <v>66.599999999999994</v>
      </c>
      <c r="U283" s="29">
        <v>3.24</v>
      </c>
      <c r="V283" s="29">
        <v>25.06</v>
      </c>
      <c r="W283" s="30">
        <v>19715.689999999999</v>
      </c>
      <c r="X283" s="27">
        <v>9.89</v>
      </c>
      <c r="Y283" s="27" t="s">
        <v>55</v>
      </c>
      <c r="Z283" s="29">
        <v>5</v>
      </c>
      <c r="AA283" s="30">
        <v>31476.39</v>
      </c>
      <c r="AB283" s="29">
        <v>0.92807745504840899</v>
      </c>
      <c r="AC283" s="30">
        <v>24391.73</v>
      </c>
      <c r="AD283" s="30">
        <v>599.92417704011098</v>
      </c>
      <c r="AE283" s="27">
        <v>706.8</v>
      </c>
      <c r="AF283" s="29">
        <v>0.93774759479343495</v>
      </c>
      <c r="AG283" s="30">
        <v>6484.7358229598904</v>
      </c>
      <c r="AH283" s="31">
        <f t="shared" si="65"/>
        <v>0.97177419354838712</v>
      </c>
      <c r="AI283" s="31">
        <f t="shared" si="66"/>
        <v>7.1922544951590589E-2</v>
      </c>
      <c r="AJ283" s="31">
        <f t="shared" si="67"/>
        <v>3.0428769017980636E-2</v>
      </c>
      <c r="AK283" s="31">
        <f t="shared" si="68"/>
        <v>0.92807745504840944</v>
      </c>
      <c r="AL283" s="29">
        <f t="shared" si="69"/>
        <v>0.73333333333333328</v>
      </c>
      <c r="AM283" s="29">
        <f t="shared" si="70"/>
        <v>662.8</v>
      </c>
      <c r="AN283" s="29">
        <f t="shared" si="71"/>
        <v>1.0908267954133979</v>
      </c>
      <c r="AO283" s="29">
        <f t="shared" si="72"/>
        <v>1.0526315789473684</v>
      </c>
      <c r="AP283" s="31">
        <f t="shared" si="73"/>
        <v>1.0362854556427281</v>
      </c>
      <c r="AQ283" s="31">
        <f t="shared" si="74"/>
        <v>0.92807745504840944</v>
      </c>
      <c r="AR283" s="31">
        <f t="shared" si="75"/>
        <v>0.90188172043010761</v>
      </c>
      <c r="AS283" s="29">
        <f t="shared" si="76"/>
        <v>33.736832641770398</v>
      </c>
      <c r="AT283" s="29">
        <f t="shared" si="77"/>
        <v>8.9692058408850492</v>
      </c>
      <c r="AU283" s="27" t="str">
        <f t="shared" si="78"/>
        <v>Medium</v>
      </c>
      <c r="AV283" s="27" t="str">
        <f t="shared" si="79"/>
        <v>Warning</v>
      </c>
      <c r="AW283" s="27"/>
    </row>
    <row r="284" spans="1:49" x14ac:dyDescent="0.25">
      <c r="A284" s="27">
        <v>283</v>
      </c>
      <c r="B284" s="28">
        <v>46090</v>
      </c>
      <c r="C284" s="28" t="str">
        <f t="shared" si="64"/>
        <v>March</v>
      </c>
      <c r="D284" s="27" t="s">
        <v>67</v>
      </c>
      <c r="E284" s="27" t="s">
        <v>61</v>
      </c>
      <c r="F284" s="27" t="s">
        <v>88</v>
      </c>
      <c r="G284" s="27" t="s">
        <v>50</v>
      </c>
      <c r="H284" s="27" t="s">
        <v>68</v>
      </c>
      <c r="I284" s="27" t="s">
        <v>407</v>
      </c>
      <c r="J284" s="27" t="s">
        <v>101</v>
      </c>
      <c r="K284" s="27">
        <v>592</v>
      </c>
      <c r="L284" s="27">
        <v>682</v>
      </c>
      <c r="M284" s="27">
        <v>650</v>
      </c>
      <c r="N284" s="27">
        <v>32</v>
      </c>
      <c r="O284" s="27">
        <v>9</v>
      </c>
      <c r="P284" s="27">
        <v>0</v>
      </c>
      <c r="Q284" s="27" t="s">
        <v>60</v>
      </c>
      <c r="R284" s="27">
        <v>64</v>
      </c>
      <c r="S284" s="27">
        <v>62</v>
      </c>
      <c r="T284" s="29">
        <v>74.900000000000006</v>
      </c>
      <c r="U284" s="29">
        <v>2.38</v>
      </c>
      <c r="V284" s="29">
        <v>27.92</v>
      </c>
      <c r="W284" s="30">
        <v>19976.97</v>
      </c>
      <c r="X284" s="27">
        <v>9.65</v>
      </c>
      <c r="Y284" s="27" t="s">
        <v>66</v>
      </c>
      <c r="Z284" s="29">
        <v>12</v>
      </c>
      <c r="AA284" s="30">
        <v>33769.980000000003</v>
      </c>
      <c r="AB284" s="29">
        <v>0.95307917888563098</v>
      </c>
      <c r="AC284" s="30">
        <v>24570.75</v>
      </c>
      <c r="AD284" s="30">
        <v>263.625703812317</v>
      </c>
      <c r="AE284" s="27">
        <v>631.46666666666704</v>
      </c>
      <c r="AF284" s="29">
        <v>1</v>
      </c>
      <c r="AG284" s="30">
        <v>8935.6042961876901</v>
      </c>
      <c r="AH284" s="31">
        <f t="shared" si="65"/>
        <v>1.152027027027027</v>
      </c>
      <c r="AI284" s="31">
        <f t="shared" si="66"/>
        <v>4.6920821114369501E-2</v>
      </c>
      <c r="AJ284" s="31">
        <f t="shared" si="67"/>
        <v>1.3196480938416423E-2</v>
      </c>
      <c r="AK284" s="31">
        <f t="shared" si="68"/>
        <v>0.95307917888563054</v>
      </c>
      <c r="AL284" s="29">
        <f t="shared" si="69"/>
        <v>0</v>
      </c>
      <c r="AM284" s="29">
        <f t="shared" si="70"/>
        <v>631.46666666666704</v>
      </c>
      <c r="AN284" s="29">
        <f t="shared" si="71"/>
        <v>1.0800253378378373</v>
      </c>
      <c r="AO284" s="29">
        <f t="shared" si="72"/>
        <v>0.9375</v>
      </c>
      <c r="AP284" s="31">
        <f t="shared" si="73"/>
        <v>1.1520270270270265</v>
      </c>
      <c r="AQ284" s="31">
        <f t="shared" si="74"/>
        <v>0.95307917888563054</v>
      </c>
      <c r="AR284" s="31">
        <f t="shared" si="75"/>
        <v>1.0979729729729726</v>
      </c>
      <c r="AS284" s="29">
        <f t="shared" si="76"/>
        <v>36.027492668621704</v>
      </c>
      <c r="AT284" s="29">
        <f t="shared" si="77"/>
        <v>13.102059085319194</v>
      </c>
      <c r="AU284" s="27" t="str">
        <f t="shared" si="78"/>
        <v>Low</v>
      </c>
      <c r="AV284" s="27" t="str">
        <f t="shared" si="79"/>
        <v>Normal</v>
      </c>
      <c r="AW284" s="27"/>
    </row>
    <row r="285" spans="1:49" x14ac:dyDescent="0.25">
      <c r="A285" s="27">
        <v>284</v>
      </c>
      <c r="B285" s="28">
        <v>46149</v>
      </c>
      <c r="C285" s="28" t="str">
        <f t="shared" si="64"/>
        <v>May</v>
      </c>
      <c r="D285" s="27" t="s">
        <v>47</v>
      </c>
      <c r="E285" s="27" t="s">
        <v>98</v>
      </c>
      <c r="F285" s="27" t="s">
        <v>105</v>
      </c>
      <c r="G285" s="27" t="s">
        <v>50</v>
      </c>
      <c r="H285" s="27" t="s">
        <v>51</v>
      </c>
      <c r="I285" s="27" t="s">
        <v>408</v>
      </c>
      <c r="J285" s="27" t="s">
        <v>143</v>
      </c>
      <c r="K285" s="27">
        <v>812</v>
      </c>
      <c r="L285" s="27">
        <v>772</v>
      </c>
      <c r="M285" s="27">
        <v>718</v>
      </c>
      <c r="N285" s="27">
        <v>54</v>
      </c>
      <c r="O285" s="27">
        <v>20</v>
      </c>
      <c r="P285" s="27">
        <v>22</v>
      </c>
      <c r="Q285" s="27" t="s">
        <v>94</v>
      </c>
      <c r="R285" s="27">
        <v>42</v>
      </c>
      <c r="S285" s="27">
        <v>44</v>
      </c>
      <c r="T285" s="29">
        <v>76.099999999999994</v>
      </c>
      <c r="U285" s="29">
        <v>3.63</v>
      </c>
      <c r="V285" s="29">
        <v>25.01</v>
      </c>
      <c r="W285" s="30">
        <v>13846.95</v>
      </c>
      <c r="X285" s="27">
        <v>8.41</v>
      </c>
      <c r="Y285" s="27" t="s">
        <v>55</v>
      </c>
      <c r="Z285" s="29">
        <v>26</v>
      </c>
      <c r="AA285" s="30">
        <v>22739.79</v>
      </c>
      <c r="AB285" s="29">
        <v>0.93005181347150301</v>
      </c>
      <c r="AC285" s="30">
        <v>17856.54</v>
      </c>
      <c r="AD285" s="30">
        <v>358.72927461139898</v>
      </c>
      <c r="AE285" s="27">
        <v>568.4</v>
      </c>
      <c r="AF285" s="29">
        <v>0.96129486277269505</v>
      </c>
      <c r="AG285" s="30">
        <v>4524.5207253886001</v>
      </c>
      <c r="AH285" s="31">
        <f t="shared" si="65"/>
        <v>0.95073891625615758</v>
      </c>
      <c r="AI285" s="31">
        <f t="shared" si="66"/>
        <v>6.9948186528497408E-2</v>
      </c>
      <c r="AJ285" s="31">
        <f t="shared" si="67"/>
        <v>2.5906735751295335E-2</v>
      </c>
      <c r="AK285" s="31">
        <f t="shared" si="68"/>
        <v>0.93005181347150256</v>
      </c>
      <c r="AL285" s="29">
        <f t="shared" si="69"/>
        <v>0.36666666666666664</v>
      </c>
      <c r="AM285" s="29">
        <f t="shared" si="70"/>
        <v>546.4</v>
      </c>
      <c r="AN285" s="29">
        <f t="shared" si="71"/>
        <v>1.4128843338213763</v>
      </c>
      <c r="AO285" s="29">
        <f t="shared" si="72"/>
        <v>1.4285714285714286</v>
      </c>
      <c r="AP285" s="31">
        <f t="shared" si="73"/>
        <v>0.98901903367496347</v>
      </c>
      <c r="AQ285" s="31">
        <f t="shared" si="74"/>
        <v>0.93005181347150256</v>
      </c>
      <c r="AR285" s="31">
        <f t="shared" si="75"/>
        <v>0.88423645320197031</v>
      </c>
      <c r="AS285" s="29">
        <f t="shared" si="76"/>
        <v>23.130233160621763</v>
      </c>
      <c r="AT285" s="29">
        <f t="shared" si="77"/>
        <v>5.8607781416950777</v>
      </c>
      <c r="AU285" s="27" t="str">
        <f t="shared" si="78"/>
        <v>Medium</v>
      </c>
      <c r="AV285" s="27" t="str">
        <f t="shared" si="79"/>
        <v>Warning</v>
      </c>
      <c r="AW285" s="27"/>
    </row>
    <row r="286" spans="1:49" x14ac:dyDescent="0.25">
      <c r="A286" s="27">
        <v>285</v>
      </c>
      <c r="B286" s="28">
        <v>46095</v>
      </c>
      <c r="C286" s="28" t="str">
        <f t="shared" si="64"/>
        <v>March</v>
      </c>
      <c r="D286" s="27" t="s">
        <v>47</v>
      </c>
      <c r="E286" s="27" t="s">
        <v>61</v>
      </c>
      <c r="F286" s="27" t="s">
        <v>62</v>
      </c>
      <c r="G286" s="27" t="s">
        <v>63</v>
      </c>
      <c r="H286" s="27" t="s">
        <v>68</v>
      </c>
      <c r="I286" s="27" t="s">
        <v>409</v>
      </c>
      <c r="J286" s="27" t="s">
        <v>70</v>
      </c>
      <c r="K286" s="27">
        <v>489</v>
      </c>
      <c r="L286" s="27">
        <v>439</v>
      </c>
      <c r="M286" s="27">
        <v>415</v>
      </c>
      <c r="N286" s="27">
        <v>24</v>
      </c>
      <c r="O286" s="27">
        <v>7</v>
      </c>
      <c r="P286" s="27">
        <v>27</v>
      </c>
      <c r="Q286" s="27" t="s">
        <v>94</v>
      </c>
      <c r="R286" s="27">
        <v>64</v>
      </c>
      <c r="S286" s="27">
        <v>67</v>
      </c>
      <c r="T286" s="29">
        <v>79.3</v>
      </c>
      <c r="U286" s="29">
        <v>1.99</v>
      </c>
      <c r="V286" s="29">
        <v>19.72</v>
      </c>
      <c r="W286" s="30">
        <v>14273.46</v>
      </c>
      <c r="X286" s="27">
        <v>8.83</v>
      </c>
      <c r="Y286" s="27" t="s">
        <v>55</v>
      </c>
      <c r="Z286" s="29">
        <v>5</v>
      </c>
      <c r="AA286" s="30">
        <v>22050.37</v>
      </c>
      <c r="AB286" s="29">
        <v>0.94533029612756303</v>
      </c>
      <c r="AC286" s="30">
        <v>18424.439999999999</v>
      </c>
      <c r="AD286" s="30">
        <v>227.59503416856501</v>
      </c>
      <c r="AE286" s="27">
        <v>521.6</v>
      </c>
      <c r="AF286" s="29">
        <v>0.94823619631901901</v>
      </c>
      <c r="AG286" s="30">
        <v>3398.3349658314401</v>
      </c>
      <c r="AH286" s="31">
        <f t="shared" si="65"/>
        <v>0.89775051124744376</v>
      </c>
      <c r="AI286" s="31">
        <f t="shared" si="66"/>
        <v>5.4669703872437359E-2</v>
      </c>
      <c r="AJ286" s="31">
        <f t="shared" si="67"/>
        <v>1.5945330296127564E-2</v>
      </c>
      <c r="AK286" s="31">
        <f t="shared" si="68"/>
        <v>0.9453302961275627</v>
      </c>
      <c r="AL286" s="29">
        <f t="shared" si="69"/>
        <v>0.45</v>
      </c>
      <c r="AM286" s="29">
        <f t="shared" si="70"/>
        <v>494.6</v>
      </c>
      <c r="AN286" s="29">
        <f t="shared" si="71"/>
        <v>0.88758592802264447</v>
      </c>
      <c r="AO286" s="29">
        <f t="shared" si="72"/>
        <v>0.9375</v>
      </c>
      <c r="AP286" s="31">
        <f t="shared" si="73"/>
        <v>0.9467583232241541</v>
      </c>
      <c r="AQ286" s="31">
        <f t="shared" si="74"/>
        <v>0.9453302961275627</v>
      </c>
      <c r="AR286" s="31">
        <f t="shared" si="75"/>
        <v>0.84867075664621727</v>
      </c>
      <c r="AS286" s="29">
        <f t="shared" si="76"/>
        <v>41.969111617312073</v>
      </c>
      <c r="AT286" s="29">
        <f t="shared" si="77"/>
        <v>7.7410819267230977</v>
      </c>
      <c r="AU286" s="27" t="str">
        <f t="shared" si="78"/>
        <v>Medium</v>
      </c>
      <c r="AV286" s="27" t="str">
        <f t="shared" si="79"/>
        <v>Warning</v>
      </c>
      <c r="AW286" s="27"/>
    </row>
    <row r="287" spans="1:49" x14ac:dyDescent="0.25">
      <c r="A287" s="27">
        <v>286</v>
      </c>
      <c r="B287" s="28">
        <v>46187</v>
      </c>
      <c r="C287" s="28" t="str">
        <f t="shared" si="64"/>
        <v>June</v>
      </c>
      <c r="D287" s="27" t="s">
        <v>67</v>
      </c>
      <c r="E287" s="27" t="s">
        <v>129</v>
      </c>
      <c r="F287" s="27" t="s">
        <v>167</v>
      </c>
      <c r="G287" s="27" t="s">
        <v>63</v>
      </c>
      <c r="H287" s="27" t="s">
        <v>124</v>
      </c>
      <c r="I287" s="27" t="s">
        <v>410</v>
      </c>
      <c r="J287" s="27" t="s">
        <v>90</v>
      </c>
      <c r="K287" s="27">
        <v>543</v>
      </c>
      <c r="L287" s="27">
        <v>524</v>
      </c>
      <c r="M287" s="27">
        <v>477</v>
      </c>
      <c r="N287" s="27">
        <v>47</v>
      </c>
      <c r="O287" s="27">
        <v>12</v>
      </c>
      <c r="P287" s="27">
        <v>42</v>
      </c>
      <c r="Q287" s="27" t="s">
        <v>97</v>
      </c>
      <c r="R287" s="27">
        <v>57</v>
      </c>
      <c r="S287" s="27">
        <v>55</v>
      </c>
      <c r="T287" s="29">
        <v>73.8</v>
      </c>
      <c r="U287" s="29">
        <v>1.91</v>
      </c>
      <c r="V287" s="29">
        <v>22.37</v>
      </c>
      <c r="W287" s="30">
        <v>13753.94</v>
      </c>
      <c r="X287" s="27">
        <v>8.51</v>
      </c>
      <c r="Y287" s="27" t="s">
        <v>66</v>
      </c>
      <c r="Z287" s="29">
        <v>27</v>
      </c>
      <c r="AA287" s="30">
        <v>22345.32</v>
      </c>
      <c r="AB287" s="29">
        <v>0.91030534351144998</v>
      </c>
      <c r="AC287" s="30">
        <v>17784.77</v>
      </c>
      <c r="AD287" s="30">
        <v>314.97572519084002</v>
      </c>
      <c r="AE287" s="27">
        <v>515.85</v>
      </c>
      <c r="AF287" s="29">
        <v>0.91858098284385004</v>
      </c>
      <c r="AG287" s="30">
        <v>4245.5742748091598</v>
      </c>
      <c r="AH287" s="31">
        <f t="shared" si="65"/>
        <v>0.96500920810313073</v>
      </c>
      <c r="AI287" s="31">
        <f t="shared" si="66"/>
        <v>8.9694656488549615E-2</v>
      </c>
      <c r="AJ287" s="31">
        <f t="shared" si="67"/>
        <v>2.2900763358778626E-2</v>
      </c>
      <c r="AK287" s="31">
        <f t="shared" si="68"/>
        <v>0.91030534351145043</v>
      </c>
      <c r="AL287" s="29">
        <f t="shared" si="69"/>
        <v>0.7</v>
      </c>
      <c r="AM287" s="29">
        <f t="shared" si="70"/>
        <v>473.85</v>
      </c>
      <c r="AN287" s="29">
        <f t="shared" si="71"/>
        <v>1.1058351799092538</v>
      </c>
      <c r="AO287" s="29">
        <f t="shared" si="72"/>
        <v>1.0526315789473684</v>
      </c>
      <c r="AP287" s="31">
        <f t="shared" si="73"/>
        <v>1.0505434209137912</v>
      </c>
      <c r="AQ287" s="31">
        <f t="shared" si="74"/>
        <v>0.91030534351145043</v>
      </c>
      <c r="AR287" s="31">
        <f t="shared" si="75"/>
        <v>0.87845303867403313</v>
      </c>
      <c r="AS287" s="29">
        <f t="shared" si="76"/>
        <v>33.940400763358781</v>
      </c>
      <c r="AT287" s="29">
        <f t="shared" si="77"/>
        <v>8.1022409824602288</v>
      </c>
      <c r="AU287" s="27" t="str">
        <f t="shared" si="78"/>
        <v>Medium</v>
      </c>
      <c r="AV287" s="27" t="str">
        <f t="shared" si="79"/>
        <v>Warning</v>
      </c>
      <c r="AW287" s="27"/>
    </row>
    <row r="288" spans="1:49" x14ac:dyDescent="0.25">
      <c r="A288" s="27">
        <v>287</v>
      </c>
      <c r="B288" s="28">
        <v>46102</v>
      </c>
      <c r="C288" s="28" t="str">
        <f t="shared" si="64"/>
        <v>March</v>
      </c>
      <c r="D288" s="27" t="s">
        <v>47</v>
      </c>
      <c r="E288" s="27" t="s">
        <v>129</v>
      </c>
      <c r="F288" s="27" t="s">
        <v>130</v>
      </c>
      <c r="G288" s="27" t="s">
        <v>50</v>
      </c>
      <c r="H288" s="27" t="s">
        <v>79</v>
      </c>
      <c r="I288" s="27" t="s">
        <v>411</v>
      </c>
      <c r="J288" s="27" t="s">
        <v>138</v>
      </c>
      <c r="K288" s="27">
        <v>870</v>
      </c>
      <c r="L288" s="27">
        <v>751</v>
      </c>
      <c r="M288" s="27">
        <v>667</v>
      </c>
      <c r="N288" s="27">
        <v>84</v>
      </c>
      <c r="O288" s="27">
        <v>29</v>
      </c>
      <c r="P288" s="27">
        <v>42</v>
      </c>
      <c r="Q288" s="27" t="s">
        <v>91</v>
      </c>
      <c r="R288" s="27">
        <v>49</v>
      </c>
      <c r="S288" s="27">
        <v>55</v>
      </c>
      <c r="T288" s="29">
        <v>73.2</v>
      </c>
      <c r="U288" s="29">
        <v>2.98</v>
      </c>
      <c r="V288" s="29">
        <v>24.84</v>
      </c>
      <c r="W288" s="30">
        <v>16778.87</v>
      </c>
      <c r="X288" s="27">
        <v>7.71</v>
      </c>
      <c r="Y288" s="27" t="s">
        <v>55</v>
      </c>
      <c r="Z288" s="29">
        <v>40</v>
      </c>
      <c r="AA288" s="30">
        <v>25250.73</v>
      </c>
      <c r="AB288" s="29">
        <v>0.88814913448735</v>
      </c>
      <c r="AC288" s="30">
        <v>20471.93</v>
      </c>
      <c r="AD288" s="30">
        <v>647.91908122503298</v>
      </c>
      <c r="AE288" s="27">
        <v>710.5</v>
      </c>
      <c r="AF288" s="29">
        <v>0.94088669950738901</v>
      </c>
      <c r="AG288" s="30">
        <v>4130.8809187749703</v>
      </c>
      <c r="AH288" s="31">
        <f t="shared" si="65"/>
        <v>0.86321839080459772</v>
      </c>
      <c r="AI288" s="31">
        <f t="shared" si="66"/>
        <v>0.11185086551264981</v>
      </c>
      <c r="AJ288" s="31">
        <f t="shared" si="67"/>
        <v>3.8615179760319571E-2</v>
      </c>
      <c r="AK288" s="31">
        <f t="shared" si="68"/>
        <v>0.88814913448735022</v>
      </c>
      <c r="AL288" s="29">
        <f t="shared" si="69"/>
        <v>0.7</v>
      </c>
      <c r="AM288" s="29">
        <f t="shared" si="70"/>
        <v>668.5</v>
      </c>
      <c r="AN288" s="29">
        <f t="shared" si="71"/>
        <v>1.1234106207928198</v>
      </c>
      <c r="AO288" s="29">
        <f t="shared" si="72"/>
        <v>1.2244897959183674</v>
      </c>
      <c r="AP288" s="31">
        <f t="shared" si="73"/>
        <v>0.91745200698080287</v>
      </c>
      <c r="AQ288" s="31">
        <f t="shared" si="74"/>
        <v>0.88814913448735022</v>
      </c>
      <c r="AR288" s="31">
        <f t="shared" si="75"/>
        <v>0.76666666666666661</v>
      </c>
      <c r="AS288" s="29">
        <f t="shared" si="76"/>
        <v>27.259560585885488</v>
      </c>
      <c r="AT288" s="29">
        <f t="shared" si="77"/>
        <v>5.5005072154127435</v>
      </c>
      <c r="AU288" s="27" t="str">
        <f t="shared" si="78"/>
        <v>High</v>
      </c>
      <c r="AV288" s="27" t="str">
        <f t="shared" si="79"/>
        <v>Warning</v>
      </c>
      <c r="AW288" s="27"/>
    </row>
    <row r="289" spans="1:49" x14ac:dyDescent="0.25">
      <c r="A289" s="27">
        <v>288</v>
      </c>
      <c r="B289" s="28">
        <v>46145</v>
      </c>
      <c r="C289" s="28" t="str">
        <f t="shared" si="64"/>
        <v>May</v>
      </c>
      <c r="D289" s="27" t="s">
        <v>67</v>
      </c>
      <c r="E289" s="27" t="s">
        <v>98</v>
      </c>
      <c r="F289" s="27" t="s">
        <v>105</v>
      </c>
      <c r="G289" s="27" t="s">
        <v>63</v>
      </c>
      <c r="H289" s="27" t="s">
        <v>79</v>
      </c>
      <c r="I289" s="27" t="s">
        <v>412</v>
      </c>
      <c r="J289" s="27" t="s">
        <v>115</v>
      </c>
      <c r="K289" s="27">
        <v>887</v>
      </c>
      <c r="L289" s="27">
        <v>827</v>
      </c>
      <c r="M289" s="27">
        <v>775</v>
      </c>
      <c r="N289" s="27">
        <v>52</v>
      </c>
      <c r="O289" s="27">
        <v>15</v>
      </c>
      <c r="P289" s="27">
        <v>0</v>
      </c>
      <c r="Q289" s="27" t="s">
        <v>60</v>
      </c>
      <c r="R289" s="27">
        <v>49</v>
      </c>
      <c r="S289" s="27">
        <v>53</v>
      </c>
      <c r="T289" s="29">
        <v>66</v>
      </c>
      <c r="U289" s="29">
        <v>2.04</v>
      </c>
      <c r="V289" s="29">
        <v>30.9</v>
      </c>
      <c r="W289" s="30">
        <v>17878.419999999998</v>
      </c>
      <c r="X289" s="27">
        <v>8.51</v>
      </c>
      <c r="Y289" s="27" t="s">
        <v>110</v>
      </c>
      <c r="Z289" s="29">
        <v>25</v>
      </c>
      <c r="AA289" s="30">
        <v>28595.25</v>
      </c>
      <c r="AB289" s="29">
        <v>0.93712212817412299</v>
      </c>
      <c r="AC289" s="30">
        <v>21986.02</v>
      </c>
      <c r="AD289" s="30">
        <v>324.27605804111198</v>
      </c>
      <c r="AE289" s="27">
        <v>724.38333333333298</v>
      </c>
      <c r="AF289" s="29">
        <v>1</v>
      </c>
      <c r="AG289" s="30">
        <v>6284.95394195889</v>
      </c>
      <c r="AH289" s="31">
        <f t="shared" si="65"/>
        <v>0.93235625704622327</v>
      </c>
      <c r="AI289" s="31">
        <f t="shared" si="66"/>
        <v>6.2877871825876661E-2</v>
      </c>
      <c r="AJ289" s="31">
        <f t="shared" si="67"/>
        <v>1.8137847642079808E-2</v>
      </c>
      <c r="AK289" s="31">
        <f t="shared" si="68"/>
        <v>0.93712212817412333</v>
      </c>
      <c r="AL289" s="29">
        <f t="shared" si="69"/>
        <v>0</v>
      </c>
      <c r="AM289" s="29">
        <f t="shared" si="70"/>
        <v>724.38333333333298</v>
      </c>
      <c r="AN289" s="29">
        <f t="shared" si="71"/>
        <v>1.1416607229137432</v>
      </c>
      <c r="AO289" s="29">
        <f t="shared" si="72"/>
        <v>1.2244897959183674</v>
      </c>
      <c r="AP289" s="31">
        <f t="shared" si="73"/>
        <v>0.9323562570462236</v>
      </c>
      <c r="AQ289" s="31">
        <f t="shared" si="74"/>
        <v>0.93712212817412333</v>
      </c>
      <c r="AR289" s="31">
        <f t="shared" si="75"/>
        <v>0.87373167981961708</v>
      </c>
      <c r="AS289" s="29">
        <f t="shared" si="76"/>
        <v>26.58527206771463</v>
      </c>
      <c r="AT289" s="29">
        <f t="shared" si="77"/>
        <v>7.5997024691159494</v>
      </c>
      <c r="AU289" s="27" t="str">
        <f t="shared" si="78"/>
        <v>Medium</v>
      </c>
      <c r="AV289" s="27" t="str">
        <f t="shared" si="79"/>
        <v>Normal</v>
      </c>
      <c r="AW289" s="27"/>
    </row>
    <row r="290" spans="1:49" x14ac:dyDescent="0.25">
      <c r="A290" s="27">
        <v>289</v>
      </c>
      <c r="B290" s="28">
        <v>46192</v>
      </c>
      <c r="C290" s="28" t="str">
        <f t="shared" si="64"/>
        <v>June</v>
      </c>
      <c r="D290" s="27" t="s">
        <v>67</v>
      </c>
      <c r="E290" s="27" t="s">
        <v>98</v>
      </c>
      <c r="F290" s="27" t="s">
        <v>105</v>
      </c>
      <c r="G290" s="27" t="s">
        <v>78</v>
      </c>
      <c r="H290" s="27" t="s">
        <v>51</v>
      </c>
      <c r="I290" s="27" t="s">
        <v>413</v>
      </c>
      <c r="J290" s="27" t="s">
        <v>107</v>
      </c>
      <c r="K290" s="27">
        <v>872</v>
      </c>
      <c r="L290" s="27">
        <v>756</v>
      </c>
      <c r="M290" s="27">
        <v>705</v>
      </c>
      <c r="N290" s="27">
        <v>51</v>
      </c>
      <c r="O290" s="27">
        <v>10</v>
      </c>
      <c r="P290" s="27">
        <v>0</v>
      </c>
      <c r="Q290" s="27" t="s">
        <v>60</v>
      </c>
      <c r="R290" s="27">
        <v>42</v>
      </c>
      <c r="S290" s="27">
        <v>44</v>
      </c>
      <c r="T290" s="29">
        <v>67.7</v>
      </c>
      <c r="U290" s="29">
        <v>2.8</v>
      </c>
      <c r="V290" s="29">
        <v>30.82</v>
      </c>
      <c r="W290" s="30">
        <v>14277.04</v>
      </c>
      <c r="X290" s="27">
        <v>7.48</v>
      </c>
      <c r="Y290" s="27" t="s">
        <v>55</v>
      </c>
      <c r="Z290" s="29">
        <v>20</v>
      </c>
      <c r="AA290" s="30">
        <v>22417.78</v>
      </c>
      <c r="AB290" s="29">
        <v>0.932539682539683</v>
      </c>
      <c r="AC290" s="30">
        <v>17920.419999999998</v>
      </c>
      <c r="AD290" s="30">
        <v>188.84973544973499</v>
      </c>
      <c r="AE290" s="27">
        <v>610.4</v>
      </c>
      <c r="AF290" s="29">
        <v>1</v>
      </c>
      <c r="AG290" s="30">
        <v>4308.5102645502602</v>
      </c>
      <c r="AH290" s="31">
        <f t="shared" si="65"/>
        <v>0.8669724770642202</v>
      </c>
      <c r="AI290" s="31">
        <f t="shared" si="66"/>
        <v>6.7460317460317457E-2</v>
      </c>
      <c r="AJ290" s="31">
        <f t="shared" si="67"/>
        <v>1.3227513227513227E-2</v>
      </c>
      <c r="AK290" s="31">
        <f t="shared" si="68"/>
        <v>0.93253968253968256</v>
      </c>
      <c r="AL290" s="29">
        <f t="shared" si="69"/>
        <v>0</v>
      </c>
      <c r="AM290" s="29">
        <f t="shared" si="70"/>
        <v>610.4</v>
      </c>
      <c r="AN290" s="29">
        <f t="shared" si="71"/>
        <v>1.2385321100917432</v>
      </c>
      <c r="AO290" s="29">
        <f t="shared" si="72"/>
        <v>1.4285714285714286</v>
      </c>
      <c r="AP290" s="31">
        <f t="shared" si="73"/>
        <v>0.8669724770642202</v>
      </c>
      <c r="AQ290" s="31">
        <f t="shared" si="74"/>
        <v>0.93253968253968256</v>
      </c>
      <c r="AR290" s="31">
        <f t="shared" si="75"/>
        <v>0.8084862385321101</v>
      </c>
      <c r="AS290" s="29">
        <f t="shared" si="76"/>
        <v>23.704259259259256</v>
      </c>
      <c r="AT290" s="29">
        <f t="shared" si="77"/>
        <v>5.6990876515215083</v>
      </c>
      <c r="AU290" s="27" t="str">
        <f t="shared" si="78"/>
        <v>Medium</v>
      </c>
      <c r="AV290" s="27" t="str">
        <f t="shared" si="79"/>
        <v>Warning</v>
      </c>
      <c r="AW290" s="27"/>
    </row>
    <row r="291" spans="1:49" x14ac:dyDescent="0.25">
      <c r="A291" s="27">
        <v>290</v>
      </c>
      <c r="B291" s="28">
        <v>46026</v>
      </c>
      <c r="C291" s="28" t="str">
        <f t="shared" si="64"/>
        <v>January</v>
      </c>
      <c r="D291" s="27" t="s">
        <v>47</v>
      </c>
      <c r="E291" s="27" t="s">
        <v>61</v>
      </c>
      <c r="F291" s="27" t="s">
        <v>62</v>
      </c>
      <c r="G291" s="27" t="s">
        <v>63</v>
      </c>
      <c r="H291" s="27" t="s">
        <v>68</v>
      </c>
      <c r="I291" s="27" t="s">
        <v>414</v>
      </c>
      <c r="J291" s="27" t="s">
        <v>186</v>
      </c>
      <c r="K291" s="27">
        <v>527</v>
      </c>
      <c r="L291" s="27">
        <v>518</v>
      </c>
      <c r="M291" s="27">
        <v>494</v>
      </c>
      <c r="N291" s="27">
        <v>24</v>
      </c>
      <c r="O291" s="27">
        <v>4</v>
      </c>
      <c r="P291" s="27">
        <v>35</v>
      </c>
      <c r="Q291" s="27" t="s">
        <v>102</v>
      </c>
      <c r="R291" s="27">
        <v>64</v>
      </c>
      <c r="S291" s="27">
        <v>68</v>
      </c>
      <c r="T291" s="29">
        <v>68.599999999999994</v>
      </c>
      <c r="U291" s="29">
        <v>2.29</v>
      </c>
      <c r="V291" s="29">
        <v>16.5</v>
      </c>
      <c r="W291" s="30">
        <v>16964.669999999998</v>
      </c>
      <c r="X291" s="27">
        <v>9.86</v>
      </c>
      <c r="Y291" s="27" t="s">
        <v>55</v>
      </c>
      <c r="Z291" s="29">
        <v>13</v>
      </c>
      <c r="AA291" s="30">
        <v>25917.07</v>
      </c>
      <c r="AB291" s="29">
        <v>0.95366795366795398</v>
      </c>
      <c r="AC291" s="30">
        <v>21550.17</v>
      </c>
      <c r="AD291" s="30">
        <v>131.001312741313</v>
      </c>
      <c r="AE291" s="27">
        <v>562.13333333333298</v>
      </c>
      <c r="AF291" s="29">
        <v>0.93773719165085401</v>
      </c>
      <c r="AG291" s="30">
        <v>4235.8986872586902</v>
      </c>
      <c r="AH291" s="31">
        <f t="shared" si="65"/>
        <v>0.98292220113851991</v>
      </c>
      <c r="AI291" s="31">
        <f t="shared" si="66"/>
        <v>4.633204633204633E-2</v>
      </c>
      <c r="AJ291" s="31">
        <f t="shared" si="67"/>
        <v>7.7220077220077222E-3</v>
      </c>
      <c r="AK291" s="31">
        <f t="shared" si="68"/>
        <v>0.95366795366795365</v>
      </c>
      <c r="AL291" s="29">
        <f t="shared" si="69"/>
        <v>0.58333333333333337</v>
      </c>
      <c r="AM291" s="29">
        <f t="shared" si="70"/>
        <v>527.13333333333298</v>
      </c>
      <c r="AN291" s="29">
        <f t="shared" si="71"/>
        <v>0.98267358037182306</v>
      </c>
      <c r="AO291" s="29">
        <f t="shared" si="72"/>
        <v>0.9375</v>
      </c>
      <c r="AP291" s="31">
        <f t="shared" si="73"/>
        <v>1.0481851523966113</v>
      </c>
      <c r="AQ291" s="31">
        <f t="shared" si="74"/>
        <v>0.95366795366795365</v>
      </c>
      <c r="AR291" s="31">
        <f t="shared" si="75"/>
        <v>0.93738140417457372</v>
      </c>
      <c r="AS291" s="29">
        <f t="shared" si="76"/>
        <v>41.602644787644785</v>
      </c>
      <c r="AT291" s="29">
        <f t="shared" si="77"/>
        <v>8.1774105931634953</v>
      </c>
      <c r="AU291" s="27" t="str">
        <f t="shared" si="78"/>
        <v>Low</v>
      </c>
      <c r="AV291" s="27" t="str">
        <f t="shared" si="79"/>
        <v>Normal</v>
      </c>
      <c r="AW291" s="27"/>
    </row>
    <row r="292" spans="1:49" x14ac:dyDescent="0.25">
      <c r="A292" s="27">
        <v>291</v>
      </c>
      <c r="B292" s="28">
        <v>46189</v>
      </c>
      <c r="C292" s="28" t="str">
        <f t="shared" si="64"/>
        <v>June</v>
      </c>
      <c r="D292" s="27" t="s">
        <v>47</v>
      </c>
      <c r="E292" s="27" t="s">
        <v>61</v>
      </c>
      <c r="F292" s="27" t="s">
        <v>95</v>
      </c>
      <c r="G292" s="27" t="s">
        <v>78</v>
      </c>
      <c r="H292" s="27" t="s">
        <v>124</v>
      </c>
      <c r="I292" s="27" t="s">
        <v>415</v>
      </c>
      <c r="J292" s="27" t="s">
        <v>140</v>
      </c>
      <c r="K292" s="27">
        <v>597</v>
      </c>
      <c r="L292" s="27">
        <v>553</v>
      </c>
      <c r="M292" s="27">
        <v>519</v>
      </c>
      <c r="N292" s="27">
        <v>34</v>
      </c>
      <c r="O292" s="27">
        <v>8</v>
      </c>
      <c r="P292" s="27">
        <v>35</v>
      </c>
      <c r="Q292" s="27" t="s">
        <v>54</v>
      </c>
      <c r="R292" s="27">
        <v>57</v>
      </c>
      <c r="S292" s="27">
        <v>64</v>
      </c>
      <c r="T292" s="29">
        <v>66.599999999999994</v>
      </c>
      <c r="U292" s="29">
        <v>1.98</v>
      </c>
      <c r="V292" s="29">
        <v>19.989999999999998</v>
      </c>
      <c r="W292" s="30">
        <v>15009.92</v>
      </c>
      <c r="X292" s="27">
        <v>7.69</v>
      </c>
      <c r="Y292" s="27" t="s">
        <v>55</v>
      </c>
      <c r="Z292" s="29">
        <v>31</v>
      </c>
      <c r="AA292" s="30">
        <v>24371.96</v>
      </c>
      <c r="AB292" s="29">
        <v>0.93851717902350795</v>
      </c>
      <c r="AC292" s="30">
        <v>18650.330000000002</v>
      </c>
      <c r="AD292" s="30">
        <v>217.141699819168</v>
      </c>
      <c r="AE292" s="27">
        <v>567.15</v>
      </c>
      <c r="AF292" s="29">
        <v>0.93828793088248297</v>
      </c>
      <c r="AG292" s="30">
        <v>5504.4883001808303</v>
      </c>
      <c r="AH292" s="31">
        <f t="shared" si="65"/>
        <v>0.9262981574539364</v>
      </c>
      <c r="AI292" s="31">
        <f t="shared" si="66"/>
        <v>6.148282097649186E-2</v>
      </c>
      <c r="AJ292" s="31">
        <f t="shared" si="67"/>
        <v>1.4466546112115732E-2</v>
      </c>
      <c r="AK292" s="31">
        <f t="shared" si="68"/>
        <v>0.93851717902350817</v>
      </c>
      <c r="AL292" s="29">
        <f t="shared" si="69"/>
        <v>0.58333333333333337</v>
      </c>
      <c r="AM292" s="29">
        <f t="shared" si="70"/>
        <v>532.15</v>
      </c>
      <c r="AN292" s="29">
        <f t="shared" si="71"/>
        <v>1.0391806821384948</v>
      </c>
      <c r="AO292" s="29">
        <f t="shared" si="72"/>
        <v>1.0526315789473684</v>
      </c>
      <c r="AP292" s="31">
        <f t="shared" si="73"/>
        <v>0.98722164803157009</v>
      </c>
      <c r="AQ292" s="31">
        <f t="shared" si="74"/>
        <v>0.93851717902350817</v>
      </c>
      <c r="AR292" s="31">
        <f t="shared" si="75"/>
        <v>0.86934673366834214</v>
      </c>
      <c r="AS292" s="29">
        <f t="shared" si="76"/>
        <v>33.725732368896928</v>
      </c>
      <c r="AT292" s="29">
        <f t="shared" si="77"/>
        <v>9.95386672727094</v>
      </c>
      <c r="AU292" s="27" t="str">
        <f t="shared" si="78"/>
        <v>Medium</v>
      </c>
      <c r="AV292" s="27" t="str">
        <f t="shared" si="79"/>
        <v>Normal</v>
      </c>
      <c r="AW292" s="27"/>
    </row>
    <row r="293" spans="1:49" x14ac:dyDescent="0.25">
      <c r="A293" s="27">
        <v>292</v>
      </c>
      <c r="B293" s="28">
        <v>46133</v>
      </c>
      <c r="C293" s="28" t="str">
        <f t="shared" si="64"/>
        <v>April</v>
      </c>
      <c r="D293" s="27" t="s">
        <v>67</v>
      </c>
      <c r="E293" s="27" t="s">
        <v>61</v>
      </c>
      <c r="F293" s="27" t="s">
        <v>95</v>
      </c>
      <c r="G293" s="27" t="s">
        <v>63</v>
      </c>
      <c r="H293" s="27" t="s">
        <v>57</v>
      </c>
      <c r="I293" s="27" t="s">
        <v>416</v>
      </c>
      <c r="J293" s="27" t="s">
        <v>143</v>
      </c>
      <c r="K293" s="27">
        <v>698</v>
      </c>
      <c r="L293" s="27">
        <v>721</v>
      </c>
      <c r="M293" s="27">
        <v>682</v>
      </c>
      <c r="N293" s="27">
        <v>39</v>
      </c>
      <c r="O293" s="27">
        <v>14</v>
      </c>
      <c r="P293" s="27">
        <v>0</v>
      </c>
      <c r="Q293" s="27" t="s">
        <v>60</v>
      </c>
      <c r="R293" s="27">
        <v>45</v>
      </c>
      <c r="S293" s="27">
        <v>47</v>
      </c>
      <c r="T293" s="29">
        <v>68</v>
      </c>
      <c r="U293" s="29">
        <v>1.32</v>
      </c>
      <c r="V293" s="29">
        <v>25.14</v>
      </c>
      <c r="W293" s="30">
        <v>14453.88</v>
      </c>
      <c r="X293" s="27">
        <v>7.65</v>
      </c>
      <c r="Y293" s="27" t="s">
        <v>71</v>
      </c>
      <c r="Z293" s="29">
        <v>24</v>
      </c>
      <c r="AA293" s="30">
        <v>23751.32</v>
      </c>
      <c r="AB293" s="29">
        <v>0.94590846047156696</v>
      </c>
      <c r="AC293" s="30">
        <v>18122.64</v>
      </c>
      <c r="AD293" s="30">
        <v>280.65786407767001</v>
      </c>
      <c r="AE293" s="27">
        <v>523.5</v>
      </c>
      <c r="AF293" s="29">
        <v>1</v>
      </c>
      <c r="AG293" s="30">
        <v>5348.0221359223297</v>
      </c>
      <c r="AH293" s="31">
        <f t="shared" si="65"/>
        <v>1.0329512893982808</v>
      </c>
      <c r="AI293" s="31">
        <f t="shared" si="66"/>
        <v>5.4091539528432729E-2</v>
      </c>
      <c r="AJ293" s="31">
        <f t="shared" si="67"/>
        <v>1.9417475728155338E-2</v>
      </c>
      <c r="AK293" s="31">
        <f t="shared" si="68"/>
        <v>0.94590846047156729</v>
      </c>
      <c r="AL293" s="29">
        <f t="shared" si="69"/>
        <v>0</v>
      </c>
      <c r="AM293" s="29">
        <f t="shared" si="70"/>
        <v>523.5</v>
      </c>
      <c r="AN293" s="29">
        <f t="shared" si="71"/>
        <v>1.3772683858643744</v>
      </c>
      <c r="AO293" s="29">
        <f t="shared" si="72"/>
        <v>1.3333333333333333</v>
      </c>
      <c r="AP293" s="31">
        <f t="shared" si="73"/>
        <v>1.0329512893982808</v>
      </c>
      <c r="AQ293" s="31">
        <f t="shared" si="74"/>
        <v>0.94590846047156729</v>
      </c>
      <c r="AR293" s="31">
        <f t="shared" si="75"/>
        <v>0.97707736389684818</v>
      </c>
      <c r="AS293" s="29">
        <f t="shared" si="76"/>
        <v>25.135423023578362</v>
      </c>
      <c r="AT293" s="29">
        <f t="shared" si="77"/>
        <v>7.4175064298506657</v>
      </c>
      <c r="AU293" s="27" t="str">
        <f t="shared" si="78"/>
        <v>High</v>
      </c>
      <c r="AV293" s="27" t="str">
        <f t="shared" si="79"/>
        <v>Normal</v>
      </c>
      <c r="AW293" s="27"/>
    </row>
    <row r="294" spans="1:49" x14ac:dyDescent="0.25">
      <c r="A294" s="27">
        <v>293</v>
      </c>
      <c r="B294" s="28">
        <v>46144</v>
      </c>
      <c r="C294" s="28" t="str">
        <f t="shared" si="64"/>
        <v>May</v>
      </c>
      <c r="D294" s="27" t="s">
        <v>47</v>
      </c>
      <c r="E294" s="27" t="s">
        <v>61</v>
      </c>
      <c r="F294" s="27" t="s">
        <v>95</v>
      </c>
      <c r="G294" s="27" t="s">
        <v>78</v>
      </c>
      <c r="H294" s="27" t="s">
        <v>79</v>
      </c>
      <c r="I294" s="27" t="s">
        <v>417</v>
      </c>
      <c r="J294" s="27" t="s">
        <v>74</v>
      </c>
      <c r="K294" s="27">
        <v>630</v>
      </c>
      <c r="L294" s="27">
        <v>527</v>
      </c>
      <c r="M294" s="27">
        <v>491</v>
      </c>
      <c r="N294" s="27">
        <v>36</v>
      </c>
      <c r="O294" s="27">
        <v>13</v>
      </c>
      <c r="P294" s="27">
        <v>0</v>
      </c>
      <c r="Q294" s="27" t="s">
        <v>60</v>
      </c>
      <c r="R294" s="27">
        <v>49</v>
      </c>
      <c r="S294" s="27">
        <v>52</v>
      </c>
      <c r="T294" s="29">
        <v>71.7</v>
      </c>
      <c r="U294" s="29">
        <v>1.67</v>
      </c>
      <c r="V294" s="29">
        <v>17.97</v>
      </c>
      <c r="W294" s="30">
        <v>11904.25</v>
      </c>
      <c r="X294" s="27">
        <v>7.1</v>
      </c>
      <c r="Y294" s="27" t="s">
        <v>66</v>
      </c>
      <c r="Z294" s="29">
        <v>21</v>
      </c>
      <c r="AA294" s="30">
        <v>19151.91</v>
      </c>
      <c r="AB294" s="29">
        <v>0.93168880455407999</v>
      </c>
      <c r="AC294" s="30">
        <v>15260.98</v>
      </c>
      <c r="AD294" s="30">
        <v>293.65322580645199</v>
      </c>
      <c r="AE294" s="27">
        <v>514.5</v>
      </c>
      <c r="AF294" s="29">
        <v>1</v>
      </c>
      <c r="AG294" s="30">
        <v>3597.27677419355</v>
      </c>
      <c r="AH294" s="31">
        <f t="shared" si="65"/>
        <v>0.83650793650793653</v>
      </c>
      <c r="AI294" s="31">
        <f t="shared" si="66"/>
        <v>6.8311195445920306E-2</v>
      </c>
      <c r="AJ294" s="31">
        <f t="shared" si="67"/>
        <v>2.4667931688804556E-2</v>
      </c>
      <c r="AK294" s="31">
        <f t="shared" si="68"/>
        <v>0.93168880455407965</v>
      </c>
      <c r="AL294" s="29">
        <f t="shared" si="69"/>
        <v>0</v>
      </c>
      <c r="AM294" s="29">
        <f t="shared" si="70"/>
        <v>514.5</v>
      </c>
      <c r="AN294" s="29">
        <f t="shared" si="71"/>
        <v>1.0242954324586977</v>
      </c>
      <c r="AO294" s="29">
        <f t="shared" si="72"/>
        <v>1.2244897959183674</v>
      </c>
      <c r="AP294" s="31">
        <f t="shared" si="73"/>
        <v>0.83650793650793642</v>
      </c>
      <c r="AQ294" s="31">
        <f t="shared" si="74"/>
        <v>0.93168880455407965</v>
      </c>
      <c r="AR294" s="31">
        <f t="shared" si="75"/>
        <v>0.77936507936507926</v>
      </c>
      <c r="AS294" s="29">
        <f t="shared" si="76"/>
        <v>28.958216318785578</v>
      </c>
      <c r="AT294" s="29">
        <f t="shared" si="77"/>
        <v>6.8259521331945923</v>
      </c>
      <c r="AU294" s="27" t="str">
        <f t="shared" si="78"/>
        <v>High</v>
      </c>
      <c r="AV294" s="27" t="str">
        <f t="shared" si="79"/>
        <v>Warning</v>
      </c>
      <c r="AW294" s="27"/>
    </row>
    <row r="295" spans="1:49" x14ac:dyDescent="0.25">
      <c r="A295" s="27">
        <v>294</v>
      </c>
      <c r="B295" s="28">
        <v>46190</v>
      </c>
      <c r="C295" s="28" t="str">
        <f t="shared" si="64"/>
        <v>June</v>
      </c>
      <c r="D295" s="27" t="s">
        <v>67</v>
      </c>
      <c r="E295" s="27" t="s">
        <v>61</v>
      </c>
      <c r="F295" s="27" t="s">
        <v>88</v>
      </c>
      <c r="G295" s="27" t="s">
        <v>63</v>
      </c>
      <c r="H295" s="27" t="s">
        <v>79</v>
      </c>
      <c r="I295" s="27" t="s">
        <v>418</v>
      </c>
      <c r="J295" s="27" t="s">
        <v>140</v>
      </c>
      <c r="K295" s="27">
        <v>867</v>
      </c>
      <c r="L295" s="27">
        <v>839</v>
      </c>
      <c r="M295" s="27">
        <v>815</v>
      </c>
      <c r="N295" s="27">
        <v>24</v>
      </c>
      <c r="O295" s="27">
        <v>5</v>
      </c>
      <c r="P295" s="27">
        <v>26</v>
      </c>
      <c r="Q295" s="27" t="s">
        <v>54</v>
      </c>
      <c r="R295" s="27">
        <v>49</v>
      </c>
      <c r="S295" s="27">
        <v>50</v>
      </c>
      <c r="T295" s="29">
        <v>76.3</v>
      </c>
      <c r="U295" s="29">
        <v>2.02</v>
      </c>
      <c r="V295" s="29">
        <v>25.52</v>
      </c>
      <c r="W295" s="30">
        <v>18141.36</v>
      </c>
      <c r="X295" s="27">
        <v>7.47</v>
      </c>
      <c r="Y295" s="27" t="s">
        <v>66</v>
      </c>
      <c r="Z295" s="29">
        <v>1</v>
      </c>
      <c r="AA295" s="30">
        <v>31702.98</v>
      </c>
      <c r="AB295" s="29">
        <v>0.97139451728247905</v>
      </c>
      <c r="AC295" s="30">
        <v>21732.54</v>
      </c>
      <c r="AD295" s="30">
        <v>108.112991656734</v>
      </c>
      <c r="AE295" s="27">
        <v>708.05</v>
      </c>
      <c r="AF295" s="29">
        <v>0.96327942941882605</v>
      </c>
      <c r="AG295" s="30">
        <v>9862.3270083432708</v>
      </c>
      <c r="AH295" s="31">
        <f t="shared" si="65"/>
        <v>0.96770472895040371</v>
      </c>
      <c r="AI295" s="31">
        <f t="shared" si="66"/>
        <v>2.8605482717520857E-2</v>
      </c>
      <c r="AJ295" s="31">
        <f t="shared" si="67"/>
        <v>5.9594755661501785E-3</v>
      </c>
      <c r="AK295" s="31">
        <f t="shared" si="68"/>
        <v>0.97139451728247916</v>
      </c>
      <c r="AL295" s="29">
        <f t="shared" si="69"/>
        <v>0.43333333333333335</v>
      </c>
      <c r="AM295" s="29">
        <f t="shared" si="70"/>
        <v>682.05</v>
      </c>
      <c r="AN295" s="29">
        <f t="shared" si="71"/>
        <v>1.230115094201305</v>
      </c>
      <c r="AO295" s="29">
        <f t="shared" si="72"/>
        <v>1.2244897959183674</v>
      </c>
      <c r="AP295" s="31">
        <f t="shared" si="73"/>
        <v>1.0045939935977324</v>
      </c>
      <c r="AQ295" s="31">
        <f t="shared" si="74"/>
        <v>0.97139451728247916</v>
      </c>
      <c r="AR295" s="31">
        <f t="shared" si="75"/>
        <v>0.94002306805074953</v>
      </c>
      <c r="AS295" s="29">
        <f t="shared" si="76"/>
        <v>25.902908224076281</v>
      </c>
      <c r="AT295" s="29">
        <f t="shared" si="77"/>
        <v>11.754859366320943</v>
      </c>
      <c r="AU295" s="27" t="str">
        <f t="shared" si="78"/>
        <v>Low</v>
      </c>
      <c r="AV295" s="27" t="str">
        <f t="shared" si="79"/>
        <v>Normal</v>
      </c>
      <c r="AW295" s="27"/>
    </row>
    <row r="296" spans="1:49" x14ac:dyDescent="0.25">
      <c r="A296" s="27">
        <v>295</v>
      </c>
      <c r="B296" s="28">
        <v>46031</v>
      </c>
      <c r="C296" s="28" t="str">
        <f t="shared" si="64"/>
        <v>January</v>
      </c>
      <c r="D296" s="27" t="s">
        <v>47</v>
      </c>
      <c r="E296" s="27" t="s">
        <v>129</v>
      </c>
      <c r="F296" s="27" t="s">
        <v>151</v>
      </c>
      <c r="G296" s="27" t="s">
        <v>50</v>
      </c>
      <c r="H296" s="27" t="s">
        <v>51</v>
      </c>
      <c r="I296" s="27" t="s">
        <v>419</v>
      </c>
      <c r="J296" s="27" t="s">
        <v>286</v>
      </c>
      <c r="K296" s="27">
        <v>969</v>
      </c>
      <c r="L296" s="27">
        <v>844</v>
      </c>
      <c r="M296" s="27">
        <v>795</v>
      </c>
      <c r="N296" s="27">
        <v>49</v>
      </c>
      <c r="O296" s="27">
        <v>17</v>
      </c>
      <c r="P296" s="27">
        <v>34</v>
      </c>
      <c r="Q296" s="27" t="s">
        <v>54</v>
      </c>
      <c r="R296" s="27">
        <v>42</v>
      </c>
      <c r="S296" s="27">
        <v>45</v>
      </c>
      <c r="T296" s="29">
        <v>74.8</v>
      </c>
      <c r="U296" s="29">
        <v>1.87</v>
      </c>
      <c r="V296" s="29">
        <v>35.58</v>
      </c>
      <c r="W296" s="30">
        <v>15533.69</v>
      </c>
      <c r="X296" s="27">
        <v>8.69</v>
      </c>
      <c r="Y296" s="27" t="s">
        <v>55</v>
      </c>
      <c r="Z296" s="29">
        <v>17</v>
      </c>
      <c r="AA296" s="30">
        <v>24838.43</v>
      </c>
      <c r="AB296" s="29">
        <v>0.94194312796208501</v>
      </c>
      <c r="AC296" s="30">
        <v>19764.41</v>
      </c>
      <c r="AD296" s="30">
        <v>312.882381516588</v>
      </c>
      <c r="AE296" s="27">
        <v>678.3</v>
      </c>
      <c r="AF296" s="29">
        <v>0.94987468671679198</v>
      </c>
      <c r="AG296" s="30">
        <v>4761.1376184834098</v>
      </c>
      <c r="AH296" s="31">
        <f t="shared" si="65"/>
        <v>0.87100103199174406</v>
      </c>
      <c r="AI296" s="31">
        <f t="shared" si="66"/>
        <v>5.8056872037914695E-2</v>
      </c>
      <c r="AJ296" s="31">
        <f t="shared" si="67"/>
        <v>2.014218009478673E-2</v>
      </c>
      <c r="AK296" s="31">
        <f t="shared" si="68"/>
        <v>0.94194312796208535</v>
      </c>
      <c r="AL296" s="29">
        <f t="shared" si="69"/>
        <v>0.56666666666666665</v>
      </c>
      <c r="AM296" s="29">
        <f t="shared" si="70"/>
        <v>644.29999999999995</v>
      </c>
      <c r="AN296" s="29">
        <f t="shared" si="71"/>
        <v>1.3099487816234674</v>
      </c>
      <c r="AO296" s="29">
        <f t="shared" si="72"/>
        <v>1.4285714285714286</v>
      </c>
      <c r="AP296" s="31">
        <f t="shared" si="73"/>
        <v>0.91696414713642715</v>
      </c>
      <c r="AQ296" s="31">
        <f t="shared" si="74"/>
        <v>0.94194312796208535</v>
      </c>
      <c r="AR296" s="31">
        <f t="shared" si="75"/>
        <v>0.82043343653250778</v>
      </c>
      <c r="AS296" s="29">
        <f t="shared" si="76"/>
        <v>23.417547393364927</v>
      </c>
      <c r="AT296" s="29">
        <f t="shared" si="77"/>
        <v>5.6411583157386369</v>
      </c>
      <c r="AU296" s="27" t="str">
        <f t="shared" si="78"/>
        <v>Medium</v>
      </c>
      <c r="AV296" s="27" t="str">
        <f t="shared" si="79"/>
        <v>Warning</v>
      </c>
      <c r="AW296" s="27"/>
    </row>
    <row r="297" spans="1:49" x14ac:dyDescent="0.25">
      <c r="A297" s="27">
        <v>296</v>
      </c>
      <c r="B297" s="28">
        <v>46179</v>
      </c>
      <c r="C297" s="28" t="str">
        <f t="shared" si="64"/>
        <v>June</v>
      </c>
      <c r="D297" s="27" t="s">
        <v>47</v>
      </c>
      <c r="E297" s="27" t="s">
        <v>76</v>
      </c>
      <c r="F297" s="27" t="s">
        <v>77</v>
      </c>
      <c r="G297" s="27" t="s">
        <v>63</v>
      </c>
      <c r="H297" s="27" t="s">
        <v>51</v>
      </c>
      <c r="I297" s="27" t="s">
        <v>420</v>
      </c>
      <c r="J297" s="27" t="s">
        <v>197</v>
      </c>
      <c r="K297" s="27">
        <v>825</v>
      </c>
      <c r="L297" s="27">
        <v>840</v>
      </c>
      <c r="M297" s="27">
        <v>783</v>
      </c>
      <c r="N297" s="27">
        <v>57</v>
      </c>
      <c r="O297" s="27">
        <v>15</v>
      </c>
      <c r="P297" s="27">
        <v>30</v>
      </c>
      <c r="Q297" s="27" t="s">
        <v>104</v>
      </c>
      <c r="R297" s="27">
        <v>42</v>
      </c>
      <c r="S297" s="27">
        <v>43</v>
      </c>
      <c r="T297" s="29">
        <v>71.7</v>
      </c>
      <c r="U297" s="29">
        <v>1.89</v>
      </c>
      <c r="V297" s="29">
        <v>27.09</v>
      </c>
      <c r="W297" s="30">
        <v>15426.45</v>
      </c>
      <c r="X297" s="27">
        <v>8.73</v>
      </c>
      <c r="Y297" s="27" t="s">
        <v>66</v>
      </c>
      <c r="Z297" s="29">
        <v>10</v>
      </c>
      <c r="AA297" s="30">
        <v>24673.119999999999</v>
      </c>
      <c r="AB297" s="29">
        <v>0.93214285714285705</v>
      </c>
      <c r="AC297" s="30">
        <v>19598.759999999998</v>
      </c>
      <c r="AD297" s="30">
        <v>275.47232142857098</v>
      </c>
      <c r="AE297" s="27">
        <v>577.5</v>
      </c>
      <c r="AF297" s="29">
        <v>0.94805194805194803</v>
      </c>
      <c r="AG297" s="30">
        <v>4798.8876785714301</v>
      </c>
      <c r="AH297" s="31">
        <f t="shared" si="65"/>
        <v>1.0181818181818181</v>
      </c>
      <c r="AI297" s="31">
        <f t="shared" si="66"/>
        <v>6.7857142857142852E-2</v>
      </c>
      <c r="AJ297" s="31">
        <f t="shared" si="67"/>
        <v>1.7857142857142856E-2</v>
      </c>
      <c r="AK297" s="31">
        <f t="shared" si="68"/>
        <v>0.93214285714285716</v>
      </c>
      <c r="AL297" s="29">
        <f t="shared" si="69"/>
        <v>0.5</v>
      </c>
      <c r="AM297" s="29">
        <f t="shared" si="70"/>
        <v>547.5</v>
      </c>
      <c r="AN297" s="29">
        <f t="shared" si="71"/>
        <v>1.5342465753424657</v>
      </c>
      <c r="AO297" s="29">
        <f t="shared" si="72"/>
        <v>1.4285714285714286</v>
      </c>
      <c r="AP297" s="31">
        <f t="shared" si="73"/>
        <v>1.0739726027397258</v>
      </c>
      <c r="AQ297" s="31">
        <f t="shared" si="74"/>
        <v>0.93214285714285716</v>
      </c>
      <c r="AR297" s="31">
        <f t="shared" si="75"/>
        <v>0.94909090909090899</v>
      </c>
      <c r="AS297" s="29">
        <f t="shared" si="76"/>
        <v>23.331857142857142</v>
      </c>
      <c r="AT297" s="29">
        <f t="shared" si="77"/>
        <v>5.712961522108845</v>
      </c>
      <c r="AU297" s="27" t="str">
        <f t="shared" si="78"/>
        <v>Low</v>
      </c>
      <c r="AV297" s="27" t="str">
        <f t="shared" si="79"/>
        <v>Normal</v>
      </c>
      <c r="AW297" s="27"/>
    </row>
    <row r="298" spans="1:49" x14ac:dyDescent="0.25">
      <c r="A298" s="27">
        <v>297</v>
      </c>
      <c r="B298" s="28">
        <v>46144</v>
      </c>
      <c r="C298" s="28" t="str">
        <f t="shared" si="64"/>
        <v>May</v>
      </c>
      <c r="D298" s="27" t="s">
        <v>67</v>
      </c>
      <c r="E298" s="27" t="s">
        <v>129</v>
      </c>
      <c r="F298" s="27" t="s">
        <v>130</v>
      </c>
      <c r="G298" s="27" t="s">
        <v>50</v>
      </c>
      <c r="H298" s="27" t="s">
        <v>79</v>
      </c>
      <c r="I298" s="27" t="s">
        <v>421</v>
      </c>
      <c r="J298" s="27" t="s">
        <v>107</v>
      </c>
      <c r="K298" s="27">
        <v>804</v>
      </c>
      <c r="L298" s="27">
        <v>683</v>
      </c>
      <c r="M298" s="27">
        <v>611</v>
      </c>
      <c r="N298" s="27">
        <v>72</v>
      </c>
      <c r="O298" s="27">
        <v>15</v>
      </c>
      <c r="P298" s="27">
        <v>64</v>
      </c>
      <c r="Q298" s="27" t="s">
        <v>54</v>
      </c>
      <c r="R298" s="27">
        <v>49</v>
      </c>
      <c r="S298" s="27">
        <v>55</v>
      </c>
      <c r="T298" s="29">
        <v>81.599999999999994</v>
      </c>
      <c r="U298" s="29">
        <v>2.15</v>
      </c>
      <c r="V298" s="29">
        <v>23.52</v>
      </c>
      <c r="W298" s="30">
        <v>15825.94</v>
      </c>
      <c r="X298" s="27">
        <v>6.35</v>
      </c>
      <c r="Y298" s="27" t="s">
        <v>110</v>
      </c>
      <c r="Z298" s="29">
        <v>45</v>
      </c>
      <c r="AA298" s="30">
        <v>23889.39</v>
      </c>
      <c r="AB298" s="29">
        <v>0.89458272327964905</v>
      </c>
      <c r="AC298" s="30">
        <v>18895.12</v>
      </c>
      <c r="AD298" s="30">
        <v>347.56822840410001</v>
      </c>
      <c r="AE298" s="27">
        <v>656.6</v>
      </c>
      <c r="AF298" s="29">
        <v>0.90252817544928399</v>
      </c>
      <c r="AG298" s="30">
        <v>4646.7017715959</v>
      </c>
      <c r="AH298" s="31">
        <f t="shared" si="65"/>
        <v>0.84950248756218905</v>
      </c>
      <c r="AI298" s="31">
        <f t="shared" si="66"/>
        <v>0.10541727672035139</v>
      </c>
      <c r="AJ298" s="31">
        <f t="shared" si="67"/>
        <v>2.1961932650073207E-2</v>
      </c>
      <c r="AK298" s="31">
        <f t="shared" si="68"/>
        <v>0.89458272327964861</v>
      </c>
      <c r="AL298" s="29">
        <f t="shared" si="69"/>
        <v>1.0666666666666667</v>
      </c>
      <c r="AM298" s="29">
        <f t="shared" si="70"/>
        <v>592.6</v>
      </c>
      <c r="AN298" s="29">
        <f t="shared" si="71"/>
        <v>1.1525480931488357</v>
      </c>
      <c r="AO298" s="29">
        <f t="shared" si="72"/>
        <v>1.2244897959183674</v>
      </c>
      <c r="AP298" s="31">
        <f t="shared" si="73"/>
        <v>0.94124760940488239</v>
      </c>
      <c r="AQ298" s="31">
        <f t="shared" si="74"/>
        <v>0.89458272327964861</v>
      </c>
      <c r="AR298" s="31">
        <f t="shared" si="75"/>
        <v>0.75995024875621875</v>
      </c>
      <c r="AS298" s="29">
        <f t="shared" si="76"/>
        <v>27.664890190336749</v>
      </c>
      <c r="AT298" s="29">
        <f t="shared" si="77"/>
        <v>6.8033700901843339</v>
      </c>
      <c r="AU298" s="27" t="str">
        <f t="shared" si="78"/>
        <v>High</v>
      </c>
      <c r="AV298" s="27" t="str">
        <f t="shared" si="79"/>
        <v>Warning</v>
      </c>
      <c r="AW298" s="27"/>
    </row>
    <row r="299" spans="1:49" x14ac:dyDescent="0.25">
      <c r="A299" s="27">
        <v>298</v>
      </c>
      <c r="B299" s="28">
        <v>46065</v>
      </c>
      <c r="C299" s="28" t="str">
        <f t="shared" si="64"/>
        <v>February</v>
      </c>
      <c r="D299" s="27" t="s">
        <v>67</v>
      </c>
      <c r="E299" s="27" t="s">
        <v>48</v>
      </c>
      <c r="F299" s="27" t="s">
        <v>56</v>
      </c>
      <c r="G299" s="27" t="s">
        <v>63</v>
      </c>
      <c r="H299" s="27" t="s">
        <v>57</v>
      </c>
      <c r="I299" s="27" t="s">
        <v>422</v>
      </c>
      <c r="J299" s="27" t="s">
        <v>101</v>
      </c>
      <c r="K299" s="27">
        <v>709</v>
      </c>
      <c r="L299" s="27">
        <v>698</v>
      </c>
      <c r="M299" s="27">
        <v>657</v>
      </c>
      <c r="N299" s="27">
        <v>41</v>
      </c>
      <c r="O299" s="27">
        <v>16</v>
      </c>
      <c r="P299" s="27">
        <v>50</v>
      </c>
      <c r="Q299" s="27" t="s">
        <v>97</v>
      </c>
      <c r="R299" s="27">
        <v>45</v>
      </c>
      <c r="S299" s="27">
        <v>49</v>
      </c>
      <c r="T299" s="29">
        <v>62.9</v>
      </c>
      <c r="U299" s="29">
        <v>2.5299999999999998</v>
      </c>
      <c r="V299" s="29">
        <v>28.47</v>
      </c>
      <c r="W299" s="30">
        <v>14041.41</v>
      </c>
      <c r="X299" s="27">
        <v>9.7799999999999994</v>
      </c>
      <c r="Y299" s="27" t="s">
        <v>71</v>
      </c>
      <c r="Z299" s="29">
        <v>30</v>
      </c>
      <c r="AA299" s="30">
        <v>23147.32</v>
      </c>
      <c r="AB299" s="29">
        <v>0.94126074498567303</v>
      </c>
      <c r="AC299" s="30">
        <v>18698.64</v>
      </c>
      <c r="AD299" s="30">
        <v>321.86613180515798</v>
      </c>
      <c r="AE299" s="27">
        <v>531.75</v>
      </c>
      <c r="AF299" s="29">
        <v>0.90597085096379903</v>
      </c>
      <c r="AG299" s="30">
        <v>4126.8138681948403</v>
      </c>
      <c r="AH299" s="31">
        <f t="shared" si="65"/>
        <v>0.98448519040902682</v>
      </c>
      <c r="AI299" s="31">
        <f t="shared" si="66"/>
        <v>5.8739255014326648E-2</v>
      </c>
      <c r="AJ299" s="31">
        <f t="shared" si="67"/>
        <v>2.2922636103151862E-2</v>
      </c>
      <c r="AK299" s="31">
        <f t="shared" si="68"/>
        <v>0.94126074498567336</v>
      </c>
      <c r="AL299" s="29">
        <f t="shared" si="69"/>
        <v>0.83333333333333337</v>
      </c>
      <c r="AM299" s="29">
        <f t="shared" si="70"/>
        <v>481.75</v>
      </c>
      <c r="AN299" s="29">
        <f t="shared" si="71"/>
        <v>1.4488842760768033</v>
      </c>
      <c r="AO299" s="29">
        <f t="shared" si="72"/>
        <v>1.3333333333333333</v>
      </c>
      <c r="AP299" s="31">
        <f t="shared" si="73"/>
        <v>1.0866632070576026</v>
      </c>
      <c r="AQ299" s="31">
        <f t="shared" si="74"/>
        <v>0.94126074498567336</v>
      </c>
      <c r="AR299" s="31">
        <f t="shared" si="75"/>
        <v>0.92665726375176338</v>
      </c>
      <c r="AS299" s="29">
        <f t="shared" si="76"/>
        <v>26.78888252148997</v>
      </c>
      <c r="AT299" s="29">
        <f t="shared" si="77"/>
        <v>5.9123407853794276</v>
      </c>
      <c r="AU299" s="27" t="str">
        <f t="shared" si="78"/>
        <v>High</v>
      </c>
      <c r="AV299" s="27" t="str">
        <f t="shared" si="79"/>
        <v>Normal</v>
      </c>
      <c r="AW299" s="27"/>
    </row>
    <row r="300" spans="1:49" x14ac:dyDescent="0.25">
      <c r="A300" s="27">
        <v>299</v>
      </c>
      <c r="B300" s="28">
        <v>46060</v>
      </c>
      <c r="C300" s="28" t="str">
        <f t="shared" si="64"/>
        <v>February</v>
      </c>
      <c r="D300" s="27" t="s">
        <v>67</v>
      </c>
      <c r="E300" s="27" t="s">
        <v>61</v>
      </c>
      <c r="F300" s="27" t="s">
        <v>95</v>
      </c>
      <c r="G300" s="27" t="s">
        <v>50</v>
      </c>
      <c r="H300" s="27" t="s">
        <v>124</v>
      </c>
      <c r="I300" s="27" t="s">
        <v>423</v>
      </c>
      <c r="J300" s="27" t="s">
        <v>218</v>
      </c>
      <c r="K300" s="27">
        <v>698</v>
      </c>
      <c r="L300" s="27">
        <v>738</v>
      </c>
      <c r="M300" s="27">
        <v>695</v>
      </c>
      <c r="N300" s="27">
        <v>43</v>
      </c>
      <c r="O300" s="27">
        <v>17</v>
      </c>
      <c r="P300" s="27">
        <v>0</v>
      </c>
      <c r="Q300" s="27" t="s">
        <v>60</v>
      </c>
      <c r="R300" s="27">
        <v>57</v>
      </c>
      <c r="S300" s="27">
        <v>61</v>
      </c>
      <c r="T300" s="29">
        <v>70.599999999999994</v>
      </c>
      <c r="U300" s="29">
        <v>1.64</v>
      </c>
      <c r="V300" s="29">
        <v>25.66</v>
      </c>
      <c r="W300" s="30">
        <v>19597.830000000002</v>
      </c>
      <c r="X300" s="27">
        <v>9.4</v>
      </c>
      <c r="Y300" s="27" t="s">
        <v>55</v>
      </c>
      <c r="Z300" s="29">
        <v>30</v>
      </c>
      <c r="AA300" s="30">
        <v>31664.45</v>
      </c>
      <c r="AB300" s="29">
        <v>0.94173441734417296</v>
      </c>
      <c r="AC300" s="30">
        <v>24058.77</v>
      </c>
      <c r="AD300" s="30">
        <v>451.440528455285</v>
      </c>
      <c r="AE300" s="27">
        <v>663.1</v>
      </c>
      <c r="AF300" s="29">
        <v>1</v>
      </c>
      <c r="AG300" s="30">
        <v>7154.2394715447199</v>
      </c>
      <c r="AH300" s="31">
        <f t="shared" si="65"/>
        <v>1.0573065902578798</v>
      </c>
      <c r="AI300" s="31">
        <f t="shared" si="66"/>
        <v>5.8265582655826556E-2</v>
      </c>
      <c r="AJ300" s="31">
        <f t="shared" si="67"/>
        <v>2.3035230352303523E-2</v>
      </c>
      <c r="AK300" s="31">
        <f t="shared" si="68"/>
        <v>0.9417344173441734</v>
      </c>
      <c r="AL300" s="29">
        <f t="shared" si="69"/>
        <v>0</v>
      </c>
      <c r="AM300" s="29">
        <f t="shared" si="70"/>
        <v>663.1</v>
      </c>
      <c r="AN300" s="29">
        <f t="shared" si="71"/>
        <v>1.1129543055346101</v>
      </c>
      <c r="AO300" s="29">
        <f t="shared" si="72"/>
        <v>1.0526315789473684</v>
      </c>
      <c r="AP300" s="31">
        <f t="shared" si="73"/>
        <v>1.0573065902578795</v>
      </c>
      <c r="AQ300" s="31">
        <f t="shared" si="74"/>
        <v>0.9417344173441734</v>
      </c>
      <c r="AR300" s="31">
        <f t="shared" si="75"/>
        <v>0.99570200573065892</v>
      </c>
      <c r="AS300" s="29">
        <f t="shared" si="76"/>
        <v>32.599959349593497</v>
      </c>
      <c r="AT300" s="29">
        <f t="shared" si="77"/>
        <v>9.6940914248573442</v>
      </c>
      <c r="AU300" s="27" t="str">
        <f t="shared" si="78"/>
        <v>Medium</v>
      </c>
      <c r="AV300" s="27" t="str">
        <f t="shared" si="79"/>
        <v>Normal</v>
      </c>
      <c r="AW300" s="27"/>
    </row>
    <row r="301" spans="1:49" x14ac:dyDescent="0.25">
      <c r="A301" s="27">
        <v>300</v>
      </c>
      <c r="B301" s="28">
        <v>46185</v>
      </c>
      <c r="C301" s="28" t="str">
        <f t="shared" si="64"/>
        <v>June</v>
      </c>
      <c r="D301" s="27" t="s">
        <v>47</v>
      </c>
      <c r="E301" s="27" t="s">
        <v>48</v>
      </c>
      <c r="F301" s="27" t="s">
        <v>72</v>
      </c>
      <c r="G301" s="27" t="s">
        <v>78</v>
      </c>
      <c r="H301" s="27" t="s">
        <v>124</v>
      </c>
      <c r="I301" s="27" t="s">
        <v>424</v>
      </c>
      <c r="J301" s="27" t="s">
        <v>59</v>
      </c>
      <c r="K301" s="27">
        <v>581</v>
      </c>
      <c r="L301" s="27">
        <v>577</v>
      </c>
      <c r="M301" s="27">
        <v>552</v>
      </c>
      <c r="N301" s="27">
        <v>25</v>
      </c>
      <c r="O301" s="27">
        <v>5</v>
      </c>
      <c r="P301" s="27">
        <v>14</v>
      </c>
      <c r="Q301" s="27" t="s">
        <v>94</v>
      </c>
      <c r="R301" s="27">
        <v>57</v>
      </c>
      <c r="S301" s="27">
        <v>62</v>
      </c>
      <c r="T301" s="29">
        <v>74.099999999999994</v>
      </c>
      <c r="U301" s="29">
        <v>1.74</v>
      </c>
      <c r="V301" s="29">
        <v>22.85</v>
      </c>
      <c r="W301" s="30">
        <v>15769.89</v>
      </c>
      <c r="X301" s="27">
        <v>9.0299999999999994</v>
      </c>
      <c r="Y301" s="27" t="s">
        <v>55</v>
      </c>
      <c r="Z301" s="29">
        <v>21</v>
      </c>
      <c r="AA301" s="30">
        <v>25146.68</v>
      </c>
      <c r="AB301" s="29">
        <v>0.95667244367417703</v>
      </c>
      <c r="AC301" s="30">
        <v>20039.04</v>
      </c>
      <c r="AD301" s="30">
        <v>136.654159445407</v>
      </c>
      <c r="AE301" s="27">
        <v>551.95000000000005</v>
      </c>
      <c r="AF301" s="29">
        <v>0.97463538363982305</v>
      </c>
      <c r="AG301" s="30">
        <v>4970.9858405545901</v>
      </c>
      <c r="AH301" s="31">
        <f t="shared" si="65"/>
        <v>0.99311531841652323</v>
      </c>
      <c r="AI301" s="31">
        <f t="shared" si="66"/>
        <v>4.3327556325823226E-2</v>
      </c>
      <c r="AJ301" s="31">
        <f t="shared" si="67"/>
        <v>8.6655112651646445E-3</v>
      </c>
      <c r="AK301" s="31">
        <f t="shared" si="68"/>
        <v>0.95667244367417681</v>
      </c>
      <c r="AL301" s="29">
        <f t="shared" si="69"/>
        <v>0.23333333333333334</v>
      </c>
      <c r="AM301" s="29">
        <f t="shared" si="70"/>
        <v>537.95000000000005</v>
      </c>
      <c r="AN301" s="29">
        <f t="shared" si="71"/>
        <v>1.0725903894413977</v>
      </c>
      <c r="AO301" s="29">
        <f t="shared" si="72"/>
        <v>1.0526315789473684</v>
      </c>
      <c r="AP301" s="31">
        <f t="shared" si="73"/>
        <v>1.018960869969328</v>
      </c>
      <c r="AQ301" s="31">
        <f t="shared" si="74"/>
        <v>0.95667244367417681</v>
      </c>
      <c r="AR301" s="31">
        <f t="shared" si="75"/>
        <v>0.95008605851979411</v>
      </c>
      <c r="AS301" s="29">
        <f t="shared" si="76"/>
        <v>34.729705372616984</v>
      </c>
      <c r="AT301" s="29">
        <f t="shared" si="77"/>
        <v>8.615226760059949</v>
      </c>
      <c r="AU301" s="27" t="str">
        <f t="shared" si="78"/>
        <v>Low</v>
      </c>
      <c r="AV301" s="27" t="str">
        <f t="shared" si="79"/>
        <v>Normal</v>
      </c>
      <c r="AW301" s="27"/>
    </row>
    <row r="302" spans="1:49" x14ac:dyDescent="0.25">
      <c r="A302" s="27">
        <v>301</v>
      </c>
      <c r="B302" s="28">
        <v>46083</v>
      </c>
      <c r="C302" s="28" t="str">
        <f t="shared" si="64"/>
        <v>March</v>
      </c>
      <c r="D302" s="27" t="s">
        <v>47</v>
      </c>
      <c r="E302" s="27" t="s">
        <v>129</v>
      </c>
      <c r="F302" s="27" t="s">
        <v>151</v>
      </c>
      <c r="G302" s="27" t="s">
        <v>50</v>
      </c>
      <c r="H302" s="27" t="s">
        <v>57</v>
      </c>
      <c r="I302" s="27" t="s">
        <v>425</v>
      </c>
      <c r="J302" s="27" t="s">
        <v>153</v>
      </c>
      <c r="K302" s="27">
        <v>873</v>
      </c>
      <c r="L302" s="27">
        <v>786</v>
      </c>
      <c r="M302" s="27">
        <v>749</v>
      </c>
      <c r="N302" s="27">
        <v>37</v>
      </c>
      <c r="O302" s="27">
        <v>7</v>
      </c>
      <c r="P302" s="27">
        <v>36</v>
      </c>
      <c r="Q302" s="27" t="s">
        <v>94</v>
      </c>
      <c r="R302" s="27">
        <v>45</v>
      </c>
      <c r="S302" s="27">
        <v>48</v>
      </c>
      <c r="T302" s="29">
        <v>73.7</v>
      </c>
      <c r="U302" s="29">
        <v>1.87</v>
      </c>
      <c r="V302" s="29">
        <v>33.03</v>
      </c>
      <c r="W302" s="30">
        <v>16008.91</v>
      </c>
      <c r="X302" s="27">
        <v>7.58</v>
      </c>
      <c r="Y302" s="27" t="s">
        <v>66</v>
      </c>
      <c r="Z302" s="29">
        <v>24</v>
      </c>
      <c r="AA302" s="30">
        <v>26353.79</v>
      </c>
      <c r="AB302" s="29">
        <v>0.95292620865139999</v>
      </c>
      <c r="AC302" s="30">
        <v>19717.18</v>
      </c>
      <c r="AD302" s="30">
        <v>142.572989821883</v>
      </c>
      <c r="AE302" s="27">
        <v>654.75</v>
      </c>
      <c r="AF302" s="29">
        <v>0.94501718213058405</v>
      </c>
      <c r="AG302" s="30">
        <v>6494.03701017812</v>
      </c>
      <c r="AH302" s="31">
        <f t="shared" si="65"/>
        <v>0.90034364261168387</v>
      </c>
      <c r="AI302" s="31">
        <f t="shared" si="66"/>
        <v>4.7073791348600506E-2</v>
      </c>
      <c r="AJ302" s="31">
        <f t="shared" si="67"/>
        <v>8.9058524173027988E-3</v>
      </c>
      <c r="AK302" s="31">
        <f t="shared" si="68"/>
        <v>0.95292620865139954</v>
      </c>
      <c r="AL302" s="29">
        <f t="shared" si="69"/>
        <v>0.6</v>
      </c>
      <c r="AM302" s="29">
        <f t="shared" si="70"/>
        <v>618.75</v>
      </c>
      <c r="AN302" s="29">
        <f t="shared" si="71"/>
        <v>1.2703030303030303</v>
      </c>
      <c r="AO302" s="29">
        <f t="shared" si="72"/>
        <v>1.3333333333333333</v>
      </c>
      <c r="AP302" s="31">
        <f t="shared" si="73"/>
        <v>0.95272727272727276</v>
      </c>
      <c r="AQ302" s="31">
        <f t="shared" si="74"/>
        <v>0.95292620865139954</v>
      </c>
      <c r="AR302" s="31">
        <f t="shared" si="75"/>
        <v>0.85796105383734245</v>
      </c>
      <c r="AS302" s="29">
        <f t="shared" si="76"/>
        <v>25.085470737913486</v>
      </c>
      <c r="AT302" s="29">
        <f t="shared" si="77"/>
        <v>8.2621336007355222</v>
      </c>
      <c r="AU302" s="27" t="str">
        <f t="shared" si="78"/>
        <v>Low</v>
      </c>
      <c r="AV302" s="27" t="str">
        <f t="shared" si="79"/>
        <v>Normal</v>
      </c>
      <c r="AW302" s="27"/>
    </row>
    <row r="303" spans="1:49" x14ac:dyDescent="0.25">
      <c r="A303" s="27">
        <v>302</v>
      </c>
      <c r="B303" s="28">
        <v>46155</v>
      </c>
      <c r="C303" s="28" t="str">
        <f t="shared" si="64"/>
        <v>May</v>
      </c>
      <c r="D303" s="27" t="s">
        <v>67</v>
      </c>
      <c r="E303" s="27" t="s">
        <v>129</v>
      </c>
      <c r="F303" s="27" t="s">
        <v>130</v>
      </c>
      <c r="G303" s="27" t="s">
        <v>63</v>
      </c>
      <c r="H303" s="27" t="s">
        <v>79</v>
      </c>
      <c r="I303" s="27" t="s">
        <v>426</v>
      </c>
      <c r="J303" s="27" t="s">
        <v>218</v>
      </c>
      <c r="K303" s="27">
        <v>870</v>
      </c>
      <c r="L303" s="27">
        <v>780</v>
      </c>
      <c r="M303" s="27">
        <v>691</v>
      </c>
      <c r="N303" s="27">
        <v>89</v>
      </c>
      <c r="O303" s="27">
        <v>32</v>
      </c>
      <c r="P303" s="27">
        <v>31</v>
      </c>
      <c r="Q303" s="27" t="s">
        <v>91</v>
      </c>
      <c r="R303" s="27">
        <v>49</v>
      </c>
      <c r="S303" s="27">
        <v>50</v>
      </c>
      <c r="T303" s="29">
        <v>72.8</v>
      </c>
      <c r="U303" s="29">
        <v>2.0099999999999998</v>
      </c>
      <c r="V303" s="29">
        <v>32.96</v>
      </c>
      <c r="W303" s="30">
        <v>18090.39</v>
      </c>
      <c r="X303" s="27">
        <v>8.24</v>
      </c>
      <c r="Y303" s="27" t="s">
        <v>55</v>
      </c>
      <c r="Z303" s="29">
        <v>20</v>
      </c>
      <c r="AA303" s="30">
        <v>25660.68</v>
      </c>
      <c r="AB303" s="29">
        <v>0.88589743589743597</v>
      </c>
      <c r="AC303" s="30">
        <v>22095.03</v>
      </c>
      <c r="AD303" s="30">
        <v>742.16984615384604</v>
      </c>
      <c r="AE303" s="27">
        <v>710.5</v>
      </c>
      <c r="AF303" s="29">
        <v>0.95636875439831104</v>
      </c>
      <c r="AG303" s="30">
        <v>2823.4801538461602</v>
      </c>
      <c r="AH303" s="31">
        <f t="shared" si="65"/>
        <v>0.89655172413793105</v>
      </c>
      <c r="AI303" s="31">
        <f t="shared" si="66"/>
        <v>0.1141025641025641</v>
      </c>
      <c r="AJ303" s="31">
        <f t="shared" si="67"/>
        <v>4.1025641025641026E-2</v>
      </c>
      <c r="AK303" s="31">
        <f t="shared" si="68"/>
        <v>0.88589743589743586</v>
      </c>
      <c r="AL303" s="29">
        <f t="shared" si="69"/>
        <v>0.51666666666666672</v>
      </c>
      <c r="AM303" s="29">
        <f t="shared" si="70"/>
        <v>679.5</v>
      </c>
      <c r="AN303" s="29">
        <f t="shared" si="71"/>
        <v>1.1479028697571745</v>
      </c>
      <c r="AO303" s="29">
        <f t="shared" si="72"/>
        <v>1.2244897959183674</v>
      </c>
      <c r="AP303" s="31">
        <f t="shared" si="73"/>
        <v>0.93745401030169251</v>
      </c>
      <c r="AQ303" s="31">
        <f t="shared" si="74"/>
        <v>0.88589743589743586</v>
      </c>
      <c r="AR303" s="31">
        <f t="shared" si="75"/>
        <v>0.7942528735632185</v>
      </c>
      <c r="AS303" s="29">
        <f t="shared" si="76"/>
        <v>28.326961538461536</v>
      </c>
      <c r="AT303" s="29">
        <f t="shared" si="77"/>
        <v>3.6198463510848207</v>
      </c>
      <c r="AU303" s="27" t="str">
        <f t="shared" si="78"/>
        <v>High</v>
      </c>
      <c r="AV303" s="27" t="str">
        <f t="shared" si="79"/>
        <v>Warning</v>
      </c>
      <c r="AW303" s="27"/>
    </row>
    <row r="304" spans="1:49" x14ac:dyDescent="0.25">
      <c r="A304" s="27">
        <v>303</v>
      </c>
      <c r="B304" s="28">
        <v>46169</v>
      </c>
      <c r="C304" s="28" t="str">
        <f t="shared" si="64"/>
        <v>May</v>
      </c>
      <c r="D304" s="27" t="s">
        <v>67</v>
      </c>
      <c r="E304" s="27" t="s">
        <v>48</v>
      </c>
      <c r="F304" s="27" t="s">
        <v>49</v>
      </c>
      <c r="G304" s="27" t="s">
        <v>50</v>
      </c>
      <c r="H304" s="27" t="s">
        <v>79</v>
      </c>
      <c r="I304" s="27" t="s">
        <v>427</v>
      </c>
      <c r="J304" s="27" t="s">
        <v>155</v>
      </c>
      <c r="K304" s="27">
        <v>775</v>
      </c>
      <c r="L304" s="27">
        <v>773</v>
      </c>
      <c r="M304" s="27">
        <v>735</v>
      </c>
      <c r="N304" s="27">
        <v>38</v>
      </c>
      <c r="O304" s="27">
        <v>7</v>
      </c>
      <c r="P304" s="27">
        <v>22</v>
      </c>
      <c r="Q304" s="27" t="s">
        <v>82</v>
      </c>
      <c r="R304" s="27">
        <v>49</v>
      </c>
      <c r="S304" s="27">
        <v>50</v>
      </c>
      <c r="T304" s="29">
        <v>70.400000000000006</v>
      </c>
      <c r="U304" s="29">
        <v>1.99</v>
      </c>
      <c r="V304" s="29">
        <v>27.98</v>
      </c>
      <c r="W304" s="30">
        <v>16076.82</v>
      </c>
      <c r="X304" s="27">
        <v>8.77</v>
      </c>
      <c r="Y304" s="27" t="s">
        <v>55</v>
      </c>
      <c r="Z304" s="29">
        <v>30</v>
      </c>
      <c r="AA304" s="30">
        <v>27850.19</v>
      </c>
      <c r="AB304" s="29">
        <v>0.95084087968952102</v>
      </c>
      <c r="AC304" s="30">
        <v>20275.14</v>
      </c>
      <c r="AD304" s="30">
        <v>145.58569210866801</v>
      </c>
      <c r="AE304" s="27">
        <v>632.91666666666697</v>
      </c>
      <c r="AF304" s="29">
        <v>0.96524028966425302</v>
      </c>
      <c r="AG304" s="30">
        <v>7429.4643078913296</v>
      </c>
      <c r="AH304" s="31">
        <f t="shared" si="65"/>
        <v>0.99741935483870969</v>
      </c>
      <c r="AI304" s="31">
        <f t="shared" si="66"/>
        <v>4.9159120310478657E-2</v>
      </c>
      <c r="AJ304" s="31">
        <f t="shared" si="67"/>
        <v>9.0556274256144882E-3</v>
      </c>
      <c r="AK304" s="31">
        <f t="shared" si="68"/>
        <v>0.95084087968952136</v>
      </c>
      <c r="AL304" s="29">
        <f t="shared" si="69"/>
        <v>0.36666666666666664</v>
      </c>
      <c r="AM304" s="29">
        <f t="shared" si="70"/>
        <v>610.91666666666697</v>
      </c>
      <c r="AN304" s="29">
        <f t="shared" si="71"/>
        <v>1.2653116900832078</v>
      </c>
      <c r="AO304" s="29">
        <f t="shared" si="72"/>
        <v>1.2244897959183674</v>
      </c>
      <c r="AP304" s="31">
        <f t="shared" si="73"/>
        <v>1.0333378802346196</v>
      </c>
      <c r="AQ304" s="31">
        <f t="shared" si="74"/>
        <v>0.95084087968952136</v>
      </c>
      <c r="AR304" s="31">
        <f t="shared" si="75"/>
        <v>0.94838709677419331</v>
      </c>
      <c r="AS304" s="29">
        <f t="shared" si="76"/>
        <v>26.229159120310477</v>
      </c>
      <c r="AT304" s="29">
        <f t="shared" si="77"/>
        <v>9.6112086777378138</v>
      </c>
      <c r="AU304" s="27" t="str">
        <f t="shared" si="78"/>
        <v>Medium</v>
      </c>
      <c r="AV304" s="27" t="str">
        <f t="shared" si="79"/>
        <v>Normal</v>
      </c>
      <c r="AW304" s="27"/>
    </row>
    <row r="305" spans="1:49" x14ac:dyDescent="0.25">
      <c r="A305" s="27">
        <v>304</v>
      </c>
      <c r="B305" s="28">
        <v>46109</v>
      </c>
      <c r="C305" s="28" t="str">
        <f t="shared" si="64"/>
        <v>March</v>
      </c>
      <c r="D305" s="27" t="s">
        <v>67</v>
      </c>
      <c r="E305" s="27" t="s">
        <v>61</v>
      </c>
      <c r="F305" s="27" t="s">
        <v>95</v>
      </c>
      <c r="G305" s="27" t="s">
        <v>78</v>
      </c>
      <c r="H305" s="27" t="s">
        <v>51</v>
      </c>
      <c r="I305" s="27" t="s">
        <v>428</v>
      </c>
      <c r="J305" s="27" t="s">
        <v>153</v>
      </c>
      <c r="K305" s="27">
        <v>978</v>
      </c>
      <c r="L305" s="27">
        <v>866</v>
      </c>
      <c r="M305" s="27">
        <v>810</v>
      </c>
      <c r="N305" s="27">
        <v>56</v>
      </c>
      <c r="O305" s="27">
        <v>15</v>
      </c>
      <c r="P305" s="27">
        <v>24</v>
      </c>
      <c r="Q305" s="27" t="s">
        <v>54</v>
      </c>
      <c r="R305" s="27">
        <v>42</v>
      </c>
      <c r="S305" s="27">
        <v>46</v>
      </c>
      <c r="T305" s="29">
        <v>77.900000000000006</v>
      </c>
      <c r="U305" s="29">
        <v>2.41</v>
      </c>
      <c r="V305" s="29">
        <v>35.549999999999997</v>
      </c>
      <c r="W305" s="30">
        <v>15147.83</v>
      </c>
      <c r="X305" s="27">
        <v>8.33</v>
      </c>
      <c r="Y305" s="27" t="s">
        <v>66</v>
      </c>
      <c r="Z305" s="29">
        <v>31</v>
      </c>
      <c r="AA305" s="30">
        <v>25573.77</v>
      </c>
      <c r="AB305" s="29">
        <v>0.93533487297921503</v>
      </c>
      <c r="AC305" s="30">
        <v>19216.28</v>
      </c>
      <c r="AD305" s="30">
        <v>262.37580831408798</v>
      </c>
      <c r="AE305" s="27">
        <v>684.6</v>
      </c>
      <c r="AF305" s="29">
        <v>0.96494303242769497</v>
      </c>
      <c r="AG305" s="30">
        <v>6095.1141916859096</v>
      </c>
      <c r="AH305" s="31">
        <f t="shared" si="65"/>
        <v>0.88548057259713697</v>
      </c>
      <c r="AI305" s="31">
        <f t="shared" si="66"/>
        <v>6.4665127020785224E-2</v>
      </c>
      <c r="AJ305" s="31">
        <f t="shared" si="67"/>
        <v>1.7321016166281754E-2</v>
      </c>
      <c r="AK305" s="31">
        <f t="shared" si="68"/>
        <v>0.9353348729792148</v>
      </c>
      <c r="AL305" s="29">
        <f t="shared" si="69"/>
        <v>0.4</v>
      </c>
      <c r="AM305" s="29">
        <f t="shared" si="70"/>
        <v>660.6</v>
      </c>
      <c r="AN305" s="29">
        <f t="shared" si="71"/>
        <v>1.3109294580684225</v>
      </c>
      <c r="AO305" s="29">
        <f t="shared" si="72"/>
        <v>1.4285714285714286</v>
      </c>
      <c r="AP305" s="31">
        <f t="shared" si="73"/>
        <v>0.91765062064789571</v>
      </c>
      <c r="AQ305" s="31">
        <f t="shared" si="74"/>
        <v>0.9353348729792148</v>
      </c>
      <c r="AR305" s="31">
        <f t="shared" si="75"/>
        <v>0.8282208588957054</v>
      </c>
      <c r="AS305" s="29">
        <f t="shared" si="76"/>
        <v>22.189699769053117</v>
      </c>
      <c r="AT305" s="29">
        <f t="shared" si="77"/>
        <v>7.0382380966349993</v>
      </c>
      <c r="AU305" s="27" t="str">
        <f t="shared" si="78"/>
        <v>Medium</v>
      </c>
      <c r="AV305" s="27" t="str">
        <f t="shared" si="79"/>
        <v>Warning</v>
      </c>
      <c r="AW305" s="27"/>
    </row>
    <row r="306" spans="1:49" x14ac:dyDescent="0.25">
      <c r="A306" s="27">
        <v>305</v>
      </c>
      <c r="B306" s="28">
        <v>46045</v>
      </c>
      <c r="C306" s="28" t="str">
        <f t="shared" si="64"/>
        <v>January</v>
      </c>
      <c r="D306" s="27" t="s">
        <v>47</v>
      </c>
      <c r="E306" s="27" t="s">
        <v>48</v>
      </c>
      <c r="F306" s="27" t="s">
        <v>49</v>
      </c>
      <c r="G306" s="27" t="s">
        <v>63</v>
      </c>
      <c r="H306" s="27" t="s">
        <v>57</v>
      </c>
      <c r="I306" s="27" t="s">
        <v>429</v>
      </c>
      <c r="J306" s="27" t="s">
        <v>121</v>
      </c>
      <c r="K306" s="27">
        <v>743</v>
      </c>
      <c r="L306" s="27">
        <v>726</v>
      </c>
      <c r="M306" s="27">
        <v>679</v>
      </c>
      <c r="N306" s="27">
        <v>47</v>
      </c>
      <c r="O306" s="27">
        <v>19</v>
      </c>
      <c r="P306" s="27">
        <v>54</v>
      </c>
      <c r="Q306" s="27" t="s">
        <v>94</v>
      </c>
      <c r="R306" s="27">
        <v>45</v>
      </c>
      <c r="S306" s="27">
        <v>48</v>
      </c>
      <c r="T306" s="29">
        <v>72.5</v>
      </c>
      <c r="U306" s="29">
        <v>2.88</v>
      </c>
      <c r="V306" s="29">
        <v>25.26</v>
      </c>
      <c r="W306" s="30">
        <v>15471.81</v>
      </c>
      <c r="X306" s="27">
        <v>9.74</v>
      </c>
      <c r="Y306" s="27" t="s">
        <v>71</v>
      </c>
      <c r="Z306" s="29">
        <v>49</v>
      </c>
      <c r="AA306" s="30">
        <v>23172.75</v>
      </c>
      <c r="AB306" s="29">
        <v>0.93526170798898101</v>
      </c>
      <c r="AC306" s="30">
        <v>20082.150000000001</v>
      </c>
      <c r="AD306" s="30">
        <v>404.90962809917397</v>
      </c>
      <c r="AE306" s="27">
        <v>557.25</v>
      </c>
      <c r="AF306" s="29">
        <v>0.90309555854643297</v>
      </c>
      <c r="AG306" s="30">
        <v>2685.6903719008301</v>
      </c>
      <c r="AH306" s="31">
        <f t="shared" si="65"/>
        <v>0.97711978465679672</v>
      </c>
      <c r="AI306" s="31">
        <f t="shared" si="66"/>
        <v>6.4738292011019286E-2</v>
      </c>
      <c r="AJ306" s="31">
        <f t="shared" si="67"/>
        <v>2.6170798898071626E-2</v>
      </c>
      <c r="AK306" s="31">
        <f t="shared" si="68"/>
        <v>0.93526170798898067</v>
      </c>
      <c r="AL306" s="29">
        <f t="shared" si="69"/>
        <v>0.9</v>
      </c>
      <c r="AM306" s="29">
        <f t="shared" si="70"/>
        <v>503.25</v>
      </c>
      <c r="AN306" s="29">
        <f t="shared" si="71"/>
        <v>1.4426229508196722</v>
      </c>
      <c r="AO306" s="29">
        <f t="shared" si="72"/>
        <v>1.3333333333333333</v>
      </c>
      <c r="AP306" s="31">
        <f t="shared" si="73"/>
        <v>1.0819672131147542</v>
      </c>
      <c r="AQ306" s="31">
        <f t="shared" si="74"/>
        <v>0.93526170798898067</v>
      </c>
      <c r="AR306" s="31">
        <f t="shared" si="75"/>
        <v>0.91386271870794034</v>
      </c>
      <c r="AS306" s="29">
        <f t="shared" si="76"/>
        <v>27.661363636363639</v>
      </c>
      <c r="AT306" s="29">
        <f t="shared" si="77"/>
        <v>3.6992980329212535</v>
      </c>
      <c r="AU306" s="27" t="str">
        <f t="shared" si="78"/>
        <v>High</v>
      </c>
      <c r="AV306" s="27" t="str">
        <f t="shared" si="79"/>
        <v>Normal</v>
      </c>
      <c r="AW306" s="27"/>
    </row>
    <row r="307" spans="1:49" x14ac:dyDescent="0.25">
      <c r="A307" s="27">
        <v>306</v>
      </c>
      <c r="B307" s="28">
        <v>46159</v>
      </c>
      <c r="C307" s="28" t="str">
        <f t="shared" si="64"/>
        <v>May</v>
      </c>
      <c r="D307" s="27" t="s">
        <v>67</v>
      </c>
      <c r="E307" s="27" t="s">
        <v>61</v>
      </c>
      <c r="F307" s="27" t="s">
        <v>95</v>
      </c>
      <c r="G307" s="27" t="s">
        <v>50</v>
      </c>
      <c r="H307" s="27" t="s">
        <v>68</v>
      </c>
      <c r="I307" s="27" t="s">
        <v>430</v>
      </c>
      <c r="J307" s="27" t="s">
        <v>164</v>
      </c>
      <c r="K307" s="27">
        <v>537</v>
      </c>
      <c r="L307" s="27">
        <v>598</v>
      </c>
      <c r="M307" s="27">
        <v>565</v>
      </c>
      <c r="N307" s="27">
        <v>33</v>
      </c>
      <c r="O307" s="27">
        <v>7</v>
      </c>
      <c r="P307" s="27">
        <v>0</v>
      </c>
      <c r="Q307" s="27" t="s">
        <v>60</v>
      </c>
      <c r="R307" s="27">
        <v>64</v>
      </c>
      <c r="S307" s="27">
        <v>64</v>
      </c>
      <c r="T307" s="29">
        <v>71.900000000000006</v>
      </c>
      <c r="U307" s="29">
        <v>2.29</v>
      </c>
      <c r="V307" s="29">
        <v>17.86</v>
      </c>
      <c r="W307" s="30">
        <v>17625.099999999999</v>
      </c>
      <c r="X307" s="27">
        <v>9.15</v>
      </c>
      <c r="Y307" s="27" t="s">
        <v>55</v>
      </c>
      <c r="Z307" s="29">
        <v>9</v>
      </c>
      <c r="AA307" s="30">
        <v>28796.85</v>
      </c>
      <c r="AB307" s="29">
        <v>0.94481605351170606</v>
      </c>
      <c r="AC307" s="30">
        <v>21903.34</v>
      </c>
      <c r="AD307" s="30">
        <v>206.313879598662</v>
      </c>
      <c r="AE307" s="27">
        <v>572.79999999999995</v>
      </c>
      <c r="AF307" s="29">
        <v>1</v>
      </c>
      <c r="AG307" s="30">
        <v>6687.1961204013396</v>
      </c>
      <c r="AH307" s="31">
        <f t="shared" si="65"/>
        <v>1.1135940409683427</v>
      </c>
      <c r="AI307" s="31">
        <f t="shared" si="66"/>
        <v>5.5183946488294312E-2</v>
      </c>
      <c r="AJ307" s="31">
        <f t="shared" si="67"/>
        <v>1.1705685618729096E-2</v>
      </c>
      <c r="AK307" s="31">
        <f t="shared" si="68"/>
        <v>0.94481605351170572</v>
      </c>
      <c r="AL307" s="29">
        <f t="shared" si="69"/>
        <v>0</v>
      </c>
      <c r="AM307" s="29">
        <f t="shared" si="70"/>
        <v>572.79999999999995</v>
      </c>
      <c r="AN307" s="29">
        <f t="shared" si="71"/>
        <v>1.0439944134078214</v>
      </c>
      <c r="AO307" s="29">
        <f t="shared" si="72"/>
        <v>0.9375</v>
      </c>
      <c r="AP307" s="31">
        <f t="shared" si="73"/>
        <v>1.1135940409683429</v>
      </c>
      <c r="AQ307" s="31">
        <f t="shared" si="74"/>
        <v>0.94481605351170572</v>
      </c>
      <c r="AR307" s="31">
        <f t="shared" si="75"/>
        <v>1.0521415270018626</v>
      </c>
      <c r="AS307" s="29">
        <f t="shared" si="76"/>
        <v>36.627658862876252</v>
      </c>
      <c r="AT307" s="29">
        <f t="shared" si="77"/>
        <v>11.182602208028996</v>
      </c>
      <c r="AU307" s="27" t="str">
        <f t="shared" si="78"/>
        <v>Low</v>
      </c>
      <c r="AV307" s="27" t="str">
        <f t="shared" si="79"/>
        <v>Normal</v>
      </c>
      <c r="AW307" s="27"/>
    </row>
    <row r="308" spans="1:49" x14ac:dyDescent="0.25">
      <c r="A308" s="27">
        <v>307</v>
      </c>
      <c r="B308" s="28">
        <v>46180</v>
      </c>
      <c r="C308" s="28" t="str">
        <f t="shared" si="64"/>
        <v>June</v>
      </c>
      <c r="D308" s="27" t="s">
        <v>67</v>
      </c>
      <c r="E308" s="27" t="s">
        <v>98</v>
      </c>
      <c r="F308" s="27" t="s">
        <v>105</v>
      </c>
      <c r="G308" s="27" t="s">
        <v>63</v>
      </c>
      <c r="H308" s="27" t="s">
        <v>79</v>
      </c>
      <c r="I308" s="27" t="s">
        <v>431</v>
      </c>
      <c r="J308" s="27" t="s">
        <v>53</v>
      </c>
      <c r="K308" s="27">
        <v>783</v>
      </c>
      <c r="L308" s="27">
        <v>709</v>
      </c>
      <c r="M308" s="27">
        <v>663</v>
      </c>
      <c r="N308" s="27">
        <v>46</v>
      </c>
      <c r="O308" s="27">
        <v>14</v>
      </c>
      <c r="P308" s="27">
        <v>15</v>
      </c>
      <c r="Q308" s="27" t="s">
        <v>97</v>
      </c>
      <c r="R308" s="27">
        <v>49</v>
      </c>
      <c r="S308" s="27">
        <v>53</v>
      </c>
      <c r="T308" s="29">
        <v>73.2</v>
      </c>
      <c r="U308" s="29">
        <v>1.82</v>
      </c>
      <c r="V308" s="29">
        <v>29.29</v>
      </c>
      <c r="W308" s="30">
        <v>15257.97</v>
      </c>
      <c r="X308" s="27">
        <v>8.17</v>
      </c>
      <c r="Y308" s="27" t="s">
        <v>55</v>
      </c>
      <c r="Z308" s="29">
        <v>31</v>
      </c>
      <c r="AA308" s="30">
        <v>24481.88</v>
      </c>
      <c r="AB308" s="29">
        <v>0.93511988716502104</v>
      </c>
      <c r="AC308" s="30">
        <v>19198.080000000002</v>
      </c>
      <c r="AD308" s="30">
        <v>301.28572637517601</v>
      </c>
      <c r="AE308" s="27">
        <v>639.45000000000005</v>
      </c>
      <c r="AF308" s="29">
        <v>0.976542341074361</v>
      </c>
      <c r="AG308" s="30">
        <v>4982.5142736248199</v>
      </c>
      <c r="AH308" s="31">
        <f t="shared" si="65"/>
        <v>0.90549169859514689</v>
      </c>
      <c r="AI308" s="31">
        <f t="shared" si="66"/>
        <v>6.488011283497884E-2</v>
      </c>
      <c r="AJ308" s="31">
        <f t="shared" si="67"/>
        <v>1.9746121297602257E-2</v>
      </c>
      <c r="AK308" s="31">
        <f t="shared" si="68"/>
        <v>0.93511988716502115</v>
      </c>
      <c r="AL308" s="29">
        <f t="shared" si="69"/>
        <v>0.25</v>
      </c>
      <c r="AM308" s="29">
        <f t="shared" si="70"/>
        <v>624.45000000000005</v>
      </c>
      <c r="AN308" s="29">
        <f t="shared" si="71"/>
        <v>1.1353991512531028</v>
      </c>
      <c r="AO308" s="29">
        <f t="shared" si="72"/>
        <v>1.2244897959183674</v>
      </c>
      <c r="AP308" s="31">
        <f t="shared" si="73"/>
        <v>0.92724264019003388</v>
      </c>
      <c r="AQ308" s="31">
        <f t="shared" si="74"/>
        <v>0.93511988716502115</v>
      </c>
      <c r="AR308" s="31">
        <f t="shared" si="75"/>
        <v>0.84674329501915735</v>
      </c>
      <c r="AS308" s="29">
        <f t="shared" si="76"/>
        <v>27.077686882933712</v>
      </c>
      <c r="AT308" s="29">
        <f t="shared" si="77"/>
        <v>7.0275236581450207</v>
      </c>
      <c r="AU308" s="27" t="str">
        <f t="shared" si="78"/>
        <v>Medium</v>
      </c>
      <c r="AV308" s="27" t="str">
        <f t="shared" si="79"/>
        <v>Warning</v>
      </c>
      <c r="AW308" s="27"/>
    </row>
    <row r="309" spans="1:49" x14ac:dyDescent="0.25">
      <c r="A309" s="27">
        <v>308</v>
      </c>
      <c r="B309" s="28">
        <v>46185</v>
      </c>
      <c r="C309" s="28" t="str">
        <f t="shared" si="64"/>
        <v>June</v>
      </c>
      <c r="D309" s="27" t="s">
        <v>47</v>
      </c>
      <c r="E309" s="27" t="s">
        <v>48</v>
      </c>
      <c r="F309" s="27" t="s">
        <v>56</v>
      </c>
      <c r="G309" s="27" t="s">
        <v>63</v>
      </c>
      <c r="H309" s="27" t="s">
        <v>124</v>
      </c>
      <c r="I309" s="27" t="s">
        <v>432</v>
      </c>
      <c r="J309" s="27" t="s">
        <v>53</v>
      </c>
      <c r="K309" s="27">
        <v>583</v>
      </c>
      <c r="L309" s="27">
        <v>580</v>
      </c>
      <c r="M309" s="27">
        <v>545</v>
      </c>
      <c r="N309" s="27">
        <v>35</v>
      </c>
      <c r="O309" s="27">
        <v>7</v>
      </c>
      <c r="P309" s="27">
        <v>16</v>
      </c>
      <c r="Q309" s="27" t="s">
        <v>94</v>
      </c>
      <c r="R309" s="27">
        <v>57</v>
      </c>
      <c r="S309" s="27">
        <v>58</v>
      </c>
      <c r="T309" s="29">
        <v>75.400000000000006</v>
      </c>
      <c r="U309" s="29">
        <v>1.64</v>
      </c>
      <c r="V309" s="29">
        <v>20.98</v>
      </c>
      <c r="W309" s="30">
        <v>15462.24</v>
      </c>
      <c r="X309" s="27">
        <v>10.29</v>
      </c>
      <c r="Y309" s="27" t="s">
        <v>71</v>
      </c>
      <c r="Z309" s="29">
        <v>18</v>
      </c>
      <c r="AA309" s="30">
        <v>25152.959999999999</v>
      </c>
      <c r="AB309" s="29">
        <v>0.93965517241379304</v>
      </c>
      <c r="AC309" s="30">
        <v>20281.560000000001</v>
      </c>
      <c r="AD309" s="30">
        <v>186.61324137931001</v>
      </c>
      <c r="AE309" s="27">
        <v>553.85</v>
      </c>
      <c r="AF309" s="29">
        <v>0.97111131172700205</v>
      </c>
      <c r="AG309" s="30">
        <v>4684.7867586206903</v>
      </c>
      <c r="AH309" s="31">
        <f t="shared" si="65"/>
        <v>0.99485420240137223</v>
      </c>
      <c r="AI309" s="31">
        <f t="shared" si="66"/>
        <v>6.0344827586206899E-2</v>
      </c>
      <c r="AJ309" s="31">
        <f t="shared" si="67"/>
        <v>1.2068965517241379E-2</v>
      </c>
      <c r="AK309" s="31">
        <f t="shared" si="68"/>
        <v>0.93965517241379315</v>
      </c>
      <c r="AL309" s="29">
        <f t="shared" si="69"/>
        <v>0.26666666666666666</v>
      </c>
      <c r="AM309" s="29">
        <f t="shared" si="70"/>
        <v>537.85</v>
      </c>
      <c r="AN309" s="29">
        <f t="shared" si="71"/>
        <v>1.0783675746025843</v>
      </c>
      <c r="AO309" s="29">
        <f t="shared" si="72"/>
        <v>1.0526315789473684</v>
      </c>
      <c r="AP309" s="31">
        <f t="shared" si="73"/>
        <v>1.0244491958724551</v>
      </c>
      <c r="AQ309" s="31">
        <f t="shared" si="74"/>
        <v>0.93965517241379315</v>
      </c>
      <c r="AR309" s="31">
        <f t="shared" si="75"/>
        <v>0.93481989708404822</v>
      </c>
      <c r="AS309" s="29">
        <f t="shared" si="76"/>
        <v>34.968206896551727</v>
      </c>
      <c r="AT309" s="29">
        <f t="shared" si="77"/>
        <v>8.0772185493460178</v>
      </c>
      <c r="AU309" s="27" t="str">
        <f t="shared" si="78"/>
        <v>High</v>
      </c>
      <c r="AV309" s="27" t="str">
        <f t="shared" si="79"/>
        <v>Normal</v>
      </c>
      <c r="AW309" s="27"/>
    </row>
    <row r="310" spans="1:49" x14ac:dyDescent="0.25">
      <c r="A310" s="27">
        <v>309</v>
      </c>
      <c r="B310" s="28">
        <v>46033</v>
      </c>
      <c r="C310" s="28" t="str">
        <f t="shared" si="64"/>
        <v>January</v>
      </c>
      <c r="D310" s="27" t="s">
        <v>47</v>
      </c>
      <c r="E310" s="27" t="s">
        <v>61</v>
      </c>
      <c r="F310" s="27" t="s">
        <v>95</v>
      </c>
      <c r="G310" s="27" t="s">
        <v>50</v>
      </c>
      <c r="H310" s="27" t="s">
        <v>68</v>
      </c>
      <c r="I310" s="27" t="s">
        <v>433</v>
      </c>
      <c r="J310" s="27" t="s">
        <v>132</v>
      </c>
      <c r="K310" s="27">
        <v>465</v>
      </c>
      <c r="L310" s="27">
        <v>490</v>
      </c>
      <c r="M310" s="27">
        <v>464</v>
      </c>
      <c r="N310" s="27">
        <v>26</v>
      </c>
      <c r="O310" s="27">
        <v>9</v>
      </c>
      <c r="P310" s="27">
        <v>24</v>
      </c>
      <c r="Q310" s="27" t="s">
        <v>82</v>
      </c>
      <c r="R310" s="27">
        <v>64</v>
      </c>
      <c r="S310" s="27">
        <v>65</v>
      </c>
      <c r="T310" s="29">
        <v>77.7</v>
      </c>
      <c r="U310" s="29">
        <v>1.61</v>
      </c>
      <c r="V310" s="29">
        <v>18.440000000000001</v>
      </c>
      <c r="W310" s="30">
        <v>14999.16</v>
      </c>
      <c r="X310" s="27">
        <v>8.01</v>
      </c>
      <c r="Y310" s="27" t="s">
        <v>55</v>
      </c>
      <c r="Z310" s="29">
        <v>7</v>
      </c>
      <c r="AA310" s="30">
        <v>24209.759999999998</v>
      </c>
      <c r="AB310" s="29">
        <v>0.946938775510204</v>
      </c>
      <c r="AC310" s="30">
        <v>18769.62</v>
      </c>
      <c r="AD310" s="30">
        <v>275.49477551020402</v>
      </c>
      <c r="AE310" s="27">
        <v>496</v>
      </c>
      <c r="AF310" s="29">
        <v>0.95161290322580705</v>
      </c>
      <c r="AG310" s="30">
        <v>5164.6452244898001</v>
      </c>
      <c r="AH310" s="31">
        <f t="shared" si="65"/>
        <v>1.053763440860215</v>
      </c>
      <c r="AI310" s="31">
        <f t="shared" si="66"/>
        <v>5.3061224489795916E-2</v>
      </c>
      <c r="AJ310" s="31">
        <f t="shared" si="67"/>
        <v>1.8367346938775512E-2</v>
      </c>
      <c r="AK310" s="31">
        <f t="shared" si="68"/>
        <v>0.94693877551020411</v>
      </c>
      <c r="AL310" s="29">
        <f t="shared" si="69"/>
        <v>0.4</v>
      </c>
      <c r="AM310" s="29">
        <f t="shared" si="70"/>
        <v>472</v>
      </c>
      <c r="AN310" s="29">
        <f t="shared" si="71"/>
        <v>1.0381355932203389</v>
      </c>
      <c r="AO310" s="29">
        <f t="shared" si="72"/>
        <v>0.9375</v>
      </c>
      <c r="AP310" s="31">
        <f t="shared" si="73"/>
        <v>1.1073446327683614</v>
      </c>
      <c r="AQ310" s="31">
        <f t="shared" si="74"/>
        <v>0.94693877551020411</v>
      </c>
      <c r="AR310" s="31">
        <f t="shared" si="75"/>
        <v>0.9978494623655918</v>
      </c>
      <c r="AS310" s="29">
        <f t="shared" si="76"/>
        <v>38.305346938775507</v>
      </c>
      <c r="AT310" s="29">
        <f t="shared" si="77"/>
        <v>10.540092294877143</v>
      </c>
      <c r="AU310" s="27" t="str">
        <f t="shared" si="78"/>
        <v>Low</v>
      </c>
      <c r="AV310" s="27" t="str">
        <f t="shared" si="79"/>
        <v>Normal</v>
      </c>
      <c r="AW310" s="27"/>
    </row>
    <row r="311" spans="1:49" x14ac:dyDescent="0.25">
      <c r="A311" s="27">
        <v>310</v>
      </c>
      <c r="B311" s="28">
        <v>46094</v>
      </c>
      <c r="C311" s="28" t="str">
        <f t="shared" si="64"/>
        <v>March</v>
      </c>
      <c r="D311" s="27" t="s">
        <v>67</v>
      </c>
      <c r="E311" s="27" t="s">
        <v>98</v>
      </c>
      <c r="F311" s="27" t="s">
        <v>126</v>
      </c>
      <c r="G311" s="27" t="s">
        <v>63</v>
      </c>
      <c r="H311" s="27" t="s">
        <v>57</v>
      </c>
      <c r="I311" s="27" t="s">
        <v>434</v>
      </c>
      <c r="J311" s="27" t="s">
        <v>226</v>
      </c>
      <c r="K311" s="27">
        <v>813</v>
      </c>
      <c r="L311" s="27">
        <v>792</v>
      </c>
      <c r="M311" s="27">
        <v>727</v>
      </c>
      <c r="N311" s="27">
        <v>65</v>
      </c>
      <c r="O311" s="27">
        <v>14</v>
      </c>
      <c r="P311" s="27">
        <v>20</v>
      </c>
      <c r="Q311" s="27" t="s">
        <v>75</v>
      </c>
      <c r="R311" s="27">
        <v>45</v>
      </c>
      <c r="S311" s="27">
        <v>45</v>
      </c>
      <c r="T311" s="29">
        <v>76.3</v>
      </c>
      <c r="U311" s="29">
        <v>2.0099999999999998</v>
      </c>
      <c r="V311" s="29">
        <v>32.86</v>
      </c>
      <c r="W311" s="30">
        <v>15270.18</v>
      </c>
      <c r="X311" s="27">
        <v>7.04</v>
      </c>
      <c r="Y311" s="27" t="s">
        <v>55</v>
      </c>
      <c r="Z311" s="29">
        <v>16</v>
      </c>
      <c r="AA311" s="30">
        <v>25530.18</v>
      </c>
      <c r="AB311" s="29">
        <v>0.91792929292929304</v>
      </c>
      <c r="AC311" s="30">
        <v>18733.919999999998</v>
      </c>
      <c r="AD311" s="30">
        <v>269.92742424242402</v>
      </c>
      <c r="AE311" s="27">
        <v>609.75</v>
      </c>
      <c r="AF311" s="29">
        <v>0.96719967199671997</v>
      </c>
      <c r="AG311" s="30">
        <v>6526.3325757575703</v>
      </c>
      <c r="AH311" s="31">
        <f t="shared" si="65"/>
        <v>0.97416974169741699</v>
      </c>
      <c r="AI311" s="31">
        <f t="shared" si="66"/>
        <v>8.2070707070707072E-2</v>
      </c>
      <c r="AJ311" s="31">
        <f t="shared" si="67"/>
        <v>1.7676767676767676E-2</v>
      </c>
      <c r="AK311" s="31">
        <f t="shared" si="68"/>
        <v>0.91792929292929293</v>
      </c>
      <c r="AL311" s="29">
        <f t="shared" si="69"/>
        <v>0.33333333333333331</v>
      </c>
      <c r="AM311" s="29">
        <f t="shared" si="70"/>
        <v>589.75</v>
      </c>
      <c r="AN311" s="29">
        <f t="shared" si="71"/>
        <v>1.3429419245442984</v>
      </c>
      <c r="AO311" s="29">
        <f t="shared" si="72"/>
        <v>1.3333333333333333</v>
      </c>
      <c r="AP311" s="31">
        <f t="shared" si="73"/>
        <v>1.007206443408224</v>
      </c>
      <c r="AQ311" s="31">
        <f t="shared" si="74"/>
        <v>0.91792929292929293</v>
      </c>
      <c r="AR311" s="31">
        <f t="shared" si="75"/>
        <v>0.89421894218942199</v>
      </c>
      <c r="AS311" s="29">
        <f t="shared" si="76"/>
        <v>23.653939393939392</v>
      </c>
      <c r="AT311" s="29">
        <f t="shared" si="77"/>
        <v>8.2403189087848112</v>
      </c>
      <c r="AU311" s="27" t="str">
        <f t="shared" si="78"/>
        <v>Medium</v>
      </c>
      <c r="AV311" s="27" t="str">
        <f t="shared" si="79"/>
        <v>Warning</v>
      </c>
      <c r="AW311" s="27"/>
    </row>
    <row r="312" spans="1:49" x14ac:dyDescent="0.25">
      <c r="A312" s="27">
        <v>311</v>
      </c>
      <c r="B312" s="28">
        <v>46201</v>
      </c>
      <c r="C312" s="28" t="str">
        <f t="shared" si="64"/>
        <v>June</v>
      </c>
      <c r="D312" s="27" t="s">
        <v>67</v>
      </c>
      <c r="E312" s="27" t="s">
        <v>61</v>
      </c>
      <c r="F312" s="27" t="s">
        <v>95</v>
      </c>
      <c r="G312" s="27" t="s">
        <v>50</v>
      </c>
      <c r="H312" s="27" t="s">
        <v>68</v>
      </c>
      <c r="I312" s="27" t="s">
        <v>435</v>
      </c>
      <c r="J312" s="27" t="s">
        <v>93</v>
      </c>
      <c r="K312" s="27">
        <v>587</v>
      </c>
      <c r="L312" s="27">
        <v>551</v>
      </c>
      <c r="M312" s="27">
        <v>520</v>
      </c>
      <c r="N312" s="27">
        <v>31</v>
      </c>
      <c r="O312" s="27">
        <v>11</v>
      </c>
      <c r="P312" s="27">
        <v>0</v>
      </c>
      <c r="Q312" s="27" t="s">
        <v>60</v>
      </c>
      <c r="R312" s="27">
        <v>64</v>
      </c>
      <c r="S312" s="27">
        <v>67</v>
      </c>
      <c r="T312" s="29">
        <v>79.3</v>
      </c>
      <c r="U312" s="29">
        <v>2.27</v>
      </c>
      <c r="V312" s="29">
        <v>20.420000000000002</v>
      </c>
      <c r="W312" s="30">
        <v>17004.53</v>
      </c>
      <c r="X312" s="27">
        <v>9.66</v>
      </c>
      <c r="Y312" s="27" t="s">
        <v>66</v>
      </c>
      <c r="Z312" s="29">
        <v>32</v>
      </c>
      <c r="AA312" s="30">
        <v>26588.2</v>
      </c>
      <c r="AB312" s="29">
        <v>0.94373865698729598</v>
      </c>
      <c r="AC312" s="30">
        <v>21535.31</v>
      </c>
      <c r="AD312" s="30">
        <v>339.473375680581</v>
      </c>
      <c r="AE312" s="27">
        <v>626.13333333333298</v>
      </c>
      <c r="AF312" s="29">
        <v>1</v>
      </c>
      <c r="AG312" s="30">
        <v>4713.4166243194204</v>
      </c>
      <c r="AH312" s="31">
        <f t="shared" si="65"/>
        <v>0.93867120954003402</v>
      </c>
      <c r="AI312" s="31">
        <f t="shared" si="66"/>
        <v>5.6261343012704176E-2</v>
      </c>
      <c r="AJ312" s="31">
        <f t="shared" si="67"/>
        <v>1.9963702359346643E-2</v>
      </c>
      <c r="AK312" s="31">
        <f t="shared" si="68"/>
        <v>0.94373865698729587</v>
      </c>
      <c r="AL312" s="29">
        <f t="shared" si="69"/>
        <v>0</v>
      </c>
      <c r="AM312" s="29">
        <f t="shared" si="70"/>
        <v>626.13333333333298</v>
      </c>
      <c r="AN312" s="29">
        <f t="shared" si="71"/>
        <v>0.88000425894378242</v>
      </c>
      <c r="AO312" s="29">
        <f t="shared" si="72"/>
        <v>0.9375</v>
      </c>
      <c r="AP312" s="31">
        <f t="shared" si="73"/>
        <v>0.93867120954003458</v>
      </c>
      <c r="AQ312" s="31">
        <f t="shared" si="74"/>
        <v>0.94373865698729587</v>
      </c>
      <c r="AR312" s="31">
        <f t="shared" si="75"/>
        <v>0.88586030664395277</v>
      </c>
      <c r="AS312" s="29">
        <f t="shared" si="76"/>
        <v>39.08404718693285</v>
      </c>
      <c r="AT312" s="29">
        <f t="shared" si="77"/>
        <v>8.5542951439553914</v>
      </c>
      <c r="AU312" s="27" t="str">
        <f t="shared" si="78"/>
        <v>Medium</v>
      </c>
      <c r="AV312" s="27" t="str">
        <f t="shared" si="79"/>
        <v>Normal</v>
      </c>
      <c r="AW312" s="27"/>
    </row>
    <row r="313" spans="1:49" x14ac:dyDescent="0.25">
      <c r="A313" s="27">
        <v>312</v>
      </c>
      <c r="B313" s="28">
        <v>46028</v>
      </c>
      <c r="C313" s="28" t="str">
        <f t="shared" si="64"/>
        <v>January</v>
      </c>
      <c r="D313" s="27" t="s">
        <v>67</v>
      </c>
      <c r="E313" s="27" t="s">
        <v>129</v>
      </c>
      <c r="F313" s="27" t="s">
        <v>167</v>
      </c>
      <c r="G313" s="27" t="s">
        <v>50</v>
      </c>
      <c r="H313" s="27" t="s">
        <v>124</v>
      </c>
      <c r="I313" s="27" t="s">
        <v>436</v>
      </c>
      <c r="J313" s="27" t="s">
        <v>121</v>
      </c>
      <c r="K313" s="27">
        <v>726</v>
      </c>
      <c r="L313" s="27">
        <v>728</v>
      </c>
      <c r="M313" s="27">
        <v>671</v>
      </c>
      <c r="N313" s="27">
        <v>57</v>
      </c>
      <c r="O313" s="27">
        <v>13</v>
      </c>
      <c r="P313" s="27">
        <v>26</v>
      </c>
      <c r="Q313" s="27" t="s">
        <v>75</v>
      </c>
      <c r="R313" s="27">
        <v>57</v>
      </c>
      <c r="S313" s="27">
        <v>57</v>
      </c>
      <c r="T313" s="29">
        <v>78.5</v>
      </c>
      <c r="U313" s="29">
        <v>1.73</v>
      </c>
      <c r="V313" s="29">
        <v>29.48</v>
      </c>
      <c r="W313" s="30">
        <v>20908.689999999999</v>
      </c>
      <c r="X313" s="27">
        <v>9.1</v>
      </c>
      <c r="Y313" s="27" t="s">
        <v>55</v>
      </c>
      <c r="Z313" s="29">
        <v>14</v>
      </c>
      <c r="AA313" s="30">
        <v>30961.9</v>
      </c>
      <c r="AB313" s="29">
        <v>0.92170329670329698</v>
      </c>
      <c r="AC313" s="30">
        <v>25269.01</v>
      </c>
      <c r="AD313" s="30">
        <v>373.369464285714</v>
      </c>
      <c r="AE313" s="27">
        <v>689.7</v>
      </c>
      <c r="AF313" s="29">
        <v>0.96230245034072803</v>
      </c>
      <c r="AG313" s="30">
        <v>5319.5205357142904</v>
      </c>
      <c r="AH313" s="31">
        <f t="shared" si="65"/>
        <v>1.002754820936639</v>
      </c>
      <c r="AI313" s="31">
        <f t="shared" si="66"/>
        <v>7.8296703296703296E-2</v>
      </c>
      <c r="AJ313" s="31">
        <f t="shared" si="67"/>
        <v>1.7857142857142856E-2</v>
      </c>
      <c r="AK313" s="31">
        <f t="shared" si="68"/>
        <v>0.92170329670329665</v>
      </c>
      <c r="AL313" s="29">
        <f t="shared" si="69"/>
        <v>0.43333333333333335</v>
      </c>
      <c r="AM313" s="29">
        <f t="shared" si="70"/>
        <v>663.7</v>
      </c>
      <c r="AN313" s="29">
        <f t="shared" si="71"/>
        <v>1.0968811209883984</v>
      </c>
      <c r="AO313" s="29">
        <f t="shared" si="72"/>
        <v>1.0526315789473684</v>
      </c>
      <c r="AP313" s="31">
        <f t="shared" si="73"/>
        <v>1.0420370649389785</v>
      </c>
      <c r="AQ313" s="31">
        <f t="shared" si="74"/>
        <v>0.92170329670329665</v>
      </c>
      <c r="AR313" s="31">
        <f t="shared" si="75"/>
        <v>0.92424242424242453</v>
      </c>
      <c r="AS313" s="29">
        <f t="shared" si="76"/>
        <v>34.710178571428571</v>
      </c>
      <c r="AT313" s="29">
        <f t="shared" si="77"/>
        <v>7.3070337029042447</v>
      </c>
      <c r="AU313" s="27" t="str">
        <f t="shared" si="78"/>
        <v>Low</v>
      </c>
      <c r="AV313" s="27" t="str">
        <f t="shared" si="79"/>
        <v>Normal</v>
      </c>
      <c r="AW313" s="27"/>
    </row>
    <row r="314" spans="1:49" x14ac:dyDescent="0.25">
      <c r="A314" s="27">
        <v>313</v>
      </c>
      <c r="B314" s="28">
        <v>46191</v>
      </c>
      <c r="C314" s="28" t="str">
        <f t="shared" si="64"/>
        <v>June</v>
      </c>
      <c r="D314" s="27" t="s">
        <v>47</v>
      </c>
      <c r="E314" s="27" t="s">
        <v>48</v>
      </c>
      <c r="F314" s="27" t="s">
        <v>49</v>
      </c>
      <c r="G314" s="27" t="s">
        <v>50</v>
      </c>
      <c r="H314" s="27" t="s">
        <v>51</v>
      </c>
      <c r="I314" s="27" t="s">
        <v>437</v>
      </c>
      <c r="J314" s="27" t="s">
        <v>59</v>
      </c>
      <c r="K314" s="27">
        <v>836</v>
      </c>
      <c r="L314" s="27">
        <v>953</v>
      </c>
      <c r="M314" s="27">
        <v>904</v>
      </c>
      <c r="N314" s="27">
        <v>49</v>
      </c>
      <c r="O314" s="27">
        <v>9</v>
      </c>
      <c r="P314" s="27">
        <v>8</v>
      </c>
      <c r="Q314" s="27" t="s">
        <v>82</v>
      </c>
      <c r="R314" s="27">
        <v>42</v>
      </c>
      <c r="S314" s="27">
        <v>40</v>
      </c>
      <c r="T314" s="29">
        <v>70.599999999999994</v>
      </c>
      <c r="U314" s="29">
        <v>1.54</v>
      </c>
      <c r="V314" s="29">
        <v>32.47</v>
      </c>
      <c r="W314" s="30">
        <v>17947.91</v>
      </c>
      <c r="X314" s="27">
        <v>11.42</v>
      </c>
      <c r="Y314" s="27" t="s">
        <v>55</v>
      </c>
      <c r="Z314" s="29">
        <v>22</v>
      </c>
      <c r="AA314" s="30">
        <v>29525.67</v>
      </c>
      <c r="AB314" s="29">
        <v>0.94858342077649505</v>
      </c>
      <c r="AC314" s="30">
        <v>23379.14</v>
      </c>
      <c r="AD314" s="30">
        <v>169.497576075551</v>
      </c>
      <c r="AE314" s="27">
        <v>585.20000000000005</v>
      </c>
      <c r="AF314" s="29">
        <v>0.98632946001367106</v>
      </c>
      <c r="AG314" s="30">
        <v>5977.0324239244501</v>
      </c>
      <c r="AH314" s="31">
        <f t="shared" si="65"/>
        <v>1.1399521531100478</v>
      </c>
      <c r="AI314" s="31">
        <f t="shared" si="66"/>
        <v>5.1416579223504719E-2</v>
      </c>
      <c r="AJ314" s="31">
        <f t="shared" si="67"/>
        <v>9.4438614900314802E-3</v>
      </c>
      <c r="AK314" s="31">
        <f t="shared" si="68"/>
        <v>0.94858342077649527</v>
      </c>
      <c r="AL314" s="29">
        <f t="shared" si="69"/>
        <v>0.13333333333333333</v>
      </c>
      <c r="AM314" s="29">
        <f t="shared" si="70"/>
        <v>577.20000000000005</v>
      </c>
      <c r="AN314" s="29">
        <f t="shared" si="71"/>
        <v>1.6510741510741509</v>
      </c>
      <c r="AO314" s="29">
        <f t="shared" si="72"/>
        <v>1.4285714285714286</v>
      </c>
      <c r="AP314" s="31">
        <f t="shared" si="73"/>
        <v>1.1557519057519057</v>
      </c>
      <c r="AQ314" s="31">
        <f t="shared" si="74"/>
        <v>0.94858342077649527</v>
      </c>
      <c r="AR314" s="31">
        <f t="shared" si="75"/>
        <v>1.0813397129186606</v>
      </c>
      <c r="AS314" s="29">
        <f t="shared" si="76"/>
        <v>24.532151101783839</v>
      </c>
      <c r="AT314" s="29">
        <f t="shared" si="77"/>
        <v>6.2718073703299577</v>
      </c>
      <c r="AU314" s="27" t="str">
        <f t="shared" si="78"/>
        <v>Low</v>
      </c>
      <c r="AV314" s="27" t="str">
        <f t="shared" si="79"/>
        <v>Normal</v>
      </c>
      <c r="AW314" s="27"/>
    </row>
    <row r="315" spans="1:49" x14ac:dyDescent="0.25">
      <c r="A315" s="27">
        <v>314</v>
      </c>
      <c r="B315" s="28">
        <v>46127</v>
      </c>
      <c r="C315" s="28" t="str">
        <f t="shared" si="64"/>
        <v>April</v>
      </c>
      <c r="D315" s="27" t="s">
        <v>67</v>
      </c>
      <c r="E315" s="27" t="s">
        <v>48</v>
      </c>
      <c r="F315" s="27" t="s">
        <v>49</v>
      </c>
      <c r="G315" s="27" t="s">
        <v>63</v>
      </c>
      <c r="H315" s="27" t="s">
        <v>124</v>
      </c>
      <c r="I315" s="27" t="s">
        <v>438</v>
      </c>
      <c r="J315" s="27" t="s">
        <v>175</v>
      </c>
      <c r="K315" s="27">
        <v>714</v>
      </c>
      <c r="L315" s="27">
        <v>631</v>
      </c>
      <c r="M315" s="27">
        <v>605</v>
      </c>
      <c r="N315" s="27">
        <v>26</v>
      </c>
      <c r="O315" s="27">
        <v>10</v>
      </c>
      <c r="P315" s="27">
        <v>19</v>
      </c>
      <c r="Q315" s="27" t="s">
        <v>97</v>
      </c>
      <c r="R315" s="27">
        <v>57</v>
      </c>
      <c r="S315" s="27">
        <v>59</v>
      </c>
      <c r="T315" s="29">
        <v>70</v>
      </c>
      <c r="U315" s="29">
        <v>2.46</v>
      </c>
      <c r="V315" s="29">
        <v>25.71</v>
      </c>
      <c r="W315" s="30">
        <v>16781.18</v>
      </c>
      <c r="X315" s="27">
        <v>8.3699999999999992</v>
      </c>
      <c r="Y315" s="27" t="s">
        <v>71</v>
      </c>
      <c r="Z315" s="29">
        <v>12</v>
      </c>
      <c r="AA315" s="30">
        <v>28526.3</v>
      </c>
      <c r="AB315" s="29">
        <v>0.95879556259904897</v>
      </c>
      <c r="AC315" s="30">
        <v>20779.07</v>
      </c>
      <c r="AD315" s="30">
        <v>265.94580031695699</v>
      </c>
      <c r="AE315" s="27">
        <v>678.3</v>
      </c>
      <c r="AF315" s="29">
        <v>0.97198879551820705</v>
      </c>
      <c r="AG315" s="30">
        <v>7481.2841996830402</v>
      </c>
      <c r="AH315" s="31">
        <f t="shared" si="65"/>
        <v>0.88375350140056019</v>
      </c>
      <c r="AI315" s="31">
        <f t="shared" si="66"/>
        <v>4.1204437400950873E-2</v>
      </c>
      <c r="AJ315" s="31">
        <f t="shared" si="67"/>
        <v>1.5847860538827259E-2</v>
      </c>
      <c r="AK315" s="31">
        <f t="shared" si="68"/>
        <v>0.95879556259904908</v>
      </c>
      <c r="AL315" s="29">
        <f t="shared" si="69"/>
        <v>0.31666666666666665</v>
      </c>
      <c r="AM315" s="29">
        <f t="shared" si="70"/>
        <v>659.3</v>
      </c>
      <c r="AN315" s="29">
        <f t="shared" si="71"/>
        <v>0.95707568633399065</v>
      </c>
      <c r="AO315" s="29">
        <f t="shared" si="72"/>
        <v>1.0526315789473684</v>
      </c>
      <c r="AP315" s="31">
        <f t="shared" si="73"/>
        <v>0.90922190201729114</v>
      </c>
      <c r="AQ315" s="31">
        <f t="shared" si="74"/>
        <v>0.95879556259904908</v>
      </c>
      <c r="AR315" s="31">
        <f t="shared" si="75"/>
        <v>0.84733893557422946</v>
      </c>
      <c r="AS315" s="29">
        <f t="shared" si="76"/>
        <v>32.930380348652932</v>
      </c>
      <c r="AT315" s="29">
        <f t="shared" si="77"/>
        <v>11.856234864790872</v>
      </c>
      <c r="AU315" s="27" t="str">
        <f t="shared" si="78"/>
        <v>High</v>
      </c>
      <c r="AV315" s="27" t="str">
        <f t="shared" si="79"/>
        <v>Warning</v>
      </c>
      <c r="AW315" s="27"/>
    </row>
    <row r="316" spans="1:49" x14ac:dyDescent="0.25">
      <c r="A316" s="27">
        <v>315</v>
      </c>
      <c r="B316" s="28">
        <v>46073</v>
      </c>
      <c r="C316" s="28" t="str">
        <f t="shared" si="64"/>
        <v>February</v>
      </c>
      <c r="D316" s="27" t="s">
        <v>47</v>
      </c>
      <c r="E316" s="27" t="s">
        <v>129</v>
      </c>
      <c r="F316" s="27" t="s">
        <v>151</v>
      </c>
      <c r="G316" s="27" t="s">
        <v>50</v>
      </c>
      <c r="H316" s="27" t="s">
        <v>124</v>
      </c>
      <c r="I316" s="27" t="s">
        <v>439</v>
      </c>
      <c r="J316" s="27" t="s">
        <v>164</v>
      </c>
      <c r="K316" s="27">
        <v>642</v>
      </c>
      <c r="L316" s="27">
        <v>576</v>
      </c>
      <c r="M316" s="27">
        <v>540</v>
      </c>
      <c r="N316" s="27">
        <v>36</v>
      </c>
      <c r="O316" s="27">
        <v>11</v>
      </c>
      <c r="P316" s="27">
        <v>36</v>
      </c>
      <c r="Q316" s="27" t="s">
        <v>97</v>
      </c>
      <c r="R316" s="27">
        <v>57</v>
      </c>
      <c r="S316" s="27">
        <v>61</v>
      </c>
      <c r="T316" s="29">
        <v>77.7</v>
      </c>
      <c r="U316" s="29">
        <v>2.89</v>
      </c>
      <c r="V316" s="29">
        <v>19.27</v>
      </c>
      <c r="W316" s="30">
        <v>16030.01</v>
      </c>
      <c r="X316" s="27">
        <v>7.76</v>
      </c>
      <c r="Y316" s="27" t="s">
        <v>55</v>
      </c>
      <c r="Z316" s="29">
        <v>45</v>
      </c>
      <c r="AA316" s="30">
        <v>24760.2</v>
      </c>
      <c r="AB316" s="29">
        <v>0.9375</v>
      </c>
      <c r="AC316" s="30">
        <v>19695.439999999999</v>
      </c>
      <c r="AD316" s="30">
        <v>306.12866319444402</v>
      </c>
      <c r="AE316" s="27">
        <v>609.9</v>
      </c>
      <c r="AF316" s="29">
        <v>0.94097393015248398</v>
      </c>
      <c r="AG316" s="30">
        <v>4758.6313368055498</v>
      </c>
      <c r="AH316" s="31">
        <f t="shared" si="65"/>
        <v>0.89719626168224298</v>
      </c>
      <c r="AI316" s="31">
        <f t="shared" si="66"/>
        <v>6.25E-2</v>
      </c>
      <c r="AJ316" s="31">
        <f t="shared" si="67"/>
        <v>1.9097222222222224E-2</v>
      </c>
      <c r="AK316" s="31">
        <f t="shared" si="68"/>
        <v>0.9375</v>
      </c>
      <c r="AL316" s="29">
        <f t="shared" si="69"/>
        <v>0.6</v>
      </c>
      <c r="AM316" s="29">
        <f t="shared" si="70"/>
        <v>573.9</v>
      </c>
      <c r="AN316" s="29">
        <f t="shared" si="71"/>
        <v>1.0036591740721381</v>
      </c>
      <c r="AO316" s="29">
        <f t="shared" si="72"/>
        <v>1.0526315789473684</v>
      </c>
      <c r="AP316" s="31">
        <f t="shared" si="73"/>
        <v>0.95347621536853122</v>
      </c>
      <c r="AQ316" s="31">
        <f t="shared" si="74"/>
        <v>0.9375</v>
      </c>
      <c r="AR316" s="31">
        <f t="shared" si="75"/>
        <v>0.8411214953271029</v>
      </c>
      <c r="AS316" s="29">
        <f t="shared" si="76"/>
        <v>34.193472222222219</v>
      </c>
      <c r="AT316" s="29">
        <f t="shared" si="77"/>
        <v>8.2615127375096353</v>
      </c>
      <c r="AU316" s="27" t="str">
        <f t="shared" si="78"/>
        <v>Medium</v>
      </c>
      <c r="AV316" s="27" t="str">
        <f t="shared" si="79"/>
        <v>Warning</v>
      </c>
      <c r="AW316" s="27"/>
    </row>
    <row r="317" spans="1:49" x14ac:dyDescent="0.25">
      <c r="A317" s="27">
        <v>316</v>
      </c>
      <c r="B317" s="28">
        <v>46054</v>
      </c>
      <c r="C317" s="28" t="str">
        <f t="shared" si="64"/>
        <v>February</v>
      </c>
      <c r="D317" s="27" t="s">
        <v>47</v>
      </c>
      <c r="E317" s="27" t="s">
        <v>48</v>
      </c>
      <c r="F317" s="27" t="s">
        <v>72</v>
      </c>
      <c r="G317" s="27" t="s">
        <v>50</v>
      </c>
      <c r="H317" s="27" t="s">
        <v>68</v>
      </c>
      <c r="I317" s="27" t="s">
        <v>440</v>
      </c>
      <c r="J317" s="27" t="s">
        <v>93</v>
      </c>
      <c r="K317" s="27">
        <v>650</v>
      </c>
      <c r="L317" s="27">
        <v>584</v>
      </c>
      <c r="M317" s="27">
        <v>559</v>
      </c>
      <c r="N317" s="27">
        <v>25</v>
      </c>
      <c r="O317" s="27">
        <v>6</v>
      </c>
      <c r="P317" s="27">
        <v>34</v>
      </c>
      <c r="Q317" s="27" t="s">
        <v>75</v>
      </c>
      <c r="R317" s="27">
        <v>64</v>
      </c>
      <c r="S317" s="27">
        <v>67</v>
      </c>
      <c r="T317" s="29">
        <v>78.900000000000006</v>
      </c>
      <c r="U317" s="29">
        <v>2.31</v>
      </c>
      <c r="V317" s="29">
        <v>20.57</v>
      </c>
      <c r="W317" s="30">
        <v>18651.39</v>
      </c>
      <c r="X317" s="27">
        <v>7.16</v>
      </c>
      <c r="Y317" s="27" t="s">
        <v>66</v>
      </c>
      <c r="Z317" s="29">
        <v>18</v>
      </c>
      <c r="AA317" s="30">
        <v>29346.57</v>
      </c>
      <c r="AB317" s="29">
        <v>0.95719178082191803</v>
      </c>
      <c r="AC317" s="30">
        <v>22058.52</v>
      </c>
      <c r="AD317" s="30">
        <v>191.62386986301399</v>
      </c>
      <c r="AE317" s="27">
        <v>693.33333333333303</v>
      </c>
      <c r="AF317" s="29">
        <v>0.95096153846153797</v>
      </c>
      <c r="AG317" s="30">
        <v>7096.4261301369897</v>
      </c>
      <c r="AH317" s="31">
        <f t="shared" si="65"/>
        <v>0.89846153846153842</v>
      </c>
      <c r="AI317" s="31">
        <f t="shared" si="66"/>
        <v>4.2808219178082189E-2</v>
      </c>
      <c r="AJ317" s="31">
        <f t="shared" si="67"/>
        <v>1.0273972602739725E-2</v>
      </c>
      <c r="AK317" s="31">
        <f t="shared" si="68"/>
        <v>0.9571917808219178</v>
      </c>
      <c r="AL317" s="29">
        <f t="shared" si="69"/>
        <v>0.56666666666666665</v>
      </c>
      <c r="AM317" s="29">
        <f t="shared" si="70"/>
        <v>659.33333333333303</v>
      </c>
      <c r="AN317" s="29">
        <f t="shared" si="71"/>
        <v>0.88574317492416621</v>
      </c>
      <c r="AO317" s="29">
        <f t="shared" si="72"/>
        <v>0.9375</v>
      </c>
      <c r="AP317" s="31">
        <f t="shared" si="73"/>
        <v>0.94479271991911062</v>
      </c>
      <c r="AQ317" s="31">
        <f t="shared" si="74"/>
        <v>0.9571917808219178</v>
      </c>
      <c r="AR317" s="31">
        <f t="shared" si="75"/>
        <v>0.86</v>
      </c>
      <c r="AS317" s="29">
        <f t="shared" si="76"/>
        <v>37.771438356164381</v>
      </c>
      <c r="AT317" s="29">
        <f t="shared" si="77"/>
        <v>12.151414606398955</v>
      </c>
      <c r="AU317" s="27" t="str">
        <f t="shared" si="78"/>
        <v>Low</v>
      </c>
      <c r="AV317" s="27" t="str">
        <f t="shared" si="79"/>
        <v>Normal</v>
      </c>
      <c r="AW317" s="27"/>
    </row>
    <row r="318" spans="1:49" x14ac:dyDescent="0.25">
      <c r="A318" s="27">
        <v>317</v>
      </c>
      <c r="B318" s="28">
        <v>46025</v>
      </c>
      <c r="C318" s="28" t="str">
        <f t="shared" si="64"/>
        <v>January</v>
      </c>
      <c r="D318" s="27" t="s">
        <v>67</v>
      </c>
      <c r="E318" s="27" t="s">
        <v>61</v>
      </c>
      <c r="F318" s="27" t="s">
        <v>62</v>
      </c>
      <c r="G318" s="27" t="s">
        <v>78</v>
      </c>
      <c r="H318" s="27" t="s">
        <v>68</v>
      </c>
      <c r="I318" s="27" t="s">
        <v>441</v>
      </c>
      <c r="J318" s="27" t="s">
        <v>53</v>
      </c>
      <c r="K318" s="27">
        <v>536</v>
      </c>
      <c r="L318" s="27">
        <v>508</v>
      </c>
      <c r="M318" s="27">
        <v>474</v>
      </c>
      <c r="N318" s="27">
        <v>34</v>
      </c>
      <c r="O318" s="27">
        <v>13</v>
      </c>
      <c r="P318" s="27">
        <v>17</v>
      </c>
      <c r="Q318" s="27" t="s">
        <v>94</v>
      </c>
      <c r="R318" s="27">
        <v>64</v>
      </c>
      <c r="S318" s="27">
        <v>69</v>
      </c>
      <c r="T318" s="29">
        <v>72.5</v>
      </c>
      <c r="U318" s="29">
        <v>1.92</v>
      </c>
      <c r="V318" s="29">
        <v>16</v>
      </c>
      <c r="W318" s="30">
        <v>15474.72</v>
      </c>
      <c r="X318" s="27">
        <v>8.33</v>
      </c>
      <c r="Y318" s="27" t="s">
        <v>110</v>
      </c>
      <c r="Z318" s="29">
        <v>22</v>
      </c>
      <c r="AA318" s="30">
        <v>24183.52</v>
      </c>
      <c r="AB318" s="29">
        <v>0.93307086614173196</v>
      </c>
      <c r="AC318" s="30">
        <v>19367.22</v>
      </c>
      <c r="AD318" s="30">
        <v>396.006614173228</v>
      </c>
      <c r="AE318" s="27">
        <v>571.73333333333301</v>
      </c>
      <c r="AF318" s="29">
        <v>0.97026585820895495</v>
      </c>
      <c r="AG318" s="30">
        <v>4420.2933858267697</v>
      </c>
      <c r="AH318" s="31">
        <f t="shared" si="65"/>
        <v>0.94776119402985071</v>
      </c>
      <c r="AI318" s="31">
        <f t="shared" si="66"/>
        <v>6.6929133858267723E-2</v>
      </c>
      <c r="AJ318" s="31">
        <f t="shared" si="67"/>
        <v>2.5590551181102362E-2</v>
      </c>
      <c r="AK318" s="31">
        <f t="shared" si="68"/>
        <v>0.93307086614173229</v>
      </c>
      <c r="AL318" s="29">
        <f t="shared" si="69"/>
        <v>0.28333333333333333</v>
      </c>
      <c r="AM318" s="29">
        <f t="shared" si="70"/>
        <v>554.73333333333301</v>
      </c>
      <c r="AN318" s="29">
        <f t="shared" si="71"/>
        <v>0.91575531787044884</v>
      </c>
      <c r="AO318" s="29">
        <f t="shared" si="72"/>
        <v>0.9375</v>
      </c>
      <c r="AP318" s="31">
        <f t="shared" si="73"/>
        <v>0.97680567239514537</v>
      </c>
      <c r="AQ318" s="31">
        <f t="shared" si="74"/>
        <v>0.93307086614173229</v>
      </c>
      <c r="AR318" s="31">
        <f t="shared" si="75"/>
        <v>0.8843283582089555</v>
      </c>
      <c r="AS318" s="29">
        <f t="shared" si="76"/>
        <v>38.12444881889764</v>
      </c>
      <c r="AT318" s="29">
        <f t="shared" si="77"/>
        <v>8.7013649327298612</v>
      </c>
      <c r="AU318" s="27" t="str">
        <f t="shared" si="78"/>
        <v>Medium</v>
      </c>
      <c r="AV318" s="27" t="str">
        <f t="shared" si="79"/>
        <v>Normal</v>
      </c>
      <c r="AW318" s="27"/>
    </row>
    <row r="319" spans="1:49" x14ac:dyDescent="0.25">
      <c r="A319" s="27">
        <v>318</v>
      </c>
      <c r="B319" s="28">
        <v>46058</v>
      </c>
      <c r="C319" s="28" t="str">
        <f t="shared" si="64"/>
        <v>February</v>
      </c>
      <c r="D319" s="27" t="s">
        <v>47</v>
      </c>
      <c r="E319" s="27" t="s">
        <v>48</v>
      </c>
      <c r="F319" s="27" t="s">
        <v>72</v>
      </c>
      <c r="G319" s="27" t="s">
        <v>50</v>
      </c>
      <c r="H319" s="27" t="s">
        <v>79</v>
      </c>
      <c r="I319" s="27" t="s">
        <v>442</v>
      </c>
      <c r="J319" s="27" t="s">
        <v>170</v>
      </c>
      <c r="K319" s="27">
        <v>779</v>
      </c>
      <c r="L319" s="27">
        <v>803</v>
      </c>
      <c r="M319" s="27">
        <v>769</v>
      </c>
      <c r="N319" s="27">
        <v>34</v>
      </c>
      <c r="O319" s="27">
        <v>11</v>
      </c>
      <c r="P319" s="27">
        <v>11</v>
      </c>
      <c r="Q319" s="27" t="s">
        <v>104</v>
      </c>
      <c r="R319" s="27">
        <v>49</v>
      </c>
      <c r="S319" s="27">
        <v>51</v>
      </c>
      <c r="T319" s="29">
        <v>68.599999999999994</v>
      </c>
      <c r="U319" s="29">
        <v>3.19</v>
      </c>
      <c r="V319" s="29">
        <v>24.48</v>
      </c>
      <c r="W319" s="30">
        <v>18342.64</v>
      </c>
      <c r="X319" s="27">
        <v>9.32</v>
      </c>
      <c r="Y319" s="27" t="s">
        <v>55</v>
      </c>
      <c r="Z319" s="29">
        <v>8</v>
      </c>
      <c r="AA319" s="30">
        <v>28948.16</v>
      </c>
      <c r="AB319" s="29">
        <v>0.95765877957658796</v>
      </c>
      <c r="AC319" s="30">
        <v>22756.959999999999</v>
      </c>
      <c r="AD319" s="30">
        <v>251.26904109589</v>
      </c>
      <c r="AE319" s="27">
        <v>636.18333333333305</v>
      </c>
      <c r="AF319" s="29">
        <v>0.98270938670718599</v>
      </c>
      <c r="AG319" s="30">
        <v>5939.9309589041104</v>
      </c>
      <c r="AH319" s="31">
        <f t="shared" si="65"/>
        <v>1.0308087291399231</v>
      </c>
      <c r="AI319" s="31">
        <f t="shared" si="66"/>
        <v>4.2341220423412207E-2</v>
      </c>
      <c r="AJ319" s="31">
        <f t="shared" si="67"/>
        <v>1.3698630136986301E-2</v>
      </c>
      <c r="AK319" s="31">
        <f t="shared" si="68"/>
        <v>0.95765877957658785</v>
      </c>
      <c r="AL319" s="29">
        <f t="shared" si="69"/>
        <v>0.18333333333333332</v>
      </c>
      <c r="AM319" s="29">
        <f t="shared" si="70"/>
        <v>625.18333333333305</v>
      </c>
      <c r="AN319" s="29">
        <f t="shared" si="71"/>
        <v>1.2844232358508176</v>
      </c>
      <c r="AO319" s="29">
        <f t="shared" si="72"/>
        <v>1.2244897959183674</v>
      </c>
      <c r="AP319" s="31">
        <f t="shared" si="73"/>
        <v>1.0489456426115011</v>
      </c>
      <c r="AQ319" s="31">
        <f t="shared" si="74"/>
        <v>0.95765877957658785</v>
      </c>
      <c r="AR319" s="31">
        <f t="shared" si="75"/>
        <v>0.98716302952503265</v>
      </c>
      <c r="AS319" s="29">
        <f t="shared" si="76"/>
        <v>28.339925280199253</v>
      </c>
      <c r="AT319" s="29">
        <f t="shared" si="77"/>
        <v>7.3971742950237989</v>
      </c>
      <c r="AU319" s="27" t="str">
        <f t="shared" si="78"/>
        <v>Medium</v>
      </c>
      <c r="AV319" s="27" t="str">
        <f t="shared" si="79"/>
        <v>Warning</v>
      </c>
      <c r="AW319" s="27"/>
    </row>
    <row r="320" spans="1:49" x14ac:dyDescent="0.25">
      <c r="A320" s="27">
        <v>319</v>
      </c>
      <c r="B320" s="28">
        <v>46074</v>
      </c>
      <c r="C320" s="28" t="str">
        <f t="shared" si="64"/>
        <v>February</v>
      </c>
      <c r="D320" s="27" t="s">
        <v>47</v>
      </c>
      <c r="E320" s="27" t="s">
        <v>48</v>
      </c>
      <c r="F320" s="27" t="s">
        <v>56</v>
      </c>
      <c r="G320" s="27" t="s">
        <v>50</v>
      </c>
      <c r="H320" s="27" t="s">
        <v>124</v>
      </c>
      <c r="I320" s="27" t="s">
        <v>443</v>
      </c>
      <c r="J320" s="27" t="s">
        <v>117</v>
      </c>
      <c r="K320" s="27">
        <v>673</v>
      </c>
      <c r="L320" s="27">
        <v>707</v>
      </c>
      <c r="M320" s="27">
        <v>669</v>
      </c>
      <c r="N320" s="27">
        <v>38</v>
      </c>
      <c r="O320" s="27">
        <v>15</v>
      </c>
      <c r="P320" s="27">
        <v>7</v>
      </c>
      <c r="Q320" s="27" t="s">
        <v>75</v>
      </c>
      <c r="R320" s="27">
        <v>57</v>
      </c>
      <c r="S320" s="27">
        <v>57</v>
      </c>
      <c r="T320" s="29">
        <v>74.099999999999994</v>
      </c>
      <c r="U320" s="29">
        <v>2.78</v>
      </c>
      <c r="V320" s="29">
        <v>26.11</v>
      </c>
      <c r="W320" s="30">
        <v>19364.43</v>
      </c>
      <c r="X320" s="27">
        <v>8.3000000000000007</v>
      </c>
      <c r="Y320" s="27" t="s">
        <v>66</v>
      </c>
      <c r="Z320" s="29">
        <v>33</v>
      </c>
      <c r="AA320" s="30">
        <v>31269.49</v>
      </c>
      <c r="AB320" s="29">
        <v>0.94625176803394595</v>
      </c>
      <c r="AC320" s="30">
        <v>23334.42</v>
      </c>
      <c r="AD320" s="30">
        <v>410.84363507779301</v>
      </c>
      <c r="AE320" s="27">
        <v>639.35</v>
      </c>
      <c r="AF320" s="29">
        <v>0.98905138030812501</v>
      </c>
      <c r="AG320" s="30">
        <v>7524.2263649222105</v>
      </c>
      <c r="AH320" s="31">
        <f t="shared" si="65"/>
        <v>1.0505200594353641</v>
      </c>
      <c r="AI320" s="31">
        <f t="shared" si="66"/>
        <v>5.3748231966053751E-2</v>
      </c>
      <c r="AJ320" s="31">
        <f t="shared" si="67"/>
        <v>2.1216407355021217E-2</v>
      </c>
      <c r="AK320" s="31">
        <f t="shared" si="68"/>
        <v>0.94625176803394628</v>
      </c>
      <c r="AL320" s="29">
        <f t="shared" si="69"/>
        <v>0.11666666666666667</v>
      </c>
      <c r="AM320" s="29">
        <f t="shared" si="70"/>
        <v>632.35</v>
      </c>
      <c r="AN320" s="29">
        <f t="shared" si="71"/>
        <v>1.1180517118684272</v>
      </c>
      <c r="AO320" s="29">
        <f t="shared" si="72"/>
        <v>1.0526315789473684</v>
      </c>
      <c r="AP320" s="31">
        <f t="shared" si="73"/>
        <v>1.062149126275006</v>
      </c>
      <c r="AQ320" s="31">
        <f t="shared" si="74"/>
        <v>0.94625176803394628</v>
      </c>
      <c r="AR320" s="31">
        <f t="shared" si="75"/>
        <v>0.99405646359583921</v>
      </c>
      <c r="AS320" s="29">
        <f t="shared" si="76"/>
        <v>33.004837340876939</v>
      </c>
      <c r="AT320" s="29">
        <f t="shared" si="77"/>
        <v>10.642470105972009</v>
      </c>
      <c r="AU320" s="27" t="str">
        <f t="shared" si="78"/>
        <v>Medium</v>
      </c>
      <c r="AV320" s="27" t="str">
        <f t="shared" si="79"/>
        <v>Normal</v>
      </c>
      <c r="AW320" s="27"/>
    </row>
    <row r="321" spans="1:49" x14ac:dyDescent="0.25">
      <c r="A321" s="27">
        <v>320</v>
      </c>
      <c r="B321" s="28">
        <v>46107</v>
      </c>
      <c r="C321" s="28" t="str">
        <f t="shared" si="64"/>
        <v>March</v>
      </c>
      <c r="D321" s="27" t="s">
        <v>67</v>
      </c>
      <c r="E321" s="27" t="s">
        <v>98</v>
      </c>
      <c r="F321" s="27" t="s">
        <v>99</v>
      </c>
      <c r="G321" s="27" t="s">
        <v>50</v>
      </c>
      <c r="H321" s="27" t="s">
        <v>68</v>
      </c>
      <c r="I321" s="27" t="s">
        <v>444</v>
      </c>
      <c r="J321" s="27" t="s">
        <v>155</v>
      </c>
      <c r="K321" s="27">
        <v>452</v>
      </c>
      <c r="L321" s="27">
        <v>402</v>
      </c>
      <c r="M321" s="27">
        <v>384</v>
      </c>
      <c r="N321" s="27">
        <v>18</v>
      </c>
      <c r="O321" s="27">
        <v>3</v>
      </c>
      <c r="P321" s="27">
        <v>28</v>
      </c>
      <c r="Q321" s="27" t="s">
        <v>75</v>
      </c>
      <c r="R321" s="27">
        <v>64</v>
      </c>
      <c r="S321" s="27">
        <v>63</v>
      </c>
      <c r="T321" s="29">
        <v>64.7</v>
      </c>
      <c r="U321" s="29">
        <v>1.66</v>
      </c>
      <c r="V321" s="29">
        <v>15</v>
      </c>
      <c r="W321" s="30">
        <v>13038.32</v>
      </c>
      <c r="X321" s="27">
        <v>8.51</v>
      </c>
      <c r="Y321" s="27" t="s">
        <v>55</v>
      </c>
      <c r="Z321" s="29">
        <v>5</v>
      </c>
      <c r="AA321" s="30">
        <v>20033.3</v>
      </c>
      <c r="AB321" s="29">
        <v>0.95522388059701502</v>
      </c>
      <c r="AC321" s="30">
        <v>17002.82</v>
      </c>
      <c r="AD321" s="30">
        <v>97.300895522388103</v>
      </c>
      <c r="AE321" s="27">
        <v>482.13333333333298</v>
      </c>
      <c r="AF321" s="29">
        <v>0.94192477876106195</v>
      </c>
      <c r="AG321" s="30">
        <v>2933.1791044776101</v>
      </c>
      <c r="AH321" s="31">
        <f t="shared" si="65"/>
        <v>0.88938053097345138</v>
      </c>
      <c r="AI321" s="31">
        <f t="shared" si="66"/>
        <v>4.4776119402985072E-2</v>
      </c>
      <c r="AJ321" s="31">
        <f t="shared" si="67"/>
        <v>7.462686567164179E-3</v>
      </c>
      <c r="AK321" s="31">
        <f t="shared" si="68"/>
        <v>0.95522388059701491</v>
      </c>
      <c r="AL321" s="29">
        <f t="shared" si="69"/>
        <v>0.46666666666666667</v>
      </c>
      <c r="AM321" s="29">
        <f t="shared" si="70"/>
        <v>454.13333333333298</v>
      </c>
      <c r="AN321" s="29">
        <f t="shared" si="71"/>
        <v>0.88520258367586679</v>
      </c>
      <c r="AO321" s="29">
        <f t="shared" si="72"/>
        <v>0.9375</v>
      </c>
      <c r="AP321" s="31">
        <f t="shared" si="73"/>
        <v>0.94421608925425793</v>
      </c>
      <c r="AQ321" s="31">
        <f t="shared" si="74"/>
        <v>0.95522388059701491</v>
      </c>
      <c r="AR321" s="31">
        <f t="shared" si="75"/>
        <v>0.84955752212389446</v>
      </c>
      <c r="AS321" s="29">
        <f t="shared" si="76"/>
        <v>42.295572139303481</v>
      </c>
      <c r="AT321" s="29">
        <f t="shared" si="77"/>
        <v>7.2964654340239052</v>
      </c>
      <c r="AU321" s="27" t="str">
        <f t="shared" si="78"/>
        <v>Medium</v>
      </c>
      <c r="AV321" s="27" t="str">
        <f t="shared" si="79"/>
        <v>Warning</v>
      </c>
      <c r="AW321" s="27"/>
    </row>
    <row r="322" spans="1:49" x14ac:dyDescent="0.25">
      <c r="A322" s="27">
        <v>321</v>
      </c>
      <c r="B322" s="28">
        <v>46068</v>
      </c>
      <c r="C322" s="28" t="str">
        <f t="shared" ref="C322:C385" si="80">TEXT(B322,"mmmm")</f>
        <v>February</v>
      </c>
      <c r="D322" s="27" t="s">
        <v>47</v>
      </c>
      <c r="E322" s="27" t="s">
        <v>48</v>
      </c>
      <c r="F322" s="27" t="s">
        <v>72</v>
      </c>
      <c r="G322" s="27" t="s">
        <v>78</v>
      </c>
      <c r="H322" s="27" t="s">
        <v>68</v>
      </c>
      <c r="I322" s="27" t="s">
        <v>445</v>
      </c>
      <c r="J322" s="27" t="s">
        <v>164</v>
      </c>
      <c r="K322" s="27">
        <v>662</v>
      </c>
      <c r="L322" s="27">
        <v>576</v>
      </c>
      <c r="M322" s="27">
        <v>542</v>
      </c>
      <c r="N322" s="27">
        <v>34</v>
      </c>
      <c r="O322" s="27">
        <v>14</v>
      </c>
      <c r="P322" s="27">
        <v>39</v>
      </c>
      <c r="Q322" s="27" t="s">
        <v>54</v>
      </c>
      <c r="R322" s="27">
        <v>64</v>
      </c>
      <c r="S322" s="27">
        <v>72</v>
      </c>
      <c r="T322" s="29">
        <v>75.5</v>
      </c>
      <c r="U322" s="29">
        <v>2.2799999999999998</v>
      </c>
      <c r="V322" s="29">
        <v>26.34</v>
      </c>
      <c r="W322" s="30">
        <v>18666.78</v>
      </c>
      <c r="X322" s="27">
        <v>6.45</v>
      </c>
      <c r="Y322" s="27" t="s">
        <v>55</v>
      </c>
      <c r="Z322" s="29">
        <v>8</v>
      </c>
      <c r="AA322" s="30">
        <v>28901.26</v>
      </c>
      <c r="AB322" s="29">
        <v>0.94097222222222199</v>
      </c>
      <c r="AC322" s="30">
        <v>21806.34</v>
      </c>
      <c r="AD322" s="30">
        <v>453.70645833333299</v>
      </c>
      <c r="AE322" s="27">
        <v>706.13333333333298</v>
      </c>
      <c r="AF322" s="29">
        <v>0.94476963746223597</v>
      </c>
      <c r="AG322" s="30">
        <v>6641.2135416666697</v>
      </c>
      <c r="AH322" s="31">
        <f t="shared" ref="AH322:AH385" si="81">IFERROR(L322/K322,0)</f>
        <v>0.87009063444108758</v>
      </c>
      <c r="AI322" s="31">
        <f t="shared" ref="AI322:AI385" si="82">IFERROR(N322/L322,0)</f>
        <v>5.9027777777777776E-2</v>
      </c>
      <c r="AJ322" s="31">
        <f t="shared" ref="AJ322:AJ385" si="83">IFERROR(O322/L322,0)</f>
        <v>2.4305555555555556E-2</v>
      </c>
      <c r="AK322" s="31">
        <f t="shared" ref="AK322:AK385" si="84">IFERROR(M322/L322,0)</f>
        <v>0.94097222222222221</v>
      </c>
      <c r="AL322" s="29">
        <f t="shared" ref="AL322:AL385" si="85">P322/60</f>
        <v>0.65</v>
      </c>
      <c r="AM322" s="29">
        <f t="shared" ref="AM322:AM385" si="86">MAX(0,AE322-P322)</f>
        <v>667.13333333333298</v>
      </c>
      <c r="AN322" s="29">
        <f t="shared" ref="AN322:AN385" si="87">IFERROR(L322/AM322,0)</f>
        <v>0.86339562306385575</v>
      </c>
      <c r="AO322" s="29">
        <f t="shared" ref="AO322:AO385" si="88">IFERROR(60/R322,0)</f>
        <v>0.9375</v>
      </c>
      <c r="AP322" s="31">
        <f t="shared" ref="AP322:AP385" si="89">IFERROR(AN322/AO322,0)</f>
        <v>0.9209553312681128</v>
      </c>
      <c r="AQ322" s="31">
        <f t="shared" ref="AQ322:AQ385" si="90">IFERROR(M322/L322,0)</f>
        <v>0.94097222222222221</v>
      </c>
      <c r="AR322" s="31">
        <f t="shared" ref="AR322:AR385" si="91">AF322*AP322*AQ322</f>
        <v>0.81873111782477415</v>
      </c>
      <c r="AS322" s="29">
        <f t="shared" ref="AS322:AS385" si="92">IFERROR(AC322/L322,0)</f>
        <v>37.858229166666668</v>
      </c>
      <c r="AT322" s="29">
        <f t="shared" ref="AT322:AT385" si="93">IFERROR(AG322/L322,0)</f>
        <v>11.52988462094908</v>
      </c>
      <c r="AU322" s="27" t="str">
        <f t="shared" ref="AU322:AU385" si="94">IF(OR(Y322="Overdue",P322&gt;=120,T322&gt;=85,U322&gt;=4,AI322&gt;=0.12,AR322&lt;0.8),"High",IF(OR(Y322="Pending",Z322&gt;=30,P322&gt;=60,T322&gt;=80,U322&gt;=3,AI322&gt;=0.08,AR322&lt;0.85),"Medium","Low"))</f>
        <v>Medium</v>
      </c>
      <c r="AV322" s="27" t="str">
        <f t="shared" ref="AV322:AV385" si="95">IF(OR(P322&gt;=120,T322&gt;=90,U322&gt;=4.5,AI322&gt;=0.15,AR322&lt;0.75),"Critical",IF(OR(P322&gt;=60,T322&gt;=80,U322&gt;=3,AI322&gt;=0.08,AR322&lt;0.85),"Warning","Normal"))</f>
        <v>Warning</v>
      </c>
      <c r="AW322" s="27"/>
    </row>
    <row r="323" spans="1:49" x14ac:dyDescent="0.25">
      <c r="A323" s="27">
        <v>322</v>
      </c>
      <c r="B323" s="28">
        <v>46071</v>
      </c>
      <c r="C323" s="28" t="str">
        <f t="shared" si="80"/>
        <v>February</v>
      </c>
      <c r="D323" s="27" t="s">
        <v>47</v>
      </c>
      <c r="E323" s="27" t="s">
        <v>76</v>
      </c>
      <c r="F323" s="27" t="s">
        <v>119</v>
      </c>
      <c r="G323" s="27" t="s">
        <v>63</v>
      </c>
      <c r="H323" s="27" t="s">
        <v>79</v>
      </c>
      <c r="I323" s="27" t="s">
        <v>446</v>
      </c>
      <c r="J323" s="27" t="s">
        <v>74</v>
      </c>
      <c r="K323" s="27">
        <v>745</v>
      </c>
      <c r="L323" s="27">
        <v>709</v>
      </c>
      <c r="M323" s="27">
        <v>645</v>
      </c>
      <c r="N323" s="27">
        <v>64</v>
      </c>
      <c r="O323" s="27">
        <v>13</v>
      </c>
      <c r="P323" s="27">
        <v>27</v>
      </c>
      <c r="Q323" s="27" t="s">
        <v>75</v>
      </c>
      <c r="R323" s="27">
        <v>49</v>
      </c>
      <c r="S323" s="27">
        <v>50</v>
      </c>
      <c r="T323" s="29">
        <v>72.099999999999994</v>
      </c>
      <c r="U323" s="29">
        <v>2.78</v>
      </c>
      <c r="V323" s="29">
        <v>26.11</v>
      </c>
      <c r="W323" s="30">
        <v>15577.39</v>
      </c>
      <c r="X323" s="27">
        <v>9.14</v>
      </c>
      <c r="Y323" s="27" t="s">
        <v>66</v>
      </c>
      <c r="Z323" s="29">
        <v>7</v>
      </c>
      <c r="AA323" s="30">
        <v>24937.94</v>
      </c>
      <c r="AB323" s="29">
        <v>0.90973201692524697</v>
      </c>
      <c r="AC323" s="30">
        <v>19925.38</v>
      </c>
      <c r="AD323" s="30">
        <v>285.62210155148102</v>
      </c>
      <c r="AE323" s="27">
        <v>608.41666666666697</v>
      </c>
      <c r="AF323" s="29">
        <v>0.95562251746336102</v>
      </c>
      <c r="AG323" s="30">
        <v>4726.9378984485202</v>
      </c>
      <c r="AH323" s="31">
        <f t="shared" si="81"/>
        <v>0.95167785234899327</v>
      </c>
      <c r="AI323" s="31">
        <f t="shared" si="82"/>
        <v>9.0267983074753172E-2</v>
      </c>
      <c r="AJ323" s="31">
        <f t="shared" si="83"/>
        <v>1.8335684062059238E-2</v>
      </c>
      <c r="AK323" s="31">
        <f t="shared" si="84"/>
        <v>0.90973201692524686</v>
      </c>
      <c r="AL323" s="29">
        <f t="shared" si="85"/>
        <v>0.45</v>
      </c>
      <c r="AM323" s="29">
        <f t="shared" si="86"/>
        <v>581.41666666666697</v>
      </c>
      <c r="AN323" s="29">
        <f t="shared" si="87"/>
        <v>1.2194352873727956</v>
      </c>
      <c r="AO323" s="29">
        <f t="shared" si="88"/>
        <v>1.2244897959183674</v>
      </c>
      <c r="AP323" s="31">
        <f t="shared" si="89"/>
        <v>0.99587215135444973</v>
      </c>
      <c r="AQ323" s="31">
        <f t="shared" si="90"/>
        <v>0.90973201692524686</v>
      </c>
      <c r="AR323" s="31">
        <f t="shared" si="91"/>
        <v>0.86577181208053622</v>
      </c>
      <c r="AS323" s="29">
        <f t="shared" si="92"/>
        <v>28.103497884344147</v>
      </c>
      <c r="AT323" s="29">
        <f t="shared" si="93"/>
        <v>6.6670492220712552</v>
      </c>
      <c r="AU323" s="27" t="str">
        <f t="shared" si="94"/>
        <v>Medium</v>
      </c>
      <c r="AV323" s="27" t="str">
        <f t="shared" si="95"/>
        <v>Warning</v>
      </c>
      <c r="AW323" s="27"/>
    </row>
    <row r="324" spans="1:49" x14ac:dyDescent="0.25">
      <c r="A324" s="27">
        <v>323</v>
      </c>
      <c r="B324" s="28">
        <v>46180</v>
      </c>
      <c r="C324" s="28" t="str">
        <f t="shared" si="80"/>
        <v>June</v>
      </c>
      <c r="D324" s="27" t="s">
        <v>47</v>
      </c>
      <c r="E324" s="27" t="s">
        <v>98</v>
      </c>
      <c r="F324" s="27" t="s">
        <v>126</v>
      </c>
      <c r="G324" s="27" t="s">
        <v>50</v>
      </c>
      <c r="H324" s="27" t="s">
        <v>68</v>
      </c>
      <c r="I324" s="27" t="s">
        <v>447</v>
      </c>
      <c r="J324" s="27" t="s">
        <v>81</v>
      </c>
      <c r="K324" s="27">
        <v>545</v>
      </c>
      <c r="L324" s="27">
        <v>498</v>
      </c>
      <c r="M324" s="27">
        <v>456</v>
      </c>
      <c r="N324" s="27">
        <v>42</v>
      </c>
      <c r="O324" s="27">
        <v>8</v>
      </c>
      <c r="P324" s="27">
        <v>26</v>
      </c>
      <c r="Q324" s="27" t="s">
        <v>91</v>
      </c>
      <c r="R324" s="27">
        <v>64</v>
      </c>
      <c r="S324" s="27">
        <v>68</v>
      </c>
      <c r="T324" s="29">
        <v>72.099999999999994</v>
      </c>
      <c r="U324" s="29">
        <v>1.28</v>
      </c>
      <c r="V324" s="29">
        <v>16.489999999999998</v>
      </c>
      <c r="W324" s="30">
        <v>16110.79</v>
      </c>
      <c r="X324" s="27">
        <v>7.77</v>
      </c>
      <c r="Y324" s="27" t="s">
        <v>55</v>
      </c>
      <c r="Z324" s="29">
        <v>13</v>
      </c>
      <c r="AA324" s="30">
        <v>24265.02</v>
      </c>
      <c r="AB324" s="29">
        <v>0.91566265060241003</v>
      </c>
      <c r="AC324" s="30">
        <v>19755.7</v>
      </c>
      <c r="AD324" s="30">
        <v>258.80787148594402</v>
      </c>
      <c r="AE324" s="27">
        <v>581.33333333333303</v>
      </c>
      <c r="AF324" s="29">
        <v>0.95527522935779796</v>
      </c>
      <c r="AG324" s="30">
        <v>4250.5121285140604</v>
      </c>
      <c r="AH324" s="31">
        <f t="shared" si="81"/>
        <v>0.91376146788990831</v>
      </c>
      <c r="AI324" s="31">
        <f t="shared" si="82"/>
        <v>8.4337349397590355E-2</v>
      </c>
      <c r="AJ324" s="31">
        <f t="shared" si="83"/>
        <v>1.6064257028112448E-2</v>
      </c>
      <c r="AK324" s="31">
        <f t="shared" si="84"/>
        <v>0.91566265060240959</v>
      </c>
      <c r="AL324" s="29">
        <f t="shared" si="85"/>
        <v>0.43333333333333335</v>
      </c>
      <c r="AM324" s="29">
        <f t="shared" si="86"/>
        <v>555.33333333333303</v>
      </c>
      <c r="AN324" s="29">
        <f t="shared" si="87"/>
        <v>0.89675870348139308</v>
      </c>
      <c r="AO324" s="29">
        <f t="shared" si="88"/>
        <v>0.9375</v>
      </c>
      <c r="AP324" s="31">
        <f t="shared" si="89"/>
        <v>0.95654261704681931</v>
      </c>
      <c r="AQ324" s="31">
        <f t="shared" si="90"/>
        <v>0.91566265060240959</v>
      </c>
      <c r="AR324" s="31">
        <f t="shared" si="91"/>
        <v>0.83669724770642229</v>
      </c>
      <c r="AS324" s="29">
        <f t="shared" si="92"/>
        <v>39.670080321285141</v>
      </c>
      <c r="AT324" s="29">
        <f t="shared" si="93"/>
        <v>8.5351649166948995</v>
      </c>
      <c r="AU324" s="27" t="str">
        <f t="shared" si="94"/>
        <v>Medium</v>
      </c>
      <c r="AV324" s="27" t="str">
        <f t="shared" si="95"/>
        <v>Warning</v>
      </c>
      <c r="AW324" s="27"/>
    </row>
    <row r="325" spans="1:49" x14ac:dyDescent="0.25">
      <c r="A325" s="27">
        <v>324</v>
      </c>
      <c r="B325" s="28">
        <v>46169</v>
      </c>
      <c r="C325" s="28" t="str">
        <f t="shared" si="80"/>
        <v>May</v>
      </c>
      <c r="D325" s="27" t="s">
        <v>47</v>
      </c>
      <c r="E325" s="27" t="s">
        <v>129</v>
      </c>
      <c r="F325" s="27" t="s">
        <v>151</v>
      </c>
      <c r="G325" s="27" t="s">
        <v>63</v>
      </c>
      <c r="H325" s="27" t="s">
        <v>51</v>
      </c>
      <c r="I325" s="27" t="s">
        <v>448</v>
      </c>
      <c r="J325" s="27" t="s">
        <v>140</v>
      </c>
      <c r="K325" s="27">
        <v>871</v>
      </c>
      <c r="L325" s="27">
        <v>811</v>
      </c>
      <c r="M325" s="27">
        <v>768</v>
      </c>
      <c r="N325" s="27">
        <v>43</v>
      </c>
      <c r="O325" s="27">
        <v>16</v>
      </c>
      <c r="P325" s="27">
        <v>15</v>
      </c>
      <c r="Q325" s="27" t="s">
        <v>104</v>
      </c>
      <c r="R325" s="27">
        <v>42</v>
      </c>
      <c r="S325" s="27">
        <v>44</v>
      </c>
      <c r="T325" s="29">
        <v>67</v>
      </c>
      <c r="U325" s="29">
        <v>2.2999999999999998</v>
      </c>
      <c r="V325" s="29">
        <v>26.8</v>
      </c>
      <c r="W325" s="30">
        <v>14426.58</v>
      </c>
      <c r="X325" s="27">
        <v>7.42</v>
      </c>
      <c r="Y325" s="27" t="s">
        <v>110</v>
      </c>
      <c r="Z325" s="29">
        <v>39</v>
      </c>
      <c r="AA325" s="30">
        <v>24368.22</v>
      </c>
      <c r="AB325" s="29">
        <v>0.94697903822441398</v>
      </c>
      <c r="AC325" s="30">
        <v>18006.78</v>
      </c>
      <c r="AD325" s="30">
        <v>284.61810110974102</v>
      </c>
      <c r="AE325" s="27">
        <v>609.70000000000005</v>
      </c>
      <c r="AF325" s="29">
        <v>0.97539773659176598</v>
      </c>
      <c r="AG325" s="30">
        <v>6076.8218988902599</v>
      </c>
      <c r="AH325" s="31">
        <f t="shared" si="81"/>
        <v>0.93111366245694605</v>
      </c>
      <c r="AI325" s="31">
        <f t="shared" si="82"/>
        <v>5.3020961775585698E-2</v>
      </c>
      <c r="AJ325" s="31">
        <f t="shared" si="83"/>
        <v>1.9728729963008632E-2</v>
      </c>
      <c r="AK325" s="31">
        <f t="shared" si="84"/>
        <v>0.94697903822441432</v>
      </c>
      <c r="AL325" s="29">
        <f t="shared" si="85"/>
        <v>0.25</v>
      </c>
      <c r="AM325" s="29">
        <f t="shared" si="86"/>
        <v>594.70000000000005</v>
      </c>
      <c r="AN325" s="29">
        <f t="shared" si="87"/>
        <v>1.3637127963679165</v>
      </c>
      <c r="AO325" s="29">
        <f t="shared" si="88"/>
        <v>1.4285714285714286</v>
      </c>
      <c r="AP325" s="31">
        <f t="shared" si="89"/>
        <v>0.95459895745754153</v>
      </c>
      <c r="AQ325" s="31">
        <f t="shared" si="90"/>
        <v>0.94697903822441432</v>
      </c>
      <c r="AR325" s="31">
        <f t="shared" si="91"/>
        <v>0.88174512055109022</v>
      </c>
      <c r="AS325" s="29">
        <f t="shared" si="92"/>
        <v>22.203181257706532</v>
      </c>
      <c r="AT325" s="29">
        <f t="shared" si="93"/>
        <v>7.4929986422814547</v>
      </c>
      <c r="AU325" s="27" t="str">
        <f t="shared" si="94"/>
        <v>Medium</v>
      </c>
      <c r="AV325" s="27" t="str">
        <f t="shared" si="95"/>
        <v>Normal</v>
      </c>
      <c r="AW325" s="27"/>
    </row>
    <row r="326" spans="1:49" x14ac:dyDescent="0.25">
      <c r="A326" s="27">
        <v>325</v>
      </c>
      <c r="B326" s="28">
        <v>46044</v>
      </c>
      <c r="C326" s="28" t="str">
        <f t="shared" si="80"/>
        <v>January</v>
      </c>
      <c r="D326" s="27" t="s">
        <v>67</v>
      </c>
      <c r="E326" s="27" t="s">
        <v>76</v>
      </c>
      <c r="F326" s="27" t="s">
        <v>113</v>
      </c>
      <c r="G326" s="27" t="s">
        <v>63</v>
      </c>
      <c r="H326" s="27" t="s">
        <v>51</v>
      </c>
      <c r="I326" s="27" t="s">
        <v>449</v>
      </c>
      <c r="J326" s="27" t="s">
        <v>109</v>
      </c>
      <c r="K326" s="27">
        <v>836</v>
      </c>
      <c r="L326" s="27">
        <v>725</v>
      </c>
      <c r="M326" s="27">
        <v>696</v>
      </c>
      <c r="N326" s="27">
        <v>29</v>
      </c>
      <c r="O326" s="27">
        <v>10</v>
      </c>
      <c r="P326" s="27">
        <v>22</v>
      </c>
      <c r="Q326" s="27" t="s">
        <v>54</v>
      </c>
      <c r="R326" s="27">
        <v>42</v>
      </c>
      <c r="S326" s="27">
        <v>41</v>
      </c>
      <c r="T326" s="29">
        <v>75.7</v>
      </c>
      <c r="U326" s="29">
        <v>2.33</v>
      </c>
      <c r="V326" s="29">
        <v>31.35</v>
      </c>
      <c r="W326" s="30">
        <v>13818.71</v>
      </c>
      <c r="X326" s="27">
        <v>8.36</v>
      </c>
      <c r="Y326" s="27" t="s">
        <v>71</v>
      </c>
      <c r="Z326" s="29">
        <v>27</v>
      </c>
      <c r="AA326" s="30">
        <v>21615.24</v>
      </c>
      <c r="AB326" s="29">
        <v>0.96</v>
      </c>
      <c r="AC326" s="30">
        <v>17862.86</v>
      </c>
      <c r="AD326" s="30">
        <v>190.602896551724</v>
      </c>
      <c r="AE326" s="27">
        <v>585.20000000000005</v>
      </c>
      <c r="AF326" s="29">
        <v>0.96240601503759404</v>
      </c>
      <c r="AG326" s="30">
        <v>3561.7771034482798</v>
      </c>
      <c r="AH326" s="31">
        <f t="shared" si="81"/>
        <v>0.86722488038277512</v>
      </c>
      <c r="AI326" s="31">
        <f t="shared" si="82"/>
        <v>0.04</v>
      </c>
      <c r="AJ326" s="31">
        <f t="shared" si="83"/>
        <v>1.3793103448275862E-2</v>
      </c>
      <c r="AK326" s="31">
        <f t="shared" si="84"/>
        <v>0.96</v>
      </c>
      <c r="AL326" s="29">
        <f t="shared" si="85"/>
        <v>0.36666666666666664</v>
      </c>
      <c r="AM326" s="29">
        <f t="shared" si="86"/>
        <v>563.20000000000005</v>
      </c>
      <c r="AN326" s="29">
        <f t="shared" si="87"/>
        <v>1.2872869318181817</v>
      </c>
      <c r="AO326" s="29">
        <f t="shared" si="88"/>
        <v>1.4285714285714286</v>
      </c>
      <c r="AP326" s="31">
        <f t="shared" si="89"/>
        <v>0.90110085227272718</v>
      </c>
      <c r="AQ326" s="31">
        <f t="shared" si="90"/>
        <v>0.96</v>
      </c>
      <c r="AR326" s="31">
        <f t="shared" si="91"/>
        <v>0.83253588516746413</v>
      </c>
      <c r="AS326" s="29">
        <f t="shared" si="92"/>
        <v>24.638427586206898</v>
      </c>
      <c r="AT326" s="29">
        <f t="shared" si="93"/>
        <v>4.912796004756248</v>
      </c>
      <c r="AU326" s="27" t="str">
        <f t="shared" si="94"/>
        <v>High</v>
      </c>
      <c r="AV326" s="27" t="str">
        <f t="shared" si="95"/>
        <v>Warning</v>
      </c>
      <c r="AW326" s="27"/>
    </row>
    <row r="327" spans="1:49" x14ac:dyDescent="0.25">
      <c r="A327" s="27">
        <v>326</v>
      </c>
      <c r="B327" s="28">
        <v>46099</v>
      </c>
      <c r="C327" s="28" t="str">
        <f t="shared" si="80"/>
        <v>March</v>
      </c>
      <c r="D327" s="27" t="s">
        <v>67</v>
      </c>
      <c r="E327" s="27" t="s">
        <v>129</v>
      </c>
      <c r="F327" s="27" t="s">
        <v>151</v>
      </c>
      <c r="G327" s="27" t="s">
        <v>78</v>
      </c>
      <c r="H327" s="27" t="s">
        <v>57</v>
      </c>
      <c r="I327" s="27" t="s">
        <v>450</v>
      </c>
      <c r="J327" s="27" t="s">
        <v>132</v>
      </c>
      <c r="K327" s="27">
        <v>921</v>
      </c>
      <c r="L327" s="27">
        <v>709</v>
      </c>
      <c r="M327" s="27">
        <v>668</v>
      </c>
      <c r="N327" s="27">
        <v>41</v>
      </c>
      <c r="O327" s="27">
        <v>13</v>
      </c>
      <c r="P327" s="27">
        <v>61</v>
      </c>
      <c r="Q327" s="27" t="s">
        <v>97</v>
      </c>
      <c r="R327" s="27">
        <v>45</v>
      </c>
      <c r="S327" s="27">
        <v>46</v>
      </c>
      <c r="T327" s="29">
        <v>71.400000000000006</v>
      </c>
      <c r="U327" s="29">
        <v>1.77</v>
      </c>
      <c r="V327" s="29">
        <v>28.22</v>
      </c>
      <c r="W327" s="30">
        <v>15082.85</v>
      </c>
      <c r="X327" s="27">
        <v>6.41</v>
      </c>
      <c r="Y327" s="27" t="s">
        <v>55</v>
      </c>
      <c r="Z327" s="29">
        <v>7</v>
      </c>
      <c r="AA327" s="30">
        <v>23865.09</v>
      </c>
      <c r="AB327" s="29">
        <v>0.94217207334273601</v>
      </c>
      <c r="AC327" s="30">
        <v>18221.330000000002</v>
      </c>
      <c r="AD327" s="30">
        <v>276.55437235543002</v>
      </c>
      <c r="AE327" s="27">
        <v>690.75</v>
      </c>
      <c r="AF327" s="29">
        <v>0.91169019182048505</v>
      </c>
      <c r="AG327" s="30">
        <v>5367.2056276445701</v>
      </c>
      <c r="AH327" s="31">
        <f t="shared" si="81"/>
        <v>0.76981541802388709</v>
      </c>
      <c r="AI327" s="31">
        <f t="shared" si="82"/>
        <v>5.7827926657263752E-2</v>
      </c>
      <c r="AJ327" s="31">
        <f t="shared" si="83"/>
        <v>1.8335684062059238E-2</v>
      </c>
      <c r="AK327" s="31">
        <f t="shared" si="84"/>
        <v>0.94217207334273623</v>
      </c>
      <c r="AL327" s="29">
        <f t="shared" si="85"/>
        <v>1.0166666666666666</v>
      </c>
      <c r="AM327" s="29">
        <f t="shared" si="86"/>
        <v>629.75</v>
      </c>
      <c r="AN327" s="29">
        <f t="shared" si="87"/>
        <v>1.1258435887256848</v>
      </c>
      <c r="AO327" s="29">
        <f t="shared" si="88"/>
        <v>1.3333333333333333</v>
      </c>
      <c r="AP327" s="31">
        <f t="shared" si="89"/>
        <v>0.8443826915442636</v>
      </c>
      <c r="AQ327" s="31">
        <f t="shared" si="90"/>
        <v>0.94217207334273623</v>
      </c>
      <c r="AR327" s="31">
        <f t="shared" si="91"/>
        <v>0.72529858849077089</v>
      </c>
      <c r="AS327" s="29">
        <f t="shared" si="92"/>
        <v>25.70004231311707</v>
      </c>
      <c r="AT327" s="29">
        <f t="shared" si="93"/>
        <v>7.5701066680459377</v>
      </c>
      <c r="AU327" s="27" t="str">
        <f t="shared" si="94"/>
        <v>High</v>
      </c>
      <c r="AV327" s="27" t="str">
        <f t="shared" si="95"/>
        <v>Critical</v>
      </c>
      <c r="AW327" s="27"/>
    </row>
    <row r="328" spans="1:49" x14ac:dyDescent="0.25">
      <c r="A328" s="27">
        <v>327</v>
      </c>
      <c r="B328" s="28">
        <v>46132</v>
      </c>
      <c r="C328" s="28" t="str">
        <f t="shared" si="80"/>
        <v>April</v>
      </c>
      <c r="D328" s="27" t="s">
        <v>67</v>
      </c>
      <c r="E328" s="27" t="s">
        <v>98</v>
      </c>
      <c r="F328" s="27" t="s">
        <v>99</v>
      </c>
      <c r="G328" s="27" t="s">
        <v>63</v>
      </c>
      <c r="H328" s="27" t="s">
        <v>124</v>
      </c>
      <c r="I328" s="27" t="s">
        <v>451</v>
      </c>
      <c r="J328" s="27" t="s">
        <v>155</v>
      </c>
      <c r="K328" s="27">
        <v>555</v>
      </c>
      <c r="L328" s="27">
        <v>500</v>
      </c>
      <c r="M328" s="27">
        <v>479</v>
      </c>
      <c r="N328" s="27">
        <v>21</v>
      </c>
      <c r="O328" s="27">
        <v>8</v>
      </c>
      <c r="P328" s="27">
        <v>57</v>
      </c>
      <c r="Q328" s="27" t="s">
        <v>54</v>
      </c>
      <c r="R328" s="27">
        <v>57</v>
      </c>
      <c r="S328" s="27">
        <v>61</v>
      </c>
      <c r="T328" s="29">
        <v>68.099999999999994</v>
      </c>
      <c r="U328" s="29">
        <v>1.46</v>
      </c>
      <c r="V328" s="29">
        <v>20.23</v>
      </c>
      <c r="W328" s="30">
        <v>12963.35</v>
      </c>
      <c r="X328" s="27">
        <v>8.82</v>
      </c>
      <c r="Y328" s="27" t="s">
        <v>71</v>
      </c>
      <c r="Z328" s="29">
        <v>43</v>
      </c>
      <c r="AA328" s="30">
        <v>21576.17</v>
      </c>
      <c r="AB328" s="29">
        <v>0.95799999999999996</v>
      </c>
      <c r="AC328" s="30">
        <v>17114.419999999998</v>
      </c>
      <c r="AD328" s="30">
        <v>207.4136</v>
      </c>
      <c r="AE328" s="27">
        <v>527.25</v>
      </c>
      <c r="AF328" s="29">
        <v>0.891891891891892</v>
      </c>
      <c r="AG328" s="30">
        <v>4254.3364000000001</v>
      </c>
      <c r="AH328" s="31">
        <f t="shared" si="81"/>
        <v>0.90090090090090091</v>
      </c>
      <c r="AI328" s="31">
        <f t="shared" si="82"/>
        <v>4.2000000000000003E-2</v>
      </c>
      <c r="AJ328" s="31">
        <f t="shared" si="83"/>
        <v>1.6E-2</v>
      </c>
      <c r="AK328" s="31">
        <f t="shared" si="84"/>
        <v>0.95799999999999996</v>
      </c>
      <c r="AL328" s="29">
        <f t="shared" si="85"/>
        <v>0.95</v>
      </c>
      <c r="AM328" s="29">
        <f t="shared" si="86"/>
        <v>470.25</v>
      </c>
      <c r="AN328" s="29">
        <f t="shared" si="87"/>
        <v>1.063264221158958</v>
      </c>
      <c r="AO328" s="29">
        <f t="shared" si="88"/>
        <v>1.0526315789473684</v>
      </c>
      <c r="AP328" s="31">
        <f t="shared" si="89"/>
        <v>1.0101010101010102</v>
      </c>
      <c r="AQ328" s="31">
        <f t="shared" si="90"/>
        <v>0.95799999999999996</v>
      </c>
      <c r="AR328" s="31">
        <f t="shared" si="91"/>
        <v>0.86306306306306313</v>
      </c>
      <c r="AS328" s="29">
        <f t="shared" si="92"/>
        <v>34.228839999999998</v>
      </c>
      <c r="AT328" s="29">
        <f t="shared" si="93"/>
        <v>8.5086728000000011</v>
      </c>
      <c r="AU328" s="27" t="str">
        <f t="shared" si="94"/>
        <v>High</v>
      </c>
      <c r="AV328" s="27" t="str">
        <f t="shared" si="95"/>
        <v>Normal</v>
      </c>
      <c r="AW328" s="27"/>
    </row>
    <row r="329" spans="1:49" x14ac:dyDescent="0.25">
      <c r="A329" s="27">
        <v>328</v>
      </c>
      <c r="B329" s="28">
        <v>46107</v>
      </c>
      <c r="C329" s="28" t="str">
        <f t="shared" si="80"/>
        <v>March</v>
      </c>
      <c r="D329" s="27" t="s">
        <v>67</v>
      </c>
      <c r="E329" s="27" t="s">
        <v>61</v>
      </c>
      <c r="F329" s="27" t="s">
        <v>88</v>
      </c>
      <c r="G329" s="27" t="s">
        <v>78</v>
      </c>
      <c r="H329" s="27" t="s">
        <v>51</v>
      </c>
      <c r="I329" s="27" t="s">
        <v>452</v>
      </c>
      <c r="J329" s="27" t="s">
        <v>90</v>
      </c>
      <c r="K329" s="27">
        <v>816</v>
      </c>
      <c r="L329" s="27">
        <v>833</v>
      </c>
      <c r="M329" s="27">
        <v>795</v>
      </c>
      <c r="N329" s="27">
        <v>38</v>
      </c>
      <c r="O329" s="27">
        <v>8</v>
      </c>
      <c r="P329" s="27">
        <v>0</v>
      </c>
      <c r="Q329" s="27" t="s">
        <v>60</v>
      </c>
      <c r="R329" s="27">
        <v>42</v>
      </c>
      <c r="S329" s="27">
        <v>45</v>
      </c>
      <c r="T329" s="29">
        <v>71</v>
      </c>
      <c r="U329" s="29">
        <v>2.2999999999999998</v>
      </c>
      <c r="V329" s="29">
        <v>32.270000000000003</v>
      </c>
      <c r="W329" s="30">
        <v>14535.5</v>
      </c>
      <c r="X329" s="27">
        <v>8.02</v>
      </c>
      <c r="Y329" s="27" t="s">
        <v>71</v>
      </c>
      <c r="Z329" s="29">
        <v>32</v>
      </c>
      <c r="AA329" s="30">
        <v>25265.83</v>
      </c>
      <c r="AB329" s="29">
        <v>0.95438175270108005</v>
      </c>
      <c r="AC329" s="30">
        <v>18434.93</v>
      </c>
      <c r="AD329" s="30">
        <v>139.59663865546199</v>
      </c>
      <c r="AE329" s="27">
        <v>571.20000000000005</v>
      </c>
      <c r="AF329" s="29">
        <v>1</v>
      </c>
      <c r="AG329" s="30">
        <v>6691.3033613445396</v>
      </c>
      <c r="AH329" s="31">
        <f t="shared" si="81"/>
        <v>1.0208333333333333</v>
      </c>
      <c r="AI329" s="31">
        <f t="shared" si="82"/>
        <v>4.561824729891957E-2</v>
      </c>
      <c r="AJ329" s="31">
        <f t="shared" si="83"/>
        <v>9.6038415366146452E-3</v>
      </c>
      <c r="AK329" s="31">
        <f t="shared" si="84"/>
        <v>0.95438175270108039</v>
      </c>
      <c r="AL329" s="29">
        <f t="shared" si="85"/>
        <v>0</v>
      </c>
      <c r="AM329" s="29">
        <f t="shared" si="86"/>
        <v>571.20000000000005</v>
      </c>
      <c r="AN329" s="29">
        <f t="shared" si="87"/>
        <v>1.4583333333333333</v>
      </c>
      <c r="AO329" s="29">
        <f t="shared" si="88"/>
        <v>1.4285714285714286</v>
      </c>
      <c r="AP329" s="31">
        <f t="shared" si="89"/>
        <v>1.0208333333333333</v>
      </c>
      <c r="AQ329" s="31">
        <f t="shared" si="90"/>
        <v>0.95438175270108039</v>
      </c>
      <c r="AR329" s="31">
        <f t="shared" si="91"/>
        <v>0.97426470588235281</v>
      </c>
      <c r="AS329" s="29">
        <f t="shared" si="92"/>
        <v>22.130768307322928</v>
      </c>
      <c r="AT329" s="29">
        <f t="shared" si="93"/>
        <v>8.0327771444712361</v>
      </c>
      <c r="AU329" s="27" t="str">
        <f t="shared" si="94"/>
        <v>High</v>
      </c>
      <c r="AV329" s="27" t="str">
        <f t="shared" si="95"/>
        <v>Normal</v>
      </c>
      <c r="AW329" s="27"/>
    </row>
    <row r="330" spans="1:49" x14ac:dyDescent="0.25">
      <c r="A330" s="27">
        <v>329</v>
      </c>
      <c r="B330" s="28">
        <v>46075</v>
      </c>
      <c r="C330" s="28" t="str">
        <f t="shared" si="80"/>
        <v>February</v>
      </c>
      <c r="D330" s="27" t="s">
        <v>47</v>
      </c>
      <c r="E330" s="27" t="s">
        <v>129</v>
      </c>
      <c r="F330" s="27" t="s">
        <v>130</v>
      </c>
      <c r="G330" s="27" t="s">
        <v>63</v>
      </c>
      <c r="H330" s="27" t="s">
        <v>79</v>
      </c>
      <c r="I330" s="27" t="s">
        <v>453</v>
      </c>
      <c r="J330" s="27" t="s">
        <v>155</v>
      </c>
      <c r="K330" s="27">
        <v>885</v>
      </c>
      <c r="L330" s="27">
        <v>663</v>
      </c>
      <c r="M330" s="27">
        <v>577</v>
      </c>
      <c r="N330" s="27">
        <v>86</v>
      </c>
      <c r="O330" s="27">
        <v>30</v>
      </c>
      <c r="P330" s="27">
        <v>58</v>
      </c>
      <c r="Q330" s="27" t="s">
        <v>54</v>
      </c>
      <c r="R330" s="27">
        <v>49</v>
      </c>
      <c r="S330" s="27">
        <v>53</v>
      </c>
      <c r="T330" s="29">
        <v>75.900000000000006</v>
      </c>
      <c r="U330" s="29">
        <v>3.73</v>
      </c>
      <c r="V330" s="29">
        <v>26.09</v>
      </c>
      <c r="W330" s="30">
        <v>15354.66</v>
      </c>
      <c r="X330" s="27">
        <v>6.85</v>
      </c>
      <c r="Y330" s="27" t="s">
        <v>66</v>
      </c>
      <c r="Z330" s="29">
        <v>28</v>
      </c>
      <c r="AA330" s="30">
        <v>22169.16</v>
      </c>
      <c r="AB330" s="29">
        <v>0.87028657616892902</v>
      </c>
      <c r="AC330" s="30">
        <v>18671.97</v>
      </c>
      <c r="AD330" s="30">
        <v>694.78099547511295</v>
      </c>
      <c r="AE330" s="27">
        <v>722.75</v>
      </c>
      <c r="AF330" s="29">
        <v>0.91975095122794903</v>
      </c>
      <c r="AG330" s="30">
        <v>2802.40900452489</v>
      </c>
      <c r="AH330" s="31">
        <f t="shared" si="81"/>
        <v>0.74915254237288131</v>
      </c>
      <c r="AI330" s="31">
        <f t="shared" si="82"/>
        <v>0.1297134238310709</v>
      </c>
      <c r="AJ330" s="31">
        <f t="shared" si="83"/>
        <v>4.5248868778280542E-2</v>
      </c>
      <c r="AK330" s="31">
        <f t="shared" si="84"/>
        <v>0.87028657616892913</v>
      </c>
      <c r="AL330" s="29">
        <f t="shared" si="85"/>
        <v>0.96666666666666667</v>
      </c>
      <c r="AM330" s="29">
        <f t="shared" si="86"/>
        <v>664.75</v>
      </c>
      <c r="AN330" s="29">
        <f t="shared" si="87"/>
        <v>0.99736743136517492</v>
      </c>
      <c r="AO330" s="29">
        <f t="shared" si="88"/>
        <v>1.2244897959183674</v>
      </c>
      <c r="AP330" s="31">
        <f t="shared" si="89"/>
        <v>0.8145167356148928</v>
      </c>
      <c r="AQ330" s="31">
        <f t="shared" si="90"/>
        <v>0.87028657616892913</v>
      </c>
      <c r="AR330" s="31">
        <f t="shared" si="91"/>
        <v>0.65197740112994362</v>
      </c>
      <c r="AS330" s="29">
        <f t="shared" si="92"/>
        <v>28.162850678733033</v>
      </c>
      <c r="AT330" s="29">
        <f t="shared" si="93"/>
        <v>4.226861243627285</v>
      </c>
      <c r="AU330" s="27" t="str">
        <f t="shared" si="94"/>
        <v>High</v>
      </c>
      <c r="AV330" s="27" t="str">
        <f t="shared" si="95"/>
        <v>Critical</v>
      </c>
      <c r="AW330" s="27"/>
    </row>
    <row r="331" spans="1:49" x14ac:dyDescent="0.25">
      <c r="A331" s="27">
        <v>330</v>
      </c>
      <c r="B331" s="28">
        <v>46093</v>
      </c>
      <c r="C331" s="28" t="str">
        <f t="shared" si="80"/>
        <v>March</v>
      </c>
      <c r="D331" s="27" t="s">
        <v>47</v>
      </c>
      <c r="E331" s="27" t="s">
        <v>48</v>
      </c>
      <c r="F331" s="27" t="s">
        <v>72</v>
      </c>
      <c r="G331" s="27" t="s">
        <v>63</v>
      </c>
      <c r="H331" s="27" t="s">
        <v>57</v>
      </c>
      <c r="I331" s="27" t="s">
        <v>454</v>
      </c>
      <c r="J331" s="27" t="s">
        <v>115</v>
      </c>
      <c r="K331" s="27">
        <v>949</v>
      </c>
      <c r="L331" s="27">
        <v>909</v>
      </c>
      <c r="M331" s="27">
        <v>875</v>
      </c>
      <c r="N331" s="27">
        <v>34</v>
      </c>
      <c r="O331" s="27">
        <v>14</v>
      </c>
      <c r="P331" s="27">
        <v>0</v>
      </c>
      <c r="Q331" s="27" t="s">
        <v>60</v>
      </c>
      <c r="R331" s="27">
        <v>45</v>
      </c>
      <c r="S331" s="27">
        <v>46</v>
      </c>
      <c r="T331" s="29">
        <v>74.099999999999994</v>
      </c>
      <c r="U331" s="29">
        <v>2.08</v>
      </c>
      <c r="V331" s="29">
        <v>29.55</v>
      </c>
      <c r="W331" s="30">
        <v>19288.23</v>
      </c>
      <c r="X331" s="27">
        <v>8.1300000000000008</v>
      </c>
      <c r="Y331" s="27" t="s">
        <v>66</v>
      </c>
      <c r="Z331" s="29">
        <v>17</v>
      </c>
      <c r="AA331" s="30">
        <v>31267.84</v>
      </c>
      <c r="AB331" s="29">
        <v>0.96259625962596296</v>
      </c>
      <c r="AC331" s="30">
        <v>23212.68</v>
      </c>
      <c r="AD331" s="30">
        <v>297.06844884488498</v>
      </c>
      <c r="AE331" s="27">
        <v>711.75</v>
      </c>
      <c r="AF331" s="29">
        <v>1</v>
      </c>
      <c r="AG331" s="30">
        <v>7758.0915511551202</v>
      </c>
      <c r="AH331" s="31">
        <f t="shared" si="81"/>
        <v>0.95785036880927288</v>
      </c>
      <c r="AI331" s="31">
        <f t="shared" si="82"/>
        <v>3.7403740374037403E-2</v>
      </c>
      <c r="AJ331" s="31">
        <f t="shared" si="83"/>
        <v>1.5401540154015401E-2</v>
      </c>
      <c r="AK331" s="31">
        <f t="shared" si="84"/>
        <v>0.96259625962596262</v>
      </c>
      <c r="AL331" s="29">
        <f t="shared" si="85"/>
        <v>0</v>
      </c>
      <c r="AM331" s="29">
        <f t="shared" si="86"/>
        <v>711.75</v>
      </c>
      <c r="AN331" s="29">
        <f t="shared" si="87"/>
        <v>1.2771338250790305</v>
      </c>
      <c r="AO331" s="29">
        <f t="shared" si="88"/>
        <v>1.3333333333333333</v>
      </c>
      <c r="AP331" s="31">
        <f t="shared" si="89"/>
        <v>0.95785036880927288</v>
      </c>
      <c r="AQ331" s="31">
        <f t="shared" si="90"/>
        <v>0.96259625962596262</v>
      </c>
      <c r="AR331" s="31">
        <f t="shared" si="91"/>
        <v>0.92202318229715485</v>
      </c>
      <c r="AS331" s="29">
        <f t="shared" si="92"/>
        <v>25.536501650165018</v>
      </c>
      <c r="AT331" s="29">
        <f t="shared" si="93"/>
        <v>8.5347541816888004</v>
      </c>
      <c r="AU331" s="27" t="str">
        <f t="shared" si="94"/>
        <v>Low</v>
      </c>
      <c r="AV331" s="27" t="str">
        <f t="shared" si="95"/>
        <v>Normal</v>
      </c>
      <c r="AW331" s="27"/>
    </row>
    <row r="332" spans="1:49" x14ac:dyDescent="0.25">
      <c r="A332" s="27">
        <v>331</v>
      </c>
      <c r="B332" s="28">
        <v>46129</v>
      </c>
      <c r="C332" s="28" t="str">
        <f t="shared" si="80"/>
        <v>April</v>
      </c>
      <c r="D332" s="27" t="s">
        <v>47</v>
      </c>
      <c r="E332" s="27" t="s">
        <v>98</v>
      </c>
      <c r="F332" s="27" t="s">
        <v>126</v>
      </c>
      <c r="G332" s="27" t="s">
        <v>63</v>
      </c>
      <c r="H332" s="27" t="s">
        <v>79</v>
      </c>
      <c r="I332" s="27" t="s">
        <v>455</v>
      </c>
      <c r="J332" s="27" t="s">
        <v>134</v>
      </c>
      <c r="K332" s="27">
        <v>668</v>
      </c>
      <c r="L332" s="27">
        <v>591</v>
      </c>
      <c r="M332" s="27">
        <v>548</v>
      </c>
      <c r="N332" s="27">
        <v>43</v>
      </c>
      <c r="O332" s="27">
        <v>13</v>
      </c>
      <c r="P332" s="27">
        <v>21</v>
      </c>
      <c r="Q332" s="27" t="s">
        <v>75</v>
      </c>
      <c r="R332" s="27">
        <v>49</v>
      </c>
      <c r="S332" s="27">
        <v>51</v>
      </c>
      <c r="T332" s="29">
        <v>82.8</v>
      </c>
      <c r="U332" s="29">
        <v>1.88</v>
      </c>
      <c r="V332" s="29">
        <v>25.37</v>
      </c>
      <c r="W332" s="30">
        <v>13774.81</v>
      </c>
      <c r="X332" s="27">
        <v>6.59</v>
      </c>
      <c r="Y332" s="27" t="s">
        <v>55</v>
      </c>
      <c r="Z332" s="29">
        <v>32</v>
      </c>
      <c r="AA332" s="30">
        <v>21157.02</v>
      </c>
      <c r="AB332" s="29">
        <v>0.92724196277495796</v>
      </c>
      <c r="AC332" s="30">
        <v>16968.64</v>
      </c>
      <c r="AD332" s="30">
        <v>302.99920473773301</v>
      </c>
      <c r="AE332" s="27">
        <v>545.53333333333296</v>
      </c>
      <c r="AF332" s="29">
        <v>0.96150556030795598</v>
      </c>
      <c r="AG332" s="30">
        <v>3885.3807952622701</v>
      </c>
      <c r="AH332" s="31">
        <f t="shared" si="81"/>
        <v>0.8847305389221557</v>
      </c>
      <c r="AI332" s="31">
        <f t="shared" si="82"/>
        <v>7.2758037225042302E-2</v>
      </c>
      <c r="AJ332" s="31">
        <f t="shared" si="83"/>
        <v>2.1996615905245348E-2</v>
      </c>
      <c r="AK332" s="31">
        <f t="shared" si="84"/>
        <v>0.92724196277495774</v>
      </c>
      <c r="AL332" s="29">
        <f t="shared" si="85"/>
        <v>0.35</v>
      </c>
      <c r="AM332" s="29">
        <f t="shared" si="86"/>
        <v>524.53333333333296</v>
      </c>
      <c r="AN332" s="29">
        <f t="shared" si="87"/>
        <v>1.1267158108795128</v>
      </c>
      <c r="AO332" s="29">
        <f t="shared" si="88"/>
        <v>1.2244897959183674</v>
      </c>
      <c r="AP332" s="31">
        <f t="shared" si="89"/>
        <v>0.9201512455516021</v>
      </c>
      <c r="AQ332" s="31">
        <f t="shared" si="90"/>
        <v>0.92724196277495774</v>
      </c>
      <c r="AR332" s="31">
        <f t="shared" si="91"/>
        <v>0.82035928143712677</v>
      </c>
      <c r="AS332" s="29">
        <f t="shared" si="92"/>
        <v>28.711742808798647</v>
      </c>
      <c r="AT332" s="29">
        <f t="shared" si="93"/>
        <v>6.574248384538528</v>
      </c>
      <c r="AU332" s="27" t="str">
        <f t="shared" si="94"/>
        <v>Medium</v>
      </c>
      <c r="AV332" s="27" t="str">
        <f t="shared" si="95"/>
        <v>Warning</v>
      </c>
      <c r="AW332" s="27"/>
    </row>
    <row r="333" spans="1:49" x14ac:dyDescent="0.25">
      <c r="A333" s="27">
        <v>332</v>
      </c>
      <c r="B333" s="28">
        <v>46106</v>
      </c>
      <c r="C333" s="28" t="str">
        <f t="shared" si="80"/>
        <v>March</v>
      </c>
      <c r="D333" s="27" t="s">
        <v>67</v>
      </c>
      <c r="E333" s="27" t="s">
        <v>61</v>
      </c>
      <c r="F333" s="27" t="s">
        <v>88</v>
      </c>
      <c r="G333" s="27" t="s">
        <v>50</v>
      </c>
      <c r="H333" s="27" t="s">
        <v>124</v>
      </c>
      <c r="I333" s="27" t="s">
        <v>456</v>
      </c>
      <c r="J333" s="27" t="s">
        <v>117</v>
      </c>
      <c r="K333" s="27">
        <v>526</v>
      </c>
      <c r="L333" s="27">
        <v>472</v>
      </c>
      <c r="M333" s="27">
        <v>460</v>
      </c>
      <c r="N333" s="27">
        <v>12</v>
      </c>
      <c r="O333" s="27">
        <v>2</v>
      </c>
      <c r="P333" s="27">
        <v>10</v>
      </c>
      <c r="Q333" s="27" t="s">
        <v>75</v>
      </c>
      <c r="R333" s="27">
        <v>57</v>
      </c>
      <c r="S333" s="27">
        <v>61</v>
      </c>
      <c r="T333" s="29">
        <v>75.099999999999994</v>
      </c>
      <c r="U333" s="29">
        <v>1.68</v>
      </c>
      <c r="V333" s="29">
        <v>19.32</v>
      </c>
      <c r="W333" s="30">
        <v>13367.34</v>
      </c>
      <c r="X333" s="27">
        <v>7.9</v>
      </c>
      <c r="Y333" s="27" t="s">
        <v>55</v>
      </c>
      <c r="Z333" s="29">
        <v>5</v>
      </c>
      <c r="AA333" s="30">
        <v>21221.48</v>
      </c>
      <c r="AB333" s="29">
        <v>0.97457627118644097</v>
      </c>
      <c r="AC333" s="30">
        <v>17096.22</v>
      </c>
      <c r="AD333" s="30">
        <v>56.641271186440697</v>
      </c>
      <c r="AE333" s="27">
        <v>499.7</v>
      </c>
      <c r="AF333" s="29">
        <v>0.97998799279567705</v>
      </c>
      <c r="AG333" s="30">
        <v>4068.6187288135602</v>
      </c>
      <c r="AH333" s="31">
        <f t="shared" si="81"/>
        <v>0.89733840304182511</v>
      </c>
      <c r="AI333" s="31">
        <f t="shared" si="82"/>
        <v>2.5423728813559324E-2</v>
      </c>
      <c r="AJ333" s="31">
        <f t="shared" si="83"/>
        <v>4.2372881355932203E-3</v>
      </c>
      <c r="AK333" s="31">
        <f t="shared" si="84"/>
        <v>0.97457627118644063</v>
      </c>
      <c r="AL333" s="29">
        <f t="shared" si="85"/>
        <v>0.16666666666666666</v>
      </c>
      <c r="AM333" s="29">
        <f t="shared" si="86"/>
        <v>489.7</v>
      </c>
      <c r="AN333" s="29">
        <f t="shared" si="87"/>
        <v>0.96385542168674698</v>
      </c>
      <c r="AO333" s="29">
        <f t="shared" si="88"/>
        <v>1.0526315789473684</v>
      </c>
      <c r="AP333" s="31">
        <f t="shared" si="89"/>
        <v>0.9156626506024097</v>
      </c>
      <c r="AQ333" s="31">
        <f t="shared" si="90"/>
        <v>0.97457627118644063</v>
      </c>
      <c r="AR333" s="31">
        <f t="shared" si="91"/>
        <v>0.87452471482889704</v>
      </c>
      <c r="AS333" s="29">
        <f t="shared" si="92"/>
        <v>36.220805084745763</v>
      </c>
      <c r="AT333" s="29">
        <f t="shared" si="93"/>
        <v>8.6199549339270352</v>
      </c>
      <c r="AU333" s="27" t="str">
        <f t="shared" si="94"/>
        <v>Low</v>
      </c>
      <c r="AV333" s="27" t="str">
        <f t="shared" si="95"/>
        <v>Normal</v>
      </c>
      <c r="AW333" s="27"/>
    </row>
    <row r="334" spans="1:49" x14ac:dyDescent="0.25">
      <c r="A334" s="27">
        <v>333</v>
      </c>
      <c r="B334" s="28">
        <v>46085</v>
      </c>
      <c r="C334" s="28" t="str">
        <f t="shared" si="80"/>
        <v>March</v>
      </c>
      <c r="D334" s="27" t="s">
        <v>67</v>
      </c>
      <c r="E334" s="27" t="s">
        <v>98</v>
      </c>
      <c r="F334" s="27" t="s">
        <v>99</v>
      </c>
      <c r="G334" s="27" t="s">
        <v>78</v>
      </c>
      <c r="H334" s="27" t="s">
        <v>57</v>
      </c>
      <c r="I334" s="27" t="s">
        <v>457</v>
      </c>
      <c r="J334" s="27" t="s">
        <v>65</v>
      </c>
      <c r="K334" s="27">
        <v>689</v>
      </c>
      <c r="L334" s="27">
        <v>585</v>
      </c>
      <c r="M334" s="27">
        <v>558</v>
      </c>
      <c r="N334" s="27">
        <v>27</v>
      </c>
      <c r="O334" s="27">
        <v>9</v>
      </c>
      <c r="P334" s="27">
        <v>28</v>
      </c>
      <c r="Q334" s="27" t="s">
        <v>91</v>
      </c>
      <c r="R334" s="27">
        <v>45</v>
      </c>
      <c r="S334" s="27">
        <v>46</v>
      </c>
      <c r="T334" s="29">
        <v>71.3</v>
      </c>
      <c r="U334" s="29">
        <v>1.98</v>
      </c>
      <c r="V334" s="29">
        <v>24.75</v>
      </c>
      <c r="W334" s="30">
        <v>11909.12</v>
      </c>
      <c r="X334" s="27">
        <v>6.25</v>
      </c>
      <c r="Y334" s="27" t="s">
        <v>110</v>
      </c>
      <c r="Z334" s="29">
        <v>26</v>
      </c>
      <c r="AA334" s="30">
        <v>19556.8</v>
      </c>
      <c r="AB334" s="29">
        <v>0.95384615384615401</v>
      </c>
      <c r="AC334" s="30">
        <v>14944.37</v>
      </c>
      <c r="AD334" s="30">
        <v>183.21723076923101</v>
      </c>
      <c r="AE334" s="27">
        <v>516.75</v>
      </c>
      <c r="AF334" s="29">
        <v>0.94581519109821</v>
      </c>
      <c r="AG334" s="30">
        <v>4429.2127692307704</v>
      </c>
      <c r="AH334" s="31">
        <f t="shared" si="81"/>
        <v>0.84905660377358494</v>
      </c>
      <c r="AI334" s="31">
        <f t="shared" si="82"/>
        <v>4.6153846153846156E-2</v>
      </c>
      <c r="AJ334" s="31">
        <f t="shared" si="83"/>
        <v>1.5384615384615385E-2</v>
      </c>
      <c r="AK334" s="31">
        <f t="shared" si="84"/>
        <v>0.9538461538461539</v>
      </c>
      <c r="AL334" s="29">
        <f t="shared" si="85"/>
        <v>0.46666666666666667</v>
      </c>
      <c r="AM334" s="29">
        <f t="shared" si="86"/>
        <v>488.75</v>
      </c>
      <c r="AN334" s="29">
        <f t="shared" si="87"/>
        <v>1.19693094629156</v>
      </c>
      <c r="AO334" s="29">
        <f t="shared" si="88"/>
        <v>1.3333333333333333</v>
      </c>
      <c r="AP334" s="31">
        <f t="shared" si="89"/>
        <v>0.89769820971867009</v>
      </c>
      <c r="AQ334" s="31">
        <f t="shared" si="90"/>
        <v>0.9538461538461539</v>
      </c>
      <c r="AR334" s="31">
        <f t="shared" si="91"/>
        <v>0.80986937590711183</v>
      </c>
      <c r="AS334" s="29">
        <f t="shared" si="92"/>
        <v>25.545931623931626</v>
      </c>
      <c r="AT334" s="29">
        <f t="shared" si="93"/>
        <v>7.5713038790269582</v>
      </c>
      <c r="AU334" s="27" t="str">
        <f t="shared" si="94"/>
        <v>Medium</v>
      </c>
      <c r="AV334" s="27" t="str">
        <f t="shared" si="95"/>
        <v>Warning</v>
      </c>
      <c r="AW334" s="27"/>
    </row>
    <row r="335" spans="1:49" x14ac:dyDescent="0.25">
      <c r="A335" s="27">
        <v>334</v>
      </c>
      <c r="B335" s="28">
        <v>46192</v>
      </c>
      <c r="C335" s="28" t="str">
        <f t="shared" si="80"/>
        <v>June</v>
      </c>
      <c r="D335" s="27" t="s">
        <v>47</v>
      </c>
      <c r="E335" s="27" t="s">
        <v>61</v>
      </c>
      <c r="F335" s="27" t="s">
        <v>95</v>
      </c>
      <c r="G335" s="27" t="s">
        <v>50</v>
      </c>
      <c r="H335" s="27" t="s">
        <v>51</v>
      </c>
      <c r="I335" s="27" t="s">
        <v>458</v>
      </c>
      <c r="J335" s="27" t="s">
        <v>132</v>
      </c>
      <c r="K335" s="27">
        <v>744</v>
      </c>
      <c r="L335" s="27">
        <v>732</v>
      </c>
      <c r="M335" s="27">
        <v>685</v>
      </c>
      <c r="N335" s="27">
        <v>47</v>
      </c>
      <c r="O335" s="27">
        <v>12</v>
      </c>
      <c r="P335" s="27">
        <v>29</v>
      </c>
      <c r="Q335" s="27" t="s">
        <v>75</v>
      </c>
      <c r="R335" s="27">
        <v>42</v>
      </c>
      <c r="S335" s="27">
        <v>42</v>
      </c>
      <c r="T335" s="29">
        <v>76.400000000000006</v>
      </c>
      <c r="U335" s="29">
        <v>2.33</v>
      </c>
      <c r="V335" s="29">
        <v>24.12</v>
      </c>
      <c r="W335" s="30">
        <v>13087.91</v>
      </c>
      <c r="X335" s="27">
        <v>9.9499999999999993</v>
      </c>
      <c r="Y335" s="27" t="s">
        <v>110</v>
      </c>
      <c r="Z335" s="29">
        <v>36</v>
      </c>
      <c r="AA335" s="30">
        <v>22354.61</v>
      </c>
      <c r="AB335" s="29">
        <v>0.93579234972677605</v>
      </c>
      <c r="AC335" s="30">
        <v>17782.490000000002</v>
      </c>
      <c r="AD335" s="30">
        <v>214.555901639344</v>
      </c>
      <c r="AE335" s="27">
        <v>520.79999999999995</v>
      </c>
      <c r="AF335" s="29">
        <v>0.94431643625191997</v>
      </c>
      <c r="AG335" s="30">
        <v>4357.56409836065</v>
      </c>
      <c r="AH335" s="31">
        <f t="shared" si="81"/>
        <v>0.9838709677419355</v>
      </c>
      <c r="AI335" s="31">
        <f t="shared" si="82"/>
        <v>6.4207650273224046E-2</v>
      </c>
      <c r="AJ335" s="31">
        <f t="shared" si="83"/>
        <v>1.6393442622950821E-2</v>
      </c>
      <c r="AK335" s="31">
        <f t="shared" si="84"/>
        <v>0.93579234972677594</v>
      </c>
      <c r="AL335" s="29">
        <f t="shared" si="85"/>
        <v>0.48333333333333334</v>
      </c>
      <c r="AM335" s="29">
        <f t="shared" si="86"/>
        <v>491.79999999999995</v>
      </c>
      <c r="AN335" s="29">
        <f t="shared" si="87"/>
        <v>1.4884099227328182</v>
      </c>
      <c r="AO335" s="29">
        <f t="shared" si="88"/>
        <v>1.4285714285714286</v>
      </c>
      <c r="AP335" s="31">
        <f t="shared" si="89"/>
        <v>1.0418869459129727</v>
      </c>
      <c r="AQ335" s="31">
        <f t="shared" si="90"/>
        <v>0.93579234972677594</v>
      </c>
      <c r="AR335" s="31">
        <f t="shared" si="91"/>
        <v>0.92069892473118253</v>
      </c>
      <c r="AS335" s="29">
        <f t="shared" si="92"/>
        <v>24.293019125683063</v>
      </c>
      <c r="AT335" s="29">
        <f t="shared" si="93"/>
        <v>5.9529564185254777</v>
      </c>
      <c r="AU335" s="27" t="str">
        <f t="shared" si="94"/>
        <v>Medium</v>
      </c>
      <c r="AV335" s="27" t="str">
        <f t="shared" si="95"/>
        <v>Normal</v>
      </c>
      <c r="AW335" s="27"/>
    </row>
    <row r="336" spans="1:49" x14ac:dyDescent="0.25">
      <c r="A336" s="27">
        <v>335</v>
      </c>
      <c r="B336" s="28">
        <v>46065</v>
      </c>
      <c r="C336" s="28" t="str">
        <f t="shared" si="80"/>
        <v>February</v>
      </c>
      <c r="D336" s="27" t="s">
        <v>47</v>
      </c>
      <c r="E336" s="27" t="s">
        <v>48</v>
      </c>
      <c r="F336" s="27" t="s">
        <v>56</v>
      </c>
      <c r="G336" s="27" t="s">
        <v>63</v>
      </c>
      <c r="H336" s="27" t="s">
        <v>57</v>
      </c>
      <c r="I336" s="27" t="s">
        <v>459</v>
      </c>
      <c r="J336" s="27" t="s">
        <v>70</v>
      </c>
      <c r="K336" s="27">
        <v>777</v>
      </c>
      <c r="L336" s="27">
        <v>789</v>
      </c>
      <c r="M336" s="27">
        <v>753</v>
      </c>
      <c r="N336" s="27">
        <v>36</v>
      </c>
      <c r="O336" s="27">
        <v>8</v>
      </c>
      <c r="P336" s="27">
        <v>18</v>
      </c>
      <c r="Q336" s="27" t="s">
        <v>104</v>
      </c>
      <c r="R336" s="27">
        <v>45</v>
      </c>
      <c r="S336" s="27">
        <v>45</v>
      </c>
      <c r="T336" s="29">
        <v>74.7</v>
      </c>
      <c r="U336" s="29">
        <v>2.72</v>
      </c>
      <c r="V336" s="29">
        <v>25.45</v>
      </c>
      <c r="W336" s="30">
        <v>15744.5</v>
      </c>
      <c r="X336" s="27">
        <v>9.4</v>
      </c>
      <c r="Y336" s="27" t="s">
        <v>55</v>
      </c>
      <c r="Z336" s="29">
        <v>35</v>
      </c>
      <c r="AA336" s="30">
        <v>26964.53</v>
      </c>
      <c r="AB336" s="29">
        <v>0.95437262357414498</v>
      </c>
      <c r="AC336" s="30">
        <v>20203.55</v>
      </c>
      <c r="AD336" s="30">
        <v>159.640050697085</v>
      </c>
      <c r="AE336" s="27">
        <v>582.75</v>
      </c>
      <c r="AF336" s="29">
        <v>0.96911196911196895</v>
      </c>
      <c r="AG336" s="30">
        <v>6601.3399493029201</v>
      </c>
      <c r="AH336" s="31">
        <f t="shared" si="81"/>
        <v>1.0154440154440154</v>
      </c>
      <c r="AI336" s="31">
        <f t="shared" si="82"/>
        <v>4.5627376425855515E-2</v>
      </c>
      <c r="AJ336" s="31">
        <f t="shared" si="83"/>
        <v>1.0139416983523447E-2</v>
      </c>
      <c r="AK336" s="31">
        <f t="shared" si="84"/>
        <v>0.95437262357414454</v>
      </c>
      <c r="AL336" s="29">
        <f t="shared" si="85"/>
        <v>0.3</v>
      </c>
      <c r="AM336" s="29">
        <f t="shared" si="86"/>
        <v>564.75</v>
      </c>
      <c r="AN336" s="29">
        <f t="shared" si="87"/>
        <v>1.3970783532536521</v>
      </c>
      <c r="AO336" s="29">
        <f t="shared" si="88"/>
        <v>1.3333333333333333</v>
      </c>
      <c r="AP336" s="31">
        <f t="shared" si="89"/>
        <v>1.0478087649402392</v>
      </c>
      <c r="AQ336" s="31">
        <f t="shared" si="90"/>
        <v>0.95437262357414454</v>
      </c>
      <c r="AR336" s="31">
        <f t="shared" si="91"/>
        <v>0.96911196911196917</v>
      </c>
      <c r="AS336" s="29">
        <f t="shared" si="92"/>
        <v>25.606527249683143</v>
      </c>
      <c r="AT336" s="29">
        <f t="shared" si="93"/>
        <v>8.3667172994967309</v>
      </c>
      <c r="AU336" s="27" t="str">
        <f t="shared" si="94"/>
        <v>Medium</v>
      </c>
      <c r="AV336" s="27" t="str">
        <f t="shared" si="95"/>
        <v>Normal</v>
      </c>
      <c r="AW336" s="27"/>
    </row>
    <row r="337" spans="1:49" x14ac:dyDescent="0.25">
      <c r="A337" s="27">
        <v>336</v>
      </c>
      <c r="B337" s="28">
        <v>46128</v>
      </c>
      <c r="C337" s="28" t="str">
        <f t="shared" si="80"/>
        <v>April</v>
      </c>
      <c r="D337" s="27" t="s">
        <v>67</v>
      </c>
      <c r="E337" s="27" t="s">
        <v>76</v>
      </c>
      <c r="F337" s="27" t="s">
        <v>119</v>
      </c>
      <c r="G337" s="27" t="s">
        <v>78</v>
      </c>
      <c r="H337" s="27" t="s">
        <v>51</v>
      </c>
      <c r="I337" s="27" t="s">
        <v>460</v>
      </c>
      <c r="J337" s="27" t="s">
        <v>128</v>
      </c>
      <c r="K337" s="27">
        <v>807</v>
      </c>
      <c r="L337" s="27">
        <v>663</v>
      </c>
      <c r="M337" s="27">
        <v>599</v>
      </c>
      <c r="N337" s="27">
        <v>64</v>
      </c>
      <c r="O337" s="27">
        <v>23</v>
      </c>
      <c r="P337" s="27">
        <v>37</v>
      </c>
      <c r="Q337" s="27" t="s">
        <v>75</v>
      </c>
      <c r="R337" s="27">
        <v>42</v>
      </c>
      <c r="S337" s="27">
        <v>49</v>
      </c>
      <c r="T337" s="29">
        <v>72.400000000000006</v>
      </c>
      <c r="U337" s="29">
        <v>1.91</v>
      </c>
      <c r="V337" s="29">
        <v>27.23</v>
      </c>
      <c r="W337" s="30">
        <v>12510.37</v>
      </c>
      <c r="X337" s="27">
        <v>6.1</v>
      </c>
      <c r="Y337" s="27" t="s">
        <v>55</v>
      </c>
      <c r="Z337" s="29">
        <v>25</v>
      </c>
      <c r="AA337" s="30">
        <v>19641.95</v>
      </c>
      <c r="AB337" s="29">
        <v>0.90346907993966796</v>
      </c>
      <c r="AC337" s="30">
        <v>15500.44</v>
      </c>
      <c r="AD337" s="30">
        <v>433.99473604826602</v>
      </c>
      <c r="AE337" s="27">
        <v>564.9</v>
      </c>
      <c r="AF337" s="29">
        <v>0.93450168171357795</v>
      </c>
      <c r="AG337" s="30">
        <v>3707.51526395173</v>
      </c>
      <c r="AH337" s="31">
        <f t="shared" si="81"/>
        <v>0.82156133828996281</v>
      </c>
      <c r="AI337" s="31">
        <f t="shared" si="82"/>
        <v>9.6530920060331829E-2</v>
      </c>
      <c r="AJ337" s="31">
        <f t="shared" si="83"/>
        <v>3.4690799396681751E-2</v>
      </c>
      <c r="AK337" s="31">
        <f t="shared" si="84"/>
        <v>0.90346907993966818</v>
      </c>
      <c r="AL337" s="29">
        <f t="shared" si="85"/>
        <v>0.6166666666666667</v>
      </c>
      <c r="AM337" s="29">
        <f t="shared" si="86"/>
        <v>527.9</v>
      </c>
      <c r="AN337" s="29">
        <f t="shared" si="87"/>
        <v>1.2559196817579088</v>
      </c>
      <c r="AO337" s="29">
        <f t="shared" si="88"/>
        <v>1.4285714285714286</v>
      </c>
      <c r="AP337" s="31">
        <f t="shared" si="89"/>
        <v>0.87914377723053616</v>
      </c>
      <c r="AQ337" s="31">
        <f t="shared" si="90"/>
        <v>0.90346907993966818</v>
      </c>
      <c r="AR337" s="31">
        <f t="shared" si="91"/>
        <v>0.74225526641883544</v>
      </c>
      <c r="AS337" s="29">
        <f t="shared" si="92"/>
        <v>23.379245852187029</v>
      </c>
      <c r="AT337" s="29">
        <f t="shared" si="93"/>
        <v>5.592029055734133</v>
      </c>
      <c r="AU337" s="27" t="str">
        <f t="shared" si="94"/>
        <v>High</v>
      </c>
      <c r="AV337" s="27" t="str">
        <f t="shared" si="95"/>
        <v>Critical</v>
      </c>
      <c r="AW337" s="27"/>
    </row>
    <row r="338" spans="1:49" x14ac:dyDescent="0.25">
      <c r="A338" s="27">
        <v>337</v>
      </c>
      <c r="B338" s="28">
        <v>46137</v>
      </c>
      <c r="C338" s="28" t="str">
        <f t="shared" si="80"/>
        <v>April</v>
      </c>
      <c r="D338" s="27" t="s">
        <v>67</v>
      </c>
      <c r="E338" s="27" t="s">
        <v>76</v>
      </c>
      <c r="F338" s="27" t="s">
        <v>113</v>
      </c>
      <c r="G338" s="27" t="s">
        <v>63</v>
      </c>
      <c r="H338" s="27" t="s">
        <v>124</v>
      </c>
      <c r="I338" s="27" t="s">
        <v>461</v>
      </c>
      <c r="J338" s="27" t="s">
        <v>132</v>
      </c>
      <c r="K338" s="27">
        <v>579</v>
      </c>
      <c r="L338" s="27">
        <v>513</v>
      </c>
      <c r="M338" s="27">
        <v>493</v>
      </c>
      <c r="N338" s="27">
        <v>20</v>
      </c>
      <c r="O338" s="27">
        <v>5</v>
      </c>
      <c r="P338" s="27">
        <v>12</v>
      </c>
      <c r="Q338" s="27" t="s">
        <v>54</v>
      </c>
      <c r="R338" s="27">
        <v>57</v>
      </c>
      <c r="S338" s="27">
        <v>58</v>
      </c>
      <c r="T338" s="29">
        <v>74</v>
      </c>
      <c r="U338" s="29">
        <v>2.4</v>
      </c>
      <c r="V338" s="29">
        <v>19.18</v>
      </c>
      <c r="W338" s="30">
        <v>14488.92</v>
      </c>
      <c r="X338" s="27">
        <v>9.27</v>
      </c>
      <c r="Y338" s="27" t="s">
        <v>66</v>
      </c>
      <c r="Z338" s="29">
        <v>24</v>
      </c>
      <c r="AA338" s="30">
        <v>23191.43</v>
      </c>
      <c r="AB338" s="29">
        <v>0.96101364522417199</v>
      </c>
      <c r="AC338" s="30">
        <v>18833.04</v>
      </c>
      <c r="AD338" s="30">
        <v>141.217543859649</v>
      </c>
      <c r="AE338" s="27">
        <v>550.04999999999995</v>
      </c>
      <c r="AF338" s="29">
        <v>0.97818380147259298</v>
      </c>
      <c r="AG338" s="30">
        <v>4217.1724561403498</v>
      </c>
      <c r="AH338" s="31">
        <f t="shared" si="81"/>
        <v>0.88601036269430056</v>
      </c>
      <c r="AI338" s="31">
        <f t="shared" si="82"/>
        <v>3.8986354775828458E-2</v>
      </c>
      <c r="AJ338" s="31">
        <f t="shared" si="83"/>
        <v>9.7465886939571145E-3</v>
      </c>
      <c r="AK338" s="31">
        <f t="shared" si="84"/>
        <v>0.96101364522417154</v>
      </c>
      <c r="AL338" s="29">
        <f t="shared" si="85"/>
        <v>0.2</v>
      </c>
      <c r="AM338" s="29">
        <f t="shared" si="86"/>
        <v>538.04999999999995</v>
      </c>
      <c r="AN338" s="29">
        <f t="shared" si="87"/>
        <v>0.95344298856983556</v>
      </c>
      <c r="AO338" s="29">
        <f t="shared" si="88"/>
        <v>1.0526315789473684</v>
      </c>
      <c r="AP338" s="31">
        <f t="shared" si="89"/>
        <v>0.90577083914134382</v>
      </c>
      <c r="AQ338" s="31">
        <f t="shared" si="90"/>
        <v>0.96101364522417154</v>
      </c>
      <c r="AR338" s="31">
        <f t="shared" si="91"/>
        <v>0.85146804835923984</v>
      </c>
      <c r="AS338" s="29">
        <f t="shared" si="92"/>
        <v>36.711578947368423</v>
      </c>
      <c r="AT338" s="29">
        <f t="shared" si="93"/>
        <v>8.220609076296979</v>
      </c>
      <c r="AU338" s="27" t="str">
        <f t="shared" si="94"/>
        <v>Low</v>
      </c>
      <c r="AV338" s="27" t="str">
        <f t="shared" si="95"/>
        <v>Normal</v>
      </c>
      <c r="AW338" s="27"/>
    </row>
    <row r="339" spans="1:49" x14ac:dyDescent="0.25">
      <c r="A339" s="27">
        <v>338</v>
      </c>
      <c r="B339" s="28">
        <v>46057</v>
      </c>
      <c r="C339" s="28" t="str">
        <f t="shared" si="80"/>
        <v>February</v>
      </c>
      <c r="D339" s="27" t="s">
        <v>67</v>
      </c>
      <c r="E339" s="27" t="s">
        <v>129</v>
      </c>
      <c r="F339" s="27" t="s">
        <v>130</v>
      </c>
      <c r="G339" s="27" t="s">
        <v>78</v>
      </c>
      <c r="H339" s="27" t="s">
        <v>51</v>
      </c>
      <c r="I339" s="27" t="s">
        <v>462</v>
      </c>
      <c r="J339" s="27" t="s">
        <v>107</v>
      </c>
      <c r="K339" s="27">
        <v>867</v>
      </c>
      <c r="L339" s="27">
        <v>684</v>
      </c>
      <c r="M339" s="27">
        <v>580</v>
      </c>
      <c r="N339" s="27">
        <v>104</v>
      </c>
      <c r="O339" s="27">
        <v>30</v>
      </c>
      <c r="P339" s="27">
        <v>46</v>
      </c>
      <c r="Q339" s="27" t="s">
        <v>94</v>
      </c>
      <c r="R339" s="27">
        <v>42</v>
      </c>
      <c r="S339" s="27">
        <v>49</v>
      </c>
      <c r="T339" s="29">
        <v>81.599999999999994</v>
      </c>
      <c r="U339" s="29">
        <v>3.61</v>
      </c>
      <c r="V339" s="29">
        <v>22.42</v>
      </c>
      <c r="W339" s="30">
        <v>12001.03</v>
      </c>
      <c r="X339" s="27">
        <v>6.18</v>
      </c>
      <c r="Y339" s="27" t="s">
        <v>71</v>
      </c>
      <c r="Z339" s="29">
        <v>46</v>
      </c>
      <c r="AA339" s="30">
        <v>18160.810000000001</v>
      </c>
      <c r="AB339" s="29">
        <v>0.84795321637426901</v>
      </c>
      <c r="AC339" s="30">
        <v>14983.81</v>
      </c>
      <c r="AD339" s="30">
        <v>526.36096491228102</v>
      </c>
      <c r="AE339" s="27">
        <v>606.9</v>
      </c>
      <c r="AF339" s="29">
        <v>0.92420497610809005</v>
      </c>
      <c r="AG339" s="30">
        <v>2650.63903508772</v>
      </c>
      <c r="AH339" s="31">
        <f t="shared" si="81"/>
        <v>0.78892733564013839</v>
      </c>
      <c r="AI339" s="31">
        <f t="shared" si="82"/>
        <v>0.15204678362573099</v>
      </c>
      <c r="AJ339" s="31">
        <f t="shared" si="83"/>
        <v>4.3859649122807015E-2</v>
      </c>
      <c r="AK339" s="31">
        <f t="shared" si="84"/>
        <v>0.84795321637426901</v>
      </c>
      <c r="AL339" s="29">
        <f t="shared" si="85"/>
        <v>0.76666666666666672</v>
      </c>
      <c r="AM339" s="29">
        <f t="shared" si="86"/>
        <v>560.9</v>
      </c>
      <c r="AN339" s="29">
        <f t="shared" si="87"/>
        <v>1.2194687110001783</v>
      </c>
      <c r="AO339" s="29">
        <f t="shared" si="88"/>
        <v>1.4285714285714286</v>
      </c>
      <c r="AP339" s="31">
        <f t="shared" si="89"/>
        <v>0.85362809770012482</v>
      </c>
      <c r="AQ339" s="31">
        <f t="shared" si="90"/>
        <v>0.84795321637426901</v>
      </c>
      <c r="AR339" s="31">
        <f t="shared" si="91"/>
        <v>0.66897347174163768</v>
      </c>
      <c r="AS339" s="29">
        <f t="shared" si="92"/>
        <v>21.906154970760234</v>
      </c>
      <c r="AT339" s="29">
        <f t="shared" si="93"/>
        <v>3.8752032676721053</v>
      </c>
      <c r="AU339" s="27" t="str">
        <f t="shared" si="94"/>
        <v>High</v>
      </c>
      <c r="AV339" s="27" t="str">
        <f t="shared" si="95"/>
        <v>Critical</v>
      </c>
      <c r="AW339" s="27"/>
    </row>
    <row r="340" spans="1:49" x14ac:dyDescent="0.25">
      <c r="A340" s="27">
        <v>339</v>
      </c>
      <c r="B340" s="28">
        <v>46075</v>
      </c>
      <c r="C340" s="28" t="str">
        <f t="shared" si="80"/>
        <v>February</v>
      </c>
      <c r="D340" s="27" t="s">
        <v>47</v>
      </c>
      <c r="E340" s="27" t="s">
        <v>48</v>
      </c>
      <c r="F340" s="27" t="s">
        <v>72</v>
      </c>
      <c r="G340" s="27" t="s">
        <v>63</v>
      </c>
      <c r="H340" s="27" t="s">
        <v>57</v>
      </c>
      <c r="I340" s="27" t="s">
        <v>463</v>
      </c>
      <c r="J340" s="27" t="s">
        <v>161</v>
      </c>
      <c r="K340" s="27">
        <v>800</v>
      </c>
      <c r="L340" s="27">
        <v>731</v>
      </c>
      <c r="M340" s="27">
        <v>699</v>
      </c>
      <c r="N340" s="27">
        <v>32</v>
      </c>
      <c r="O340" s="27">
        <v>7</v>
      </c>
      <c r="P340" s="27">
        <v>27</v>
      </c>
      <c r="Q340" s="27" t="s">
        <v>54</v>
      </c>
      <c r="R340" s="27">
        <v>45</v>
      </c>
      <c r="S340" s="27">
        <v>44</v>
      </c>
      <c r="T340" s="29">
        <v>75.099999999999994</v>
      </c>
      <c r="U340" s="29">
        <v>1.84</v>
      </c>
      <c r="V340" s="29">
        <v>30.13</v>
      </c>
      <c r="W340" s="30">
        <v>15796.54</v>
      </c>
      <c r="X340" s="27">
        <v>7.66</v>
      </c>
      <c r="Y340" s="27" t="s">
        <v>55</v>
      </c>
      <c r="Z340" s="29">
        <v>11</v>
      </c>
      <c r="AA340" s="30">
        <v>24422.01</v>
      </c>
      <c r="AB340" s="29">
        <v>0.95622435020519803</v>
      </c>
      <c r="AC340" s="30">
        <v>19514.71</v>
      </c>
      <c r="AD340" s="30">
        <v>151.26645690834499</v>
      </c>
      <c r="AE340" s="27">
        <v>600</v>
      </c>
      <c r="AF340" s="29">
        <v>0.95499999999999996</v>
      </c>
      <c r="AG340" s="30">
        <v>4756.0335430916602</v>
      </c>
      <c r="AH340" s="31">
        <f t="shared" si="81"/>
        <v>0.91374999999999995</v>
      </c>
      <c r="AI340" s="31">
        <f t="shared" si="82"/>
        <v>4.3775649794801641E-2</v>
      </c>
      <c r="AJ340" s="31">
        <f t="shared" si="83"/>
        <v>9.575923392612859E-3</v>
      </c>
      <c r="AK340" s="31">
        <f t="shared" si="84"/>
        <v>0.95622435020519836</v>
      </c>
      <c r="AL340" s="29">
        <f t="shared" si="85"/>
        <v>0.45</v>
      </c>
      <c r="AM340" s="29">
        <f t="shared" si="86"/>
        <v>573</v>
      </c>
      <c r="AN340" s="29">
        <f t="shared" si="87"/>
        <v>1.2757417102966842</v>
      </c>
      <c r="AO340" s="29">
        <f t="shared" si="88"/>
        <v>1.3333333333333333</v>
      </c>
      <c r="AP340" s="31">
        <f t="shared" si="89"/>
        <v>0.95680628272251311</v>
      </c>
      <c r="AQ340" s="31">
        <f t="shared" si="90"/>
        <v>0.95622435020519836</v>
      </c>
      <c r="AR340" s="31">
        <f t="shared" si="91"/>
        <v>0.87374999999999992</v>
      </c>
      <c r="AS340" s="29">
        <f t="shared" si="92"/>
        <v>26.695909712722298</v>
      </c>
      <c r="AT340" s="29">
        <f t="shared" si="93"/>
        <v>6.5062018373346922</v>
      </c>
      <c r="AU340" s="27" t="str">
        <f t="shared" si="94"/>
        <v>Low</v>
      </c>
      <c r="AV340" s="27" t="str">
        <f t="shared" si="95"/>
        <v>Normal</v>
      </c>
      <c r="AW340" s="27"/>
    </row>
    <row r="341" spans="1:49" x14ac:dyDescent="0.25">
      <c r="A341" s="27">
        <v>340</v>
      </c>
      <c r="B341" s="28">
        <v>46131</v>
      </c>
      <c r="C341" s="28" t="str">
        <f t="shared" si="80"/>
        <v>April</v>
      </c>
      <c r="D341" s="27" t="s">
        <v>67</v>
      </c>
      <c r="E341" s="27" t="s">
        <v>98</v>
      </c>
      <c r="F341" s="27" t="s">
        <v>99</v>
      </c>
      <c r="G341" s="27" t="s">
        <v>50</v>
      </c>
      <c r="H341" s="27" t="s">
        <v>79</v>
      </c>
      <c r="I341" s="27" t="s">
        <v>464</v>
      </c>
      <c r="J341" s="27" t="s">
        <v>140</v>
      </c>
      <c r="K341" s="27">
        <v>773</v>
      </c>
      <c r="L341" s="27">
        <v>768</v>
      </c>
      <c r="M341" s="27">
        <v>732</v>
      </c>
      <c r="N341" s="27">
        <v>36</v>
      </c>
      <c r="O341" s="27">
        <v>7</v>
      </c>
      <c r="P341" s="27">
        <v>41</v>
      </c>
      <c r="Q341" s="27" t="s">
        <v>75</v>
      </c>
      <c r="R341" s="27">
        <v>49</v>
      </c>
      <c r="S341" s="27">
        <v>50</v>
      </c>
      <c r="T341" s="29">
        <v>67.400000000000006</v>
      </c>
      <c r="U341" s="29">
        <v>2.1800000000000002</v>
      </c>
      <c r="V341" s="29">
        <v>25.07</v>
      </c>
      <c r="W341" s="30">
        <v>16195.95</v>
      </c>
      <c r="X341" s="27">
        <v>7.78</v>
      </c>
      <c r="Y341" s="27" t="s">
        <v>55</v>
      </c>
      <c r="Z341" s="29">
        <v>38</v>
      </c>
      <c r="AA341" s="30">
        <v>27817.17</v>
      </c>
      <c r="AB341" s="29">
        <v>0.953125</v>
      </c>
      <c r="AC341" s="30">
        <v>19922.580000000002</v>
      </c>
      <c r="AD341" s="30">
        <v>147.61933593750001</v>
      </c>
      <c r="AE341" s="27">
        <v>631.28333333333296</v>
      </c>
      <c r="AF341" s="29">
        <v>0.93505293449850801</v>
      </c>
      <c r="AG341" s="30">
        <v>7746.9706640625</v>
      </c>
      <c r="AH341" s="31">
        <f t="shared" si="81"/>
        <v>0.99353169469598968</v>
      </c>
      <c r="AI341" s="31">
        <f t="shared" si="82"/>
        <v>4.6875E-2</v>
      </c>
      <c r="AJ341" s="31">
        <f t="shared" si="83"/>
        <v>9.1145833333333339E-3</v>
      </c>
      <c r="AK341" s="31">
        <f t="shared" si="84"/>
        <v>0.953125</v>
      </c>
      <c r="AL341" s="29">
        <f t="shared" si="85"/>
        <v>0.68333333333333335</v>
      </c>
      <c r="AM341" s="29">
        <f t="shared" si="86"/>
        <v>590.28333333333296</v>
      </c>
      <c r="AN341" s="29">
        <f t="shared" si="87"/>
        <v>1.3010701075754589</v>
      </c>
      <c r="AO341" s="29">
        <f t="shared" si="88"/>
        <v>1.2244897959183674</v>
      </c>
      <c r="AP341" s="31">
        <f t="shared" si="89"/>
        <v>1.0625405878532914</v>
      </c>
      <c r="AQ341" s="31">
        <f t="shared" si="90"/>
        <v>0.953125</v>
      </c>
      <c r="AR341" s="31">
        <f t="shared" si="91"/>
        <v>0.94695989650711532</v>
      </c>
      <c r="AS341" s="29">
        <f t="shared" si="92"/>
        <v>25.940859375000002</v>
      </c>
      <c r="AT341" s="29">
        <f t="shared" si="93"/>
        <v>10.087201385498046</v>
      </c>
      <c r="AU341" s="27" t="str">
        <f t="shared" si="94"/>
        <v>Medium</v>
      </c>
      <c r="AV341" s="27" t="str">
        <f t="shared" si="95"/>
        <v>Normal</v>
      </c>
      <c r="AW341" s="27"/>
    </row>
    <row r="342" spans="1:49" x14ac:dyDescent="0.25">
      <c r="A342" s="27">
        <v>341</v>
      </c>
      <c r="B342" s="28">
        <v>46118</v>
      </c>
      <c r="C342" s="28" t="str">
        <f t="shared" si="80"/>
        <v>April</v>
      </c>
      <c r="D342" s="27" t="s">
        <v>67</v>
      </c>
      <c r="E342" s="27" t="s">
        <v>61</v>
      </c>
      <c r="F342" s="27" t="s">
        <v>62</v>
      </c>
      <c r="G342" s="27" t="s">
        <v>78</v>
      </c>
      <c r="H342" s="27" t="s">
        <v>68</v>
      </c>
      <c r="I342" s="27" t="s">
        <v>465</v>
      </c>
      <c r="J342" s="27" t="s">
        <v>155</v>
      </c>
      <c r="K342" s="27">
        <v>548</v>
      </c>
      <c r="L342" s="27">
        <v>580</v>
      </c>
      <c r="M342" s="27">
        <v>548</v>
      </c>
      <c r="N342" s="27">
        <v>32</v>
      </c>
      <c r="O342" s="27">
        <v>9</v>
      </c>
      <c r="P342" s="27">
        <v>0</v>
      </c>
      <c r="Q342" s="27" t="s">
        <v>60</v>
      </c>
      <c r="R342" s="27">
        <v>64</v>
      </c>
      <c r="S342" s="27">
        <v>67</v>
      </c>
      <c r="T342" s="29">
        <v>74.7</v>
      </c>
      <c r="U342" s="29">
        <v>1.62</v>
      </c>
      <c r="V342" s="29">
        <v>18.16</v>
      </c>
      <c r="W342" s="30">
        <v>18459.52</v>
      </c>
      <c r="X342" s="27">
        <v>9.4</v>
      </c>
      <c r="Y342" s="27" t="s">
        <v>55</v>
      </c>
      <c r="Z342" s="29">
        <v>13</v>
      </c>
      <c r="AA342" s="30">
        <v>28818.27</v>
      </c>
      <c r="AB342" s="29">
        <v>0.944827586206897</v>
      </c>
      <c r="AC342" s="30">
        <v>22852.959999999999</v>
      </c>
      <c r="AD342" s="30">
        <v>286.44082758620698</v>
      </c>
      <c r="AE342" s="27">
        <v>584.53333333333296</v>
      </c>
      <c r="AF342" s="29">
        <v>1</v>
      </c>
      <c r="AG342" s="30">
        <v>5678.8691724137898</v>
      </c>
      <c r="AH342" s="31">
        <f t="shared" si="81"/>
        <v>1.0583941605839415</v>
      </c>
      <c r="AI342" s="31">
        <f t="shared" si="82"/>
        <v>5.5172413793103448E-2</v>
      </c>
      <c r="AJ342" s="31">
        <f t="shared" si="83"/>
        <v>1.5517241379310345E-2</v>
      </c>
      <c r="AK342" s="31">
        <f t="shared" si="84"/>
        <v>0.94482758620689655</v>
      </c>
      <c r="AL342" s="29">
        <f t="shared" si="85"/>
        <v>0</v>
      </c>
      <c r="AM342" s="29">
        <f t="shared" si="86"/>
        <v>584.53333333333296</v>
      </c>
      <c r="AN342" s="29">
        <f t="shared" si="87"/>
        <v>0.99224452554744591</v>
      </c>
      <c r="AO342" s="29">
        <f t="shared" si="88"/>
        <v>0.9375</v>
      </c>
      <c r="AP342" s="31">
        <f t="shared" si="89"/>
        <v>1.0583941605839422</v>
      </c>
      <c r="AQ342" s="31">
        <f t="shared" si="90"/>
        <v>0.94482758620689655</v>
      </c>
      <c r="AR342" s="31">
        <f t="shared" si="91"/>
        <v>1.0000000000000007</v>
      </c>
      <c r="AS342" s="29">
        <f t="shared" si="92"/>
        <v>39.40165517241379</v>
      </c>
      <c r="AT342" s="29">
        <f t="shared" si="93"/>
        <v>9.7911537455410169</v>
      </c>
      <c r="AU342" s="27" t="str">
        <f t="shared" si="94"/>
        <v>Low</v>
      </c>
      <c r="AV342" s="27" t="str">
        <f t="shared" si="95"/>
        <v>Normal</v>
      </c>
      <c r="AW342" s="27"/>
    </row>
    <row r="343" spans="1:49" x14ac:dyDescent="0.25">
      <c r="A343" s="27">
        <v>342</v>
      </c>
      <c r="B343" s="28">
        <v>46201</v>
      </c>
      <c r="C343" s="28" t="str">
        <f t="shared" si="80"/>
        <v>June</v>
      </c>
      <c r="D343" s="27" t="s">
        <v>47</v>
      </c>
      <c r="E343" s="27" t="s">
        <v>61</v>
      </c>
      <c r="F343" s="27" t="s">
        <v>62</v>
      </c>
      <c r="G343" s="27" t="s">
        <v>63</v>
      </c>
      <c r="H343" s="27" t="s">
        <v>51</v>
      </c>
      <c r="I343" s="27" t="s">
        <v>466</v>
      </c>
      <c r="J343" s="27" t="s">
        <v>86</v>
      </c>
      <c r="K343" s="27">
        <v>905</v>
      </c>
      <c r="L343" s="27">
        <v>895</v>
      </c>
      <c r="M343" s="27">
        <v>859</v>
      </c>
      <c r="N343" s="27">
        <v>36</v>
      </c>
      <c r="O343" s="27">
        <v>12</v>
      </c>
      <c r="P343" s="27">
        <v>12</v>
      </c>
      <c r="Q343" s="27" t="s">
        <v>102</v>
      </c>
      <c r="R343" s="27">
        <v>42</v>
      </c>
      <c r="S343" s="27">
        <v>42</v>
      </c>
      <c r="T343" s="29">
        <v>64.7</v>
      </c>
      <c r="U343" s="29">
        <v>2.2400000000000002</v>
      </c>
      <c r="V343" s="29">
        <v>36.96</v>
      </c>
      <c r="W343" s="30">
        <v>15588.56</v>
      </c>
      <c r="X343" s="27">
        <v>9.64</v>
      </c>
      <c r="Y343" s="27" t="s">
        <v>110</v>
      </c>
      <c r="Z343" s="29">
        <v>34</v>
      </c>
      <c r="AA343" s="30">
        <v>28175.56</v>
      </c>
      <c r="AB343" s="29">
        <v>0.95977653631284898</v>
      </c>
      <c r="AC343" s="30">
        <v>20259.2</v>
      </c>
      <c r="AD343" s="30">
        <v>209.00862569832401</v>
      </c>
      <c r="AE343" s="27">
        <v>633.5</v>
      </c>
      <c r="AF343" s="29">
        <v>0.98105761641673195</v>
      </c>
      <c r="AG343" s="30">
        <v>7707.3513743016802</v>
      </c>
      <c r="AH343" s="31">
        <f t="shared" si="81"/>
        <v>0.98895027624309395</v>
      </c>
      <c r="AI343" s="31">
        <f t="shared" si="82"/>
        <v>4.0223463687150837E-2</v>
      </c>
      <c r="AJ343" s="31">
        <f t="shared" si="83"/>
        <v>1.3407821229050279E-2</v>
      </c>
      <c r="AK343" s="31">
        <f t="shared" si="84"/>
        <v>0.9597765363128492</v>
      </c>
      <c r="AL343" s="29">
        <f t="shared" si="85"/>
        <v>0.2</v>
      </c>
      <c r="AM343" s="29">
        <f t="shared" si="86"/>
        <v>621.5</v>
      </c>
      <c r="AN343" s="29">
        <f t="shared" si="87"/>
        <v>1.4400643604183427</v>
      </c>
      <c r="AO343" s="29">
        <f t="shared" si="88"/>
        <v>1.4285714285714286</v>
      </c>
      <c r="AP343" s="31">
        <f t="shared" si="89"/>
        <v>1.0080450522928399</v>
      </c>
      <c r="AQ343" s="31">
        <f t="shared" si="90"/>
        <v>0.9597765363128492</v>
      </c>
      <c r="AR343" s="31">
        <f t="shared" si="91"/>
        <v>0.9491712707182316</v>
      </c>
      <c r="AS343" s="29">
        <f t="shared" si="92"/>
        <v>22.635977653631286</v>
      </c>
      <c r="AT343" s="29">
        <f t="shared" si="93"/>
        <v>8.6115657813426587</v>
      </c>
      <c r="AU343" s="27" t="str">
        <f t="shared" si="94"/>
        <v>Medium</v>
      </c>
      <c r="AV343" s="27" t="str">
        <f t="shared" si="95"/>
        <v>Normal</v>
      </c>
      <c r="AW343" s="27"/>
    </row>
    <row r="344" spans="1:49" x14ac:dyDescent="0.25">
      <c r="A344" s="27">
        <v>343</v>
      </c>
      <c r="B344" s="28">
        <v>46124</v>
      </c>
      <c r="C344" s="28" t="str">
        <f t="shared" si="80"/>
        <v>April</v>
      </c>
      <c r="D344" s="27" t="s">
        <v>47</v>
      </c>
      <c r="E344" s="27" t="s">
        <v>76</v>
      </c>
      <c r="F344" s="27" t="s">
        <v>77</v>
      </c>
      <c r="G344" s="27" t="s">
        <v>78</v>
      </c>
      <c r="H344" s="27" t="s">
        <v>51</v>
      </c>
      <c r="I344" s="27" t="s">
        <v>467</v>
      </c>
      <c r="J344" s="27" t="s">
        <v>74</v>
      </c>
      <c r="K344" s="27">
        <v>849</v>
      </c>
      <c r="L344" s="27">
        <v>753</v>
      </c>
      <c r="M344" s="27">
        <v>703</v>
      </c>
      <c r="N344" s="27">
        <v>50</v>
      </c>
      <c r="O344" s="27">
        <v>16</v>
      </c>
      <c r="P344" s="27">
        <v>22</v>
      </c>
      <c r="Q344" s="27" t="s">
        <v>97</v>
      </c>
      <c r="R344" s="27">
        <v>42</v>
      </c>
      <c r="S344" s="27">
        <v>45</v>
      </c>
      <c r="T344" s="29">
        <v>63.7</v>
      </c>
      <c r="U344" s="29">
        <v>2.9</v>
      </c>
      <c r="V344" s="29">
        <v>30.38</v>
      </c>
      <c r="W344" s="30">
        <v>13544.38</v>
      </c>
      <c r="X344" s="27">
        <v>7</v>
      </c>
      <c r="Y344" s="27" t="s">
        <v>66</v>
      </c>
      <c r="Z344" s="29">
        <v>9</v>
      </c>
      <c r="AA344" s="30">
        <v>22764.61</v>
      </c>
      <c r="AB344" s="29">
        <v>0.93359893758300105</v>
      </c>
      <c r="AC344" s="30">
        <v>16967.8</v>
      </c>
      <c r="AD344" s="30">
        <v>287.79559096945599</v>
      </c>
      <c r="AE344" s="27">
        <v>594.29999999999995</v>
      </c>
      <c r="AF344" s="29">
        <v>0.96298165909473299</v>
      </c>
      <c r="AG344" s="30">
        <v>5509.0144090305503</v>
      </c>
      <c r="AH344" s="31">
        <f t="shared" si="81"/>
        <v>0.88692579505300351</v>
      </c>
      <c r="AI344" s="31">
        <f t="shared" si="82"/>
        <v>6.6401062416998669E-2</v>
      </c>
      <c r="AJ344" s="31">
        <f t="shared" si="83"/>
        <v>2.1248339973439574E-2</v>
      </c>
      <c r="AK344" s="31">
        <f t="shared" si="84"/>
        <v>0.93359893758300128</v>
      </c>
      <c r="AL344" s="29">
        <f t="shared" si="85"/>
        <v>0.36666666666666664</v>
      </c>
      <c r="AM344" s="29">
        <f t="shared" si="86"/>
        <v>572.29999999999995</v>
      </c>
      <c r="AN344" s="29">
        <f t="shared" si="87"/>
        <v>1.3157434911759567</v>
      </c>
      <c r="AO344" s="29">
        <f t="shared" si="88"/>
        <v>1.4285714285714286</v>
      </c>
      <c r="AP344" s="31">
        <f t="shared" si="89"/>
        <v>0.92102044382316961</v>
      </c>
      <c r="AQ344" s="31">
        <f t="shared" si="90"/>
        <v>0.93359893758300128</v>
      </c>
      <c r="AR344" s="31">
        <f t="shared" si="91"/>
        <v>0.82803297997644254</v>
      </c>
      <c r="AS344" s="29">
        <f t="shared" si="92"/>
        <v>22.533598937583001</v>
      </c>
      <c r="AT344" s="29">
        <f t="shared" si="93"/>
        <v>7.3160881926036527</v>
      </c>
      <c r="AU344" s="27" t="str">
        <f t="shared" si="94"/>
        <v>Medium</v>
      </c>
      <c r="AV344" s="27" t="str">
        <f t="shared" si="95"/>
        <v>Warning</v>
      </c>
      <c r="AW344" s="27"/>
    </row>
    <row r="345" spans="1:49" x14ac:dyDescent="0.25">
      <c r="A345" s="27">
        <v>344</v>
      </c>
      <c r="B345" s="28">
        <v>46024</v>
      </c>
      <c r="C345" s="28" t="str">
        <f t="shared" si="80"/>
        <v>January</v>
      </c>
      <c r="D345" s="27" t="s">
        <v>47</v>
      </c>
      <c r="E345" s="27" t="s">
        <v>61</v>
      </c>
      <c r="F345" s="27" t="s">
        <v>88</v>
      </c>
      <c r="G345" s="27" t="s">
        <v>50</v>
      </c>
      <c r="H345" s="27" t="s">
        <v>57</v>
      </c>
      <c r="I345" s="27" t="s">
        <v>468</v>
      </c>
      <c r="J345" s="27" t="s">
        <v>107</v>
      </c>
      <c r="K345" s="27">
        <v>948</v>
      </c>
      <c r="L345" s="27">
        <v>1007</v>
      </c>
      <c r="M345" s="27">
        <v>972</v>
      </c>
      <c r="N345" s="27">
        <v>35</v>
      </c>
      <c r="O345" s="27">
        <v>7</v>
      </c>
      <c r="P345" s="27">
        <v>15</v>
      </c>
      <c r="Q345" s="27" t="s">
        <v>54</v>
      </c>
      <c r="R345" s="27">
        <v>45</v>
      </c>
      <c r="S345" s="27">
        <v>44</v>
      </c>
      <c r="T345" s="29">
        <v>75.8</v>
      </c>
      <c r="U345" s="29">
        <v>2.42</v>
      </c>
      <c r="V345" s="29">
        <v>36.270000000000003</v>
      </c>
      <c r="W345" s="30">
        <v>19902.66</v>
      </c>
      <c r="X345" s="27">
        <v>10.28</v>
      </c>
      <c r="Y345" s="27" t="s">
        <v>66</v>
      </c>
      <c r="Z345" s="29">
        <v>12</v>
      </c>
      <c r="AA345" s="30">
        <v>33391.08</v>
      </c>
      <c r="AB345" s="29">
        <v>0.96524329692154898</v>
      </c>
      <c r="AC345" s="30">
        <v>24855.09</v>
      </c>
      <c r="AD345" s="30">
        <v>138.35016881827201</v>
      </c>
      <c r="AE345" s="27">
        <v>711</v>
      </c>
      <c r="AF345" s="29">
        <v>0.97890295358649804</v>
      </c>
      <c r="AG345" s="30">
        <v>8397.6398311817302</v>
      </c>
      <c r="AH345" s="31">
        <f t="shared" si="81"/>
        <v>1.0622362869198312</v>
      </c>
      <c r="AI345" s="31">
        <f t="shared" si="82"/>
        <v>3.4756703078450843E-2</v>
      </c>
      <c r="AJ345" s="31">
        <f t="shared" si="83"/>
        <v>6.9513406156901684E-3</v>
      </c>
      <c r="AK345" s="31">
        <f t="shared" si="84"/>
        <v>0.9652432969215492</v>
      </c>
      <c r="AL345" s="29">
        <f t="shared" si="85"/>
        <v>0.25</v>
      </c>
      <c r="AM345" s="29">
        <f t="shared" si="86"/>
        <v>696</v>
      </c>
      <c r="AN345" s="29">
        <f t="shared" si="87"/>
        <v>1.4468390804597702</v>
      </c>
      <c r="AO345" s="29">
        <f t="shared" si="88"/>
        <v>1.3333333333333333</v>
      </c>
      <c r="AP345" s="31">
        <f t="shared" si="89"/>
        <v>1.0851293103448276</v>
      </c>
      <c r="AQ345" s="31">
        <f t="shared" si="90"/>
        <v>0.9652432969215492</v>
      </c>
      <c r="AR345" s="31">
        <f t="shared" si="91"/>
        <v>1.0253164556962027</v>
      </c>
      <c r="AS345" s="29">
        <f t="shared" si="92"/>
        <v>24.682313803376367</v>
      </c>
      <c r="AT345" s="29">
        <f t="shared" si="93"/>
        <v>8.3392649763472999</v>
      </c>
      <c r="AU345" s="27" t="str">
        <f t="shared" si="94"/>
        <v>Low</v>
      </c>
      <c r="AV345" s="27" t="str">
        <f t="shared" si="95"/>
        <v>Normal</v>
      </c>
      <c r="AW345" s="27"/>
    </row>
    <row r="346" spans="1:49" x14ac:dyDescent="0.25">
      <c r="A346" s="27">
        <v>345</v>
      </c>
      <c r="B346" s="28">
        <v>46127</v>
      </c>
      <c r="C346" s="28" t="str">
        <f t="shared" si="80"/>
        <v>April</v>
      </c>
      <c r="D346" s="27" t="s">
        <v>67</v>
      </c>
      <c r="E346" s="27" t="s">
        <v>76</v>
      </c>
      <c r="F346" s="27" t="s">
        <v>77</v>
      </c>
      <c r="G346" s="27" t="s">
        <v>78</v>
      </c>
      <c r="H346" s="27" t="s">
        <v>51</v>
      </c>
      <c r="I346" s="27" t="s">
        <v>469</v>
      </c>
      <c r="J346" s="27" t="s">
        <v>143</v>
      </c>
      <c r="K346" s="27">
        <v>763</v>
      </c>
      <c r="L346" s="27">
        <v>621</v>
      </c>
      <c r="M346" s="27">
        <v>582</v>
      </c>
      <c r="N346" s="27">
        <v>39</v>
      </c>
      <c r="O346" s="27">
        <v>12</v>
      </c>
      <c r="P346" s="27">
        <v>37</v>
      </c>
      <c r="Q346" s="27" t="s">
        <v>94</v>
      </c>
      <c r="R346" s="27">
        <v>42</v>
      </c>
      <c r="S346" s="27">
        <v>44</v>
      </c>
      <c r="T346" s="29">
        <v>70</v>
      </c>
      <c r="U346" s="29">
        <v>2.79</v>
      </c>
      <c r="V346" s="29">
        <v>26.8</v>
      </c>
      <c r="W346" s="30">
        <v>11519.29</v>
      </c>
      <c r="X346" s="27">
        <v>5.88</v>
      </c>
      <c r="Y346" s="27" t="s">
        <v>110</v>
      </c>
      <c r="Z346" s="29">
        <v>22</v>
      </c>
      <c r="AA346" s="30">
        <v>19168.080000000002</v>
      </c>
      <c r="AB346" s="29">
        <v>0.93719806763284996</v>
      </c>
      <c r="AC346" s="30">
        <v>14406.49</v>
      </c>
      <c r="AD346" s="30">
        <v>222.594975845411</v>
      </c>
      <c r="AE346" s="27">
        <v>534.1</v>
      </c>
      <c r="AF346" s="29">
        <v>0.93072458341134601</v>
      </c>
      <c r="AG346" s="30">
        <v>4538.9950241545903</v>
      </c>
      <c r="AH346" s="31">
        <f t="shared" si="81"/>
        <v>0.81389252948885982</v>
      </c>
      <c r="AI346" s="31">
        <f t="shared" si="82"/>
        <v>6.280193236714976E-2</v>
      </c>
      <c r="AJ346" s="31">
        <f t="shared" si="83"/>
        <v>1.932367149758454E-2</v>
      </c>
      <c r="AK346" s="31">
        <f t="shared" si="84"/>
        <v>0.9371980676328503</v>
      </c>
      <c r="AL346" s="29">
        <f t="shared" si="85"/>
        <v>0.6166666666666667</v>
      </c>
      <c r="AM346" s="29">
        <f t="shared" si="86"/>
        <v>497.1</v>
      </c>
      <c r="AN346" s="29">
        <f t="shared" si="87"/>
        <v>1.2492456246228123</v>
      </c>
      <c r="AO346" s="29">
        <f t="shared" si="88"/>
        <v>1.4285714285714286</v>
      </c>
      <c r="AP346" s="31">
        <f t="shared" si="89"/>
        <v>0.87447193723596861</v>
      </c>
      <c r="AQ346" s="31">
        <f t="shared" si="90"/>
        <v>0.9371980676328503</v>
      </c>
      <c r="AR346" s="31">
        <f t="shared" si="91"/>
        <v>0.76277850589777185</v>
      </c>
      <c r="AS346" s="29">
        <f t="shared" si="92"/>
        <v>23.198856682769726</v>
      </c>
      <c r="AT346" s="29">
        <f t="shared" si="93"/>
        <v>7.3091707313278427</v>
      </c>
      <c r="AU346" s="27" t="str">
        <f t="shared" si="94"/>
        <v>High</v>
      </c>
      <c r="AV346" s="27" t="str">
        <f t="shared" si="95"/>
        <v>Warning</v>
      </c>
      <c r="AW346" s="27"/>
    </row>
    <row r="347" spans="1:49" x14ac:dyDescent="0.25">
      <c r="A347" s="27">
        <v>346</v>
      </c>
      <c r="B347" s="28">
        <v>46091</v>
      </c>
      <c r="C347" s="28" t="str">
        <f t="shared" si="80"/>
        <v>March</v>
      </c>
      <c r="D347" s="27" t="s">
        <v>67</v>
      </c>
      <c r="E347" s="27" t="s">
        <v>61</v>
      </c>
      <c r="F347" s="27" t="s">
        <v>62</v>
      </c>
      <c r="G347" s="27" t="s">
        <v>63</v>
      </c>
      <c r="H347" s="27" t="s">
        <v>79</v>
      </c>
      <c r="I347" s="27" t="s">
        <v>470</v>
      </c>
      <c r="J347" s="27" t="s">
        <v>226</v>
      </c>
      <c r="K347" s="27">
        <v>781</v>
      </c>
      <c r="L347" s="27">
        <v>774</v>
      </c>
      <c r="M347" s="27">
        <v>745</v>
      </c>
      <c r="N347" s="27">
        <v>29</v>
      </c>
      <c r="O347" s="27">
        <v>8</v>
      </c>
      <c r="P347" s="27">
        <v>43</v>
      </c>
      <c r="Q347" s="27" t="s">
        <v>75</v>
      </c>
      <c r="R347" s="27">
        <v>49</v>
      </c>
      <c r="S347" s="27">
        <v>47</v>
      </c>
      <c r="T347" s="29">
        <v>69.2</v>
      </c>
      <c r="U347" s="29">
        <v>2.37</v>
      </c>
      <c r="V347" s="29">
        <v>31.45</v>
      </c>
      <c r="W347" s="30">
        <v>17820.759999999998</v>
      </c>
      <c r="X347" s="27">
        <v>7.59</v>
      </c>
      <c r="Y347" s="27" t="s">
        <v>110</v>
      </c>
      <c r="Z347" s="29">
        <v>31</v>
      </c>
      <c r="AA347" s="30">
        <v>28936.79</v>
      </c>
      <c r="AB347" s="29">
        <v>0.96253229974160204</v>
      </c>
      <c r="AC347" s="30">
        <v>21519.31</v>
      </c>
      <c r="AD347" s="30">
        <v>184.19390180878599</v>
      </c>
      <c r="AE347" s="27">
        <v>637.81666666666695</v>
      </c>
      <c r="AF347" s="29">
        <v>0.93258250803522402</v>
      </c>
      <c r="AG347" s="30">
        <v>7233.2860981912199</v>
      </c>
      <c r="AH347" s="31">
        <f t="shared" si="81"/>
        <v>0.99103713188220233</v>
      </c>
      <c r="AI347" s="31">
        <f t="shared" si="82"/>
        <v>3.7467700258397935E-2</v>
      </c>
      <c r="AJ347" s="31">
        <f t="shared" si="83"/>
        <v>1.0335917312661499E-2</v>
      </c>
      <c r="AK347" s="31">
        <f t="shared" si="84"/>
        <v>0.96253229974160204</v>
      </c>
      <c r="AL347" s="29">
        <f t="shared" si="85"/>
        <v>0.71666666666666667</v>
      </c>
      <c r="AM347" s="29">
        <f t="shared" si="86"/>
        <v>594.81666666666695</v>
      </c>
      <c r="AN347" s="29">
        <f t="shared" si="87"/>
        <v>1.3012412788254077</v>
      </c>
      <c r="AO347" s="29">
        <f t="shared" si="88"/>
        <v>1.2244897959183674</v>
      </c>
      <c r="AP347" s="31">
        <f t="shared" si="89"/>
        <v>1.0626803777074163</v>
      </c>
      <c r="AQ347" s="31">
        <f t="shared" si="90"/>
        <v>0.96253229974160204</v>
      </c>
      <c r="AR347" s="31">
        <f t="shared" si="91"/>
        <v>0.95390524967989665</v>
      </c>
      <c r="AS347" s="29">
        <f t="shared" si="92"/>
        <v>27.802726098191215</v>
      </c>
      <c r="AT347" s="29">
        <f t="shared" si="93"/>
        <v>9.3453308762160461</v>
      </c>
      <c r="AU347" s="27" t="str">
        <f t="shared" si="94"/>
        <v>Medium</v>
      </c>
      <c r="AV347" s="27" t="str">
        <f t="shared" si="95"/>
        <v>Normal</v>
      </c>
      <c r="AW347" s="27"/>
    </row>
    <row r="348" spans="1:49" x14ac:dyDescent="0.25">
      <c r="A348" s="27">
        <v>347</v>
      </c>
      <c r="B348" s="28">
        <v>46094</v>
      </c>
      <c r="C348" s="28" t="str">
        <f t="shared" si="80"/>
        <v>March</v>
      </c>
      <c r="D348" s="27" t="s">
        <v>47</v>
      </c>
      <c r="E348" s="27" t="s">
        <v>129</v>
      </c>
      <c r="F348" s="27" t="s">
        <v>151</v>
      </c>
      <c r="G348" s="27" t="s">
        <v>63</v>
      </c>
      <c r="H348" s="27" t="s">
        <v>57</v>
      </c>
      <c r="I348" s="27" t="s">
        <v>471</v>
      </c>
      <c r="J348" s="27" t="s">
        <v>84</v>
      </c>
      <c r="K348" s="27">
        <v>943</v>
      </c>
      <c r="L348" s="27">
        <v>781</v>
      </c>
      <c r="M348" s="27">
        <v>740</v>
      </c>
      <c r="N348" s="27">
        <v>41</v>
      </c>
      <c r="O348" s="27">
        <v>12</v>
      </c>
      <c r="P348" s="27">
        <v>70</v>
      </c>
      <c r="Q348" s="27" t="s">
        <v>97</v>
      </c>
      <c r="R348" s="27">
        <v>45</v>
      </c>
      <c r="S348" s="27">
        <v>48</v>
      </c>
      <c r="T348" s="29">
        <v>72.5</v>
      </c>
      <c r="U348" s="29">
        <v>2.86</v>
      </c>
      <c r="V348" s="29">
        <v>31.6</v>
      </c>
      <c r="W348" s="30">
        <v>16226.82</v>
      </c>
      <c r="X348" s="27">
        <v>6.19</v>
      </c>
      <c r="Y348" s="27" t="s">
        <v>66</v>
      </c>
      <c r="Z348" s="29">
        <v>37</v>
      </c>
      <c r="AA348" s="30">
        <v>26570.53</v>
      </c>
      <c r="AB348" s="29">
        <v>0.94750320102432795</v>
      </c>
      <c r="AC348" s="30">
        <v>19296.72</v>
      </c>
      <c r="AD348" s="30">
        <v>249.323738796415</v>
      </c>
      <c r="AE348" s="27">
        <v>707.25</v>
      </c>
      <c r="AF348" s="29">
        <v>0.90102509720749402</v>
      </c>
      <c r="AG348" s="30">
        <v>7024.4862612035804</v>
      </c>
      <c r="AH348" s="31">
        <f t="shared" si="81"/>
        <v>0.82820784729586427</v>
      </c>
      <c r="AI348" s="31">
        <f t="shared" si="82"/>
        <v>5.2496798975672214E-2</v>
      </c>
      <c r="AJ348" s="31">
        <f t="shared" si="83"/>
        <v>1.5364916773367477E-2</v>
      </c>
      <c r="AK348" s="31">
        <f t="shared" si="84"/>
        <v>0.94750320102432783</v>
      </c>
      <c r="AL348" s="29">
        <f t="shared" si="85"/>
        <v>1.1666666666666667</v>
      </c>
      <c r="AM348" s="29">
        <f t="shared" si="86"/>
        <v>637.25</v>
      </c>
      <c r="AN348" s="29">
        <f t="shared" si="87"/>
        <v>1.2255786582973716</v>
      </c>
      <c r="AO348" s="29">
        <f t="shared" si="88"/>
        <v>1.3333333333333333</v>
      </c>
      <c r="AP348" s="31">
        <f t="shared" si="89"/>
        <v>0.91918399372302872</v>
      </c>
      <c r="AQ348" s="31">
        <f t="shared" si="90"/>
        <v>0.94750320102432783</v>
      </c>
      <c r="AR348" s="31">
        <f t="shared" si="91"/>
        <v>0.78472958642629931</v>
      </c>
      <c r="AS348" s="29">
        <f t="shared" si="92"/>
        <v>24.707708066581308</v>
      </c>
      <c r="AT348" s="29">
        <f t="shared" si="93"/>
        <v>8.994220564921358</v>
      </c>
      <c r="AU348" s="27" t="str">
        <f t="shared" si="94"/>
        <v>High</v>
      </c>
      <c r="AV348" s="27" t="str">
        <f t="shared" si="95"/>
        <v>Warning</v>
      </c>
      <c r="AW348" s="27"/>
    </row>
    <row r="349" spans="1:49" x14ac:dyDescent="0.25">
      <c r="A349" s="27">
        <v>348</v>
      </c>
      <c r="B349" s="28">
        <v>46144</v>
      </c>
      <c r="C349" s="28" t="str">
        <f t="shared" si="80"/>
        <v>May</v>
      </c>
      <c r="D349" s="27" t="s">
        <v>47</v>
      </c>
      <c r="E349" s="27" t="s">
        <v>61</v>
      </c>
      <c r="F349" s="27" t="s">
        <v>62</v>
      </c>
      <c r="G349" s="27" t="s">
        <v>63</v>
      </c>
      <c r="H349" s="27" t="s">
        <v>57</v>
      </c>
      <c r="I349" s="27" t="s">
        <v>472</v>
      </c>
      <c r="J349" s="27" t="s">
        <v>175</v>
      </c>
      <c r="K349" s="27">
        <v>938</v>
      </c>
      <c r="L349" s="27">
        <v>872</v>
      </c>
      <c r="M349" s="27">
        <v>827</v>
      </c>
      <c r="N349" s="27">
        <v>45</v>
      </c>
      <c r="O349" s="27">
        <v>18</v>
      </c>
      <c r="P349" s="27">
        <v>14</v>
      </c>
      <c r="Q349" s="27" t="s">
        <v>82</v>
      </c>
      <c r="R349" s="27">
        <v>45</v>
      </c>
      <c r="S349" s="27">
        <v>49</v>
      </c>
      <c r="T349" s="29">
        <v>77.599999999999994</v>
      </c>
      <c r="U349" s="29">
        <v>2.0099999999999998</v>
      </c>
      <c r="V349" s="29">
        <v>30.67</v>
      </c>
      <c r="W349" s="30">
        <v>17325.47</v>
      </c>
      <c r="X349" s="27">
        <v>7.22</v>
      </c>
      <c r="Y349" s="27" t="s">
        <v>71</v>
      </c>
      <c r="Z349" s="29">
        <v>30</v>
      </c>
      <c r="AA349" s="30">
        <v>29292.18</v>
      </c>
      <c r="AB349" s="29">
        <v>0.94839449541284404</v>
      </c>
      <c r="AC349" s="30">
        <v>20850.5</v>
      </c>
      <c r="AD349" s="30">
        <v>357.63584862385301</v>
      </c>
      <c r="AE349" s="27">
        <v>703.5</v>
      </c>
      <c r="AF349" s="29">
        <v>0.98009950248756195</v>
      </c>
      <c r="AG349" s="30">
        <v>8084.0441513761498</v>
      </c>
      <c r="AH349" s="31">
        <f t="shared" si="81"/>
        <v>0.92963752665245203</v>
      </c>
      <c r="AI349" s="31">
        <f t="shared" si="82"/>
        <v>5.1605504587155966E-2</v>
      </c>
      <c r="AJ349" s="31">
        <f t="shared" si="83"/>
        <v>2.0642201834862386E-2</v>
      </c>
      <c r="AK349" s="31">
        <f t="shared" si="84"/>
        <v>0.94839449541284404</v>
      </c>
      <c r="AL349" s="29">
        <f t="shared" si="85"/>
        <v>0.23333333333333334</v>
      </c>
      <c r="AM349" s="29">
        <f t="shared" si="86"/>
        <v>689.5</v>
      </c>
      <c r="AN349" s="29">
        <f t="shared" si="87"/>
        <v>1.2646845540246556</v>
      </c>
      <c r="AO349" s="29">
        <f t="shared" si="88"/>
        <v>1.3333333333333333</v>
      </c>
      <c r="AP349" s="31">
        <f t="shared" si="89"/>
        <v>0.94851341551849178</v>
      </c>
      <c r="AQ349" s="31">
        <f t="shared" si="90"/>
        <v>0.94839449541284404</v>
      </c>
      <c r="AR349" s="31">
        <f t="shared" si="91"/>
        <v>0.88166311300639644</v>
      </c>
      <c r="AS349" s="29">
        <f t="shared" si="92"/>
        <v>23.911123853211009</v>
      </c>
      <c r="AT349" s="29">
        <f t="shared" si="93"/>
        <v>9.2706928341469599</v>
      </c>
      <c r="AU349" s="27" t="str">
        <f t="shared" si="94"/>
        <v>High</v>
      </c>
      <c r="AV349" s="27" t="str">
        <f t="shared" si="95"/>
        <v>Normal</v>
      </c>
      <c r="AW349" s="27"/>
    </row>
    <row r="350" spans="1:49" x14ac:dyDescent="0.25">
      <c r="A350" s="27">
        <v>349</v>
      </c>
      <c r="B350" s="28">
        <v>46050</v>
      </c>
      <c r="C350" s="28" t="str">
        <f t="shared" si="80"/>
        <v>January</v>
      </c>
      <c r="D350" s="27" t="s">
        <v>67</v>
      </c>
      <c r="E350" s="27" t="s">
        <v>48</v>
      </c>
      <c r="F350" s="27" t="s">
        <v>72</v>
      </c>
      <c r="G350" s="27" t="s">
        <v>78</v>
      </c>
      <c r="H350" s="27" t="s">
        <v>79</v>
      </c>
      <c r="I350" s="27" t="s">
        <v>473</v>
      </c>
      <c r="J350" s="27" t="s">
        <v>90</v>
      </c>
      <c r="K350" s="27">
        <v>763</v>
      </c>
      <c r="L350" s="27">
        <v>645</v>
      </c>
      <c r="M350" s="27">
        <v>615</v>
      </c>
      <c r="N350" s="27">
        <v>30</v>
      </c>
      <c r="O350" s="27">
        <v>12</v>
      </c>
      <c r="P350" s="27">
        <v>38</v>
      </c>
      <c r="Q350" s="27" t="s">
        <v>97</v>
      </c>
      <c r="R350" s="27">
        <v>49</v>
      </c>
      <c r="S350" s="27">
        <v>49</v>
      </c>
      <c r="T350" s="29">
        <v>76.7</v>
      </c>
      <c r="U350" s="29">
        <v>2.0099999999999998</v>
      </c>
      <c r="V350" s="29">
        <v>28.37</v>
      </c>
      <c r="W350" s="30">
        <v>14361.44</v>
      </c>
      <c r="X350" s="27">
        <v>7.88</v>
      </c>
      <c r="Y350" s="27" t="s">
        <v>66</v>
      </c>
      <c r="Z350" s="29">
        <v>23</v>
      </c>
      <c r="AA350" s="30">
        <v>23674.9</v>
      </c>
      <c r="AB350" s="29">
        <v>0.95348837209302295</v>
      </c>
      <c r="AC350" s="30">
        <v>18162.77</v>
      </c>
      <c r="AD350" s="30">
        <v>267.18958139534902</v>
      </c>
      <c r="AE350" s="27">
        <v>623.11666666666702</v>
      </c>
      <c r="AF350" s="29">
        <v>0.93901623558991099</v>
      </c>
      <c r="AG350" s="30">
        <v>5244.9404186046504</v>
      </c>
      <c r="AH350" s="31">
        <f t="shared" si="81"/>
        <v>0.84534731323722145</v>
      </c>
      <c r="AI350" s="31">
        <f t="shared" si="82"/>
        <v>4.6511627906976744E-2</v>
      </c>
      <c r="AJ350" s="31">
        <f t="shared" si="83"/>
        <v>1.8604651162790697E-2</v>
      </c>
      <c r="AK350" s="31">
        <f t="shared" si="84"/>
        <v>0.95348837209302328</v>
      </c>
      <c r="AL350" s="29">
        <f t="shared" si="85"/>
        <v>0.6333333333333333</v>
      </c>
      <c r="AM350" s="29">
        <f t="shared" si="86"/>
        <v>585.11666666666702</v>
      </c>
      <c r="AN350" s="29">
        <f t="shared" si="87"/>
        <v>1.1023442618281247</v>
      </c>
      <c r="AO350" s="29">
        <f t="shared" si="88"/>
        <v>1.2244897959183674</v>
      </c>
      <c r="AP350" s="31">
        <f t="shared" si="89"/>
        <v>0.90024781382630181</v>
      </c>
      <c r="AQ350" s="31">
        <f t="shared" si="90"/>
        <v>0.95348837209302328</v>
      </c>
      <c r="AR350" s="31">
        <f t="shared" si="91"/>
        <v>0.8060288335517688</v>
      </c>
      <c r="AS350" s="29">
        <f t="shared" si="92"/>
        <v>28.159333333333333</v>
      </c>
      <c r="AT350" s="29">
        <f t="shared" si="93"/>
        <v>8.1316905714800782</v>
      </c>
      <c r="AU350" s="27" t="str">
        <f t="shared" si="94"/>
        <v>Medium</v>
      </c>
      <c r="AV350" s="27" t="str">
        <f t="shared" si="95"/>
        <v>Warning</v>
      </c>
      <c r="AW350" s="27"/>
    </row>
    <row r="351" spans="1:49" x14ac:dyDescent="0.25">
      <c r="A351" s="27">
        <v>350</v>
      </c>
      <c r="B351" s="28">
        <v>46120</v>
      </c>
      <c r="C351" s="28" t="str">
        <f t="shared" si="80"/>
        <v>April</v>
      </c>
      <c r="D351" s="27" t="s">
        <v>67</v>
      </c>
      <c r="E351" s="27" t="s">
        <v>98</v>
      </c>
      <c r="F351" s="27" t="s">
        <v>105</v>
      </c>
      <c r="G351" s="27" t="s">
        <v>50</v>
      </c>
      <c r="H351" s="27" t="s">
        <v>79</v>
      </c>
      <c r="I351" s="27" t="s">
        <v>474</v>
      </c>
      <c r="J351" s="27" t="s">
        <v>197</v>
      </c>
      <c r="K351" s="27">
        <v>665</v>
      </c>
      <c r="L351" s="27">
        <v>622</v>
      </c>
      <c r="M351" s="27">
        <v>583</v>
      </c>
      <c r="N351" s="27">
        <v>39</v>
      </c>
      <c r="O351" s="27">
        <v>14</v>
      </c>
      <c r="P351" s="27">
        <v>14</v>
      </c>
      <c r="Q351" s="27" t="s">
        <v>97</v>
      </c>
      <c r="R351" s="27">
        <v>49</v>
      </c>
      <c r="S351" s="27">
        <v>51</v>
      </c>
      <c r="T351" s="29">
        <v>75</v>
      </c>
      <c r="U351" s="29">
        <v>2.37</v>
      </c>
      <c r="V351" s="29">
        <v>20.75</v>
      </c>
      <c r="W351" s="30">
        <v>13174.72</v>
      </c>
      <c r="X351" s="27">
        <v>7.93</v>
      </c>
      <c r="Y351" s="27" t="s">
        <v>55</v>
      </c>
      <c r="Z351" s="29">
        <v>18</v>
      </c>
      <c r="AA351" s="30">
        <v>22514.6</v>
      </c>
      <c r="AB351" s="29">
        <v>0.93729903536977499</v>
      </c>
      <c r="AC351" s="30">
        <v>16929.97</v>
      </c>
      <c r="AD351" s="30">
        <v>296.53710610932501</v>
      </c>
      <c r="AE351" s="27">
        <v>543.08333333333303</v>
      </c>
      <c r="AF351" s="29">
        <v>0.97422126745435</v>
      </c>
      <c r="AG351" s="30">
        <v>5288.09289389067</v>
      </c>
      <c r="AH351" s="31">
        <f t="shared" si="81"/>
        <v>0.93533834586466169</v>
      </c>
      <c r="AI351" s="31">
        <f t="shared" si="82"/>
        <v>6.2700964630225078E-2</v>
      </c>
      <c r="AJ351" s="31">
        <f t="shared" si="83"/>
        <v>2.2508038585209004E-2</v>
      </c>
      <c r="AK351" s="31">
        <f t="shared" si="84"/>
        <v>0.93729903536977488</v>
      </c>
      <c r="AL351" s="29">
        <f t="shared" si="85"/>
        <v>0.23333333333333334</v>
      </c>
      <c r="AM351" s="29">
        <f t="shared" si="86"/>
        <v>529.08333333333303</v>
      </c>
      <c r="AN351" s="29">
        <f t="shared" si="87"/>
        <v>1.1756182075917474</v>
      </c>
      <c r="AO351" s="29">
        <f t="shared" si="88"/>
        <v>1.2244897959183674</v>
      </c>
      <c r="AP351" s="31">
        <f t="shared" si="89"/>
        <v>0.96008820286659369</v>
      </c>
      <c r="AQ351" s="31">
        <f t="shared" si="90"/>
        <v>0.93729903536977488</v>
      </c>
      <c r="AR351" s="31">
        <f t="shared" si="91"/>
        <v>0.87669172932330863</v>
      </c>
      <c r="AS351" s="29">
        <f t="shared" si="92"/>
        <v>27.218601286173634</v>
      </c>
      <c r="AT351" s="29">
        <f t="shared" si="93"/>
        <v>8.5017570641329101</v>
      </c>
      <c r="AU351" s="27" t="str">
        <f t="shared" si="94"/>
        <v>Low</v>
      </c>
      <c r="AV351" s="27" t="str">
        <f t="shared" si="95"/>
        <v>Normal</v>
      </c>
      <c r="AW351" s="27"/>
    </row>
    <row r="352" spans="1:49" x14ac:dyDescent="0.25">
      <c r="A352" s="27">
        <v>351</v>
      </c>
      <c r="B352" s="28">
        <v>46196</v>
      </c>
      <c r="C352" s="28" t="str">
        <f t="shared" si="80"/>
        <v>June</v>
      </c>
      <c r="D352" s="27" t="s">
        <v>47</v>
      </c>
      <c r="E352" s="27" t="s">
        <v>76</v>
      </c>
      <c r="F352" s="27" t="s">
        <v>113</v>
      </c>
      <c r="G352" s="27" t="s">
        <v>63</v>
      </c>
      <c r="H352" s="27" t="s">
        <v>51</v>
      </c>
      <c r="I352" s="27" t="s">
        <v>475</v>
      </c>
      <c r="J352" s="27" t="s">
        <v>191</v>
      </c>
      <c r="K352" s="27">
        <v>724</v>
      </c>
      <c r="L352" s="27">
        <v>655</v>
      </c>
      <c r="M352" s="27">
        <v>624</v>
      </c>
      <c r="N352" s="27">
        <v>31</v>
      </c>
      <c r="O352" s="27">
        <v>12</v>
      </c>
      <c r="P352" s="27">
        <v>23</v>
      </c>
      <c r="Q352" s="27" t="s">
        <v>97</v>
      </c>
      <c r="R352" s="27">
        <v>42</v>
      </c>
      <c r="S352" s="27">
        <v>45</v>
      </c>
      <c r="T352" s="29">
        <v>72</v>
      </c>
      <c r="U352" s="29">
        <v>1.85</v>
      </c>
      <c r="V352" s="29">
        <v>25.68</v>
      </c>
      <c r="W352" s="30">
        <v>11839.61</v>
      </c>
      <c r="X352" s="27">
        <v>9.4700000000000006</v>
      </c>
      <c r="Y352" s="27" t="s">
        <v>55</v>
      </c>
      <c r="Z352" s="29">
        <v>17</v>
      </c>
      <c r="AA352" s="30">
        <v>20563.259999999998</v>
      </c>
      <c r="AB352" s="29">
        <v>0.95267175572519103</v>
      </c>
      <c r="AC352" s="30">
        <v>16332.23</v>
      </c>
      <c r="AD352" s="30">
        <v>216.90888549618299</v>
      </c>
      <c r="AE352" s="27">
        <v>506.8</v>
      </c>
      <c r="AF352" s="29">
        <v>0.95461720599842204</v>
      </c>
      <c r="AG352" s="30">
        <v>4014.1211145038101</v>
      </c>
      <c r="AH352" s="31">
        <f t="shared" si="81"/>
        <v>0.90469613259668513</v>
      </c>
      <c r="AI352" s="31">
        <f t="shared" si="82"/>
        <v>4.732824427480916E-2</v>
      </c>
      <c r="AJ352" s="31">
        <f t="shared" si="83"/>
        <v>1.8320610687022901E-2</v>
      </c>
      <c r="AK352" s="31">
        <f t="shared" si="84"/>
        <v>0.95267175572519081</v>
      </c>
      <c r="AL352" s="29">
        <f t="shared" si="85"/>
        <v>0.38333333333333336</v>
      </c>
      <c r="AM352" s="29">
        <f t="shared" si="86"/>
        <v>483.8</v>
      </c>
      <c r="AN352" s="29">
        <f t="shared" si="87"/>
        <v>1.3538652335675898</v>
      </c>
      <c r="AO352" s="29">
        <f t="shared" si="88"/>
        <v>1.4285714285714286</v>
      </c>
      <c r="AP352" s="31">
        <f t="shared" si="89"/>
        <v>0.94770566349731289</v>
      </c>
      <c r="AQ352" s="31">
        <f t="shared" si="90"/>
        <v>0.95267175572519081</v>
      </c>
      <c r="AR352" s="31">
        <f t="shared" si="91"/>
        <v>0.8618784530386745</v>
      </c>
      <c r="AS352" s="29">
        <f t="shared" si="92"/>
        <v>24.934702290076334</v>
      </c>
      <c r="AT352" s="29">
        <f t="shared" si="93"/>
        <v>6.1284291824485653</v>
      </c>
      <c r="AU352" s="27" t="str">
        <f t="shared" si="94"/>
        <v>Low</v>
      </c>
      <c r="AV352" s="27" t="str">
        <f t="shared" si="95"/>
        <v>Normal</v>
      </c>
      <c r="AW352" s="27"/>
    </row>
    <row r="353" spans="1:49" x14ac:dyDescent="0.25">
      <c r="A353" s="27">
        <v>352</v>
      </c>
      <c r="B353" s="28">
        <v>46203</v>
      </c>
      <c r="C353" s="28" t="str">
        <f t="shared" si="80"/>
        <v>June</v>
      </c>
      <c r="D353" s="27" t="s">
        <v>67</v>
      </c>
      <c r="E353" s="27" t="s">
        <v>98</v>
      </c>
      <c r="F353" s="27" t="s">
        <v>99</v>
      </c>
      <c r="G353" s="27" t="s">
        <v>50</v>
      </c>
      <c r="H353" s="27" t="s">
        <v>68</v>
      </c>
      <c r="I353" s="27" t="s">
        <v>476</v>
      </c>
      <c r="J353" s="27" t="s">
        <v>150</v>
      </c>
      <c r="K353" s="27">
        <v>657</v>
      </c>
      <c r="L353" s="27">
        <v>593</v>
      </c>
      <c r="M353" s="27">
        <v>558</v>
      </c>
      <c r="N353" s="27">
        <v>35</v>
      </c>
      <c r="O353" s="27">
        <v>8</v>
      </c>
      <c r="P353" s="27">
        <v>26</v>
      </c>
      <c r="Q353" s="27" t="s">
        <v>91</v>
      </c>
      <c r="R353" s="27">
        <v>64</v>
      </c>
      <c r="S353" s="27">
        <v>69</v>
      </c>
      <c r="T353" s="29">
        <v>71.5</v>
      </c>
      <c r="U353" s="29">
        <v>1.91</v>
      </c>
      <c r="V353" s="29">
        <v>21.68</v>
      </c>
      <c r="W353" s="30">
        <v>19451.54</v>
      </c>
      <c r="X353" s="27">
        <v>8.4600000000000009</v>
      </c>
      <c r="Y353" s="27" t="s">
        <v>66</v>
      </c>
      <c r="Z353" s="29">
        <v>19</v>
      </c>
      <c r="AA353" s="30">
        <v>29870.92</v>
      </c>
      <c r="AB353" s="29">
        <v>0.94097807757166996</v>
      </c>
      <c r="AC353" s="30">
        <v>23453.66</v>
      </c>
      <c r="AD353" s="30">
        <v>262.41537942664399</v>
      </c>
      <c r="AE353" s="27">
        <v>700.8</v>
      </c>
      <c r="AF353" s="29">
        <v>0.96289954337899497</v>
      </c>
      <c r="AG353" s="30">
        <v>6154.8446205733499</v>
      </c>
      <c r="AH353" s="31">
        <f t="shared" si="81"/>
        <v>0.9025875190258752</v>
      </c>
      <c r="AI353" s="31">
        <f t="shared" si="82"/>
        <v>5.9021922428330521E-2</v>
      </c>
      <c r="AJ353" s="31">
        <f t="shared" si="83"/>
        <v>1.3490725126475547E-2</v>
      </c>
      <c r="AK353" s="31">
        <f t="shared" si="84"/>
        <v>0.94097807757166951</v>
      </c>
      <c r="AL353" s="29">
        <f t="shared" si="85"/>
        <v>0.43333333333333335</v>
      </c>
      <c r="AM353" s="29">
        <f t="shared" si="86"/>
        <v>674.8</v>
      </c>
      <c r="AN353" s="29">
        <f t="shared" si="87"/>
        <v>0.87877889745109672</v>
      </c>
      <c r="AO353" s="29">
        <f t="shared" si="88"/>
        <v>0.9375</v>
      </c>
      <c r="AP353" s="31">
        <f t="shared" si="89"/>
        <v>0.93736415728116984</v>
      </c>
      <c r="AQ353" s="31">
        <f t="shared" si="90"/>
        <v>0.94097807757166951</v>
      </c>
      <c r="AR353" s="31">
        <f t="shared" si="91"/>
        <v>0.84931506849315042</v>
      </c>
      <c r="AS353" s="29">
        <f t="shared" si="92"/>
        <v>39.550860033726813</v>
      </c>
      <c r="AT353" s="29">
        <f t="shared" si="93"/>
        <v>10.37916462154022</v>
      </c>
      <c r="AU353" s="27" t="str">
        <f t="shared" si="94"/>
        <v>Medium</v>
      </c>
      <c r="AV353" s="27" t="str">
        <f t="shared" si="95"/>
        <v>Warning</v>
      </c>
      <c r="AW353" s="27"/>
    </row>
    <row r="354" spans="1:49" x14ac:dyDescent="0.25">
      <c r="A354" s="27">
        <v>353</v>
      </c>
      <c r="B354" s="28">
        <v>46163</v>
      </c>
      <c r="C354" s="28" t="str">
        <f t="shared" si="80"/>
        <v>May</v>
      </c>
      <c r="D354" s="27" t="s">
        <v>67</v>
      </c>
      <c r="E354" s="27" t="s">
        <v>129</v>
      </c>
      <c r="F354" s="27" t="s">
        <v>151</v>
      </c>
      <c r="G354" s="27" t="s">
        <v>63</v>
      </c>
      <c r="H354" s="27" t="s">
        <v>68</v>
      </c>
      <c r="I354" s="27" t="s">
        <v>477</v>
      </c>
      <c r="J354" s="27" t="s">
        <v>191</v>
      </c>
      <c r="K354" s="27">
        <v>550</v>
      </c>
      <c r="L354" s="27">
        <v>457</v>
      </c>
      <c r="M354" s="27">
        <v>425</v>
      </c>
      <c r="N354" s="27">
        <v>32</v>
      </c>
      <c r="O354" s="27">
        <v>6</v>
      </c>
      <c r="P354" s="27">
        <v>8</v>
      </c>
      <c r="Q354" s="27" t="s">
        <v>97</v>
      </c>
      <c r="R354" s="27">
        <v>64</v>
      </c>
      <c r="S354" s="27">
        <v>68</v>
      </c>
      <c r="T354" s="29">
        <v>71.3</v>
      </c>
      <c r="U354" s="29">
        <v>1.72</v>
      </c>
      <c r="V354" s="29">
        <v>18.73</v>
      </c>
      <c r="W354" s="30">
        <v>14429.88</v>
      </c>
      <c r="X354" s="27">
        <v>7.57</v>
      </c>
      <c r="Y354" s="27" t="s">
        <v>66</v>
      </c>
      <c r="Z354" s="29">
        <v>22</v>
      </c>
      <c r="AA354" s="30">
        <v>22076.720000000001</v>
      </c>
      <c r="AB354" s="29">
        <v>0.92997811816192599</v>
      </c>
      <c r="AC354" s="30">
        <v>18004.95</v>
      </c>
      <c r="AD354" s="30">
        <v>189.45137855579901</v>
      </c>
      <c r="AE354" s="27">
        <v>586.66666666666697</v>
      </c>
      <c r="AF354" s="29">
        <v>0.986363636363636</v>
      </c>
      <c r="AG354" s="30">
        <v>3882.3186214442098</v>
      </c>
      <c r="AH354" s="31">
        <f t="shared" si="81"/>
        <v>0.83090909090909093</v>
      </c>
      <c r="AI354" s="31">
        <f t="shared" si="82"/>
        <v>7.0021881838074396E-2</v>
      </c>
      <c r="AJ354" s="31">
        <f t="shared" si="83"/>
        <v>1.3129102844638949E-2</v>
      </c>
      <c r="AK354" s="31">
        <f t="shared" si="84"/>
        <v>0.92997811816192555</v>
      </c>
      <c r="AL354" s="29">
        <f t="shared" si="85"/>
        <v>0.13333333333333333</v>
      </c>
      <c r="AM354" s="29">
        <f t="shared" si="86"/>
        <v>578.66666666666697</v>
      </c>
      <c r="AN354" s="29">
        <f t="shared" si="87"/>
        <v>0.78974654377880138</v>
      </c>
      <c r="AO354" s="29">
        <f t="shared" si="88"/>
        <v>0.9375</v>
      </c>
      <c r="AP354" s="31">
        <f t="shared" si="89"/>
        <v>0.84239631336405485</v>
      </c>
      <c r="AQ354" s="31">
        <f t="shared" si="90"/>
        <v>0.92997811816192555</v>
      </c>
      <c r="AR354" s="31">
        <f t="shared" si="91"/>
        <v>0.77272727272727193</v>
      </c>
      <c r="AS354" s="29">
        <f t="shared" si="92"/>
        <v>39.398140043763675</v>
      </c>
      <c r="AT354" s="29">
        <f t="shared" si="93"/>
        <v>8.4952267427663237</v>
      </c>
      <c r="AU354" s="27" t="str">
        <f t="shared" si="94"/>
        <v>High</v>
      </c>
      <c r="AV354" s="27" t="str">
        <f t="shared" si="95"/>
        <v>Warning</v>
      </c>
      <c r="AW354" s="27"/>
    </row>
    <row r="355" spans="1:49" x14ac:dyDescent="0.25">
      <c r="A355" s="27">
        <v>354</v>
      </c>
      <c r="B355" s="28">
        <v>46060</v>
      </c>
      <c r="C355" s="28" t="str">
        <f t="shared" si="80"/>
        <v>February</v>
      </c>
      <c r="D355" s="27" t="s">
        <v>47</v>
      </c>
      <c r="E355" s="27" t="s">
        <v>98</v>
      </c>
      <c r="F355" s="27" t="s">
        <v>126</v>
      </c>
      <c r="G355" s="27" t="s">
        <v>50</v>
      </c>
      <c r="H355" s="27" t="s">
        <v>57</v>
      </c>
      <c r="I355" s="27" t="s">
        <v>478</v>
      </c>
      <c r="J355" s="27" t="s">
        <v>155</v>
      </c>
      <c r="K355" s="27">
        <v>732</v>
      </c>
      <c r="L355" s="27">
        <v>701</v>
      </c>
      <c r="M355" s="27">
        <v>642</v>
      </c>
      <c r="N355" s="27">
        <v>59</v>
      </c>
      <c r="O355" s="27">
        <v>13</v>
      </c>
      <c r="P355" s="27">
        <v>41</v>
      </c>
      <c r="Q355" s="27" t="s">
        <v>104</v>
      </c>
      <c r="R355" s="27">
        <v>45</v>
      </c>
      <c r="S355" s="27">
        <v>49</v>
      </c>
      <c r="T355" s="29">
        <v>74</v>
      </c>
      <c r="U355" s="29">
        <v>2.02</v>
      </c>
      <c r="V355" s="29">
        <v>23.15</v>
      </c>
      <c r="W355" s="30">
        <v>14629.34</v>
      </c>
      <c r="X355" s="27">
        <v>8.77</v>
      </c>
      <c r="Y355" s="27" t="s">
        <v>71</v>
      </c>
      <c r="Z355" s="29">
        <v>43</v>
      </c>
      <c r="AA355" s="30">
        <v>22641.18</v>
      </c>
      <c r="AB355" s="29">
        <v>0.91583452211127003</v>
      </c>
      <c r="AC355" s="30">
        <v>18784.189999999999</v>
      </c>
      <c r="AD355" s="30">
        <v>271.30017118402299</v>
      </c>
      <c r="AE355" s="27">
        <v>549</v>
      </c>
      <c r="AF355" s="29">
        <v>0.925318761384335</v>
      </c>
      <c r="AG355" s="30">
        <v>3585.68982881598</v>
      </c>
      <c r="AH355" s="31">
        <f t="shared" si="81"/>
        <v>0.95765027322404372</v>
      </c>
      <c r="AI355" s="31">
        <f t="shared" si="82"/>
        <v>8.4165477888730383E-2</v>
      </c>
      <c r="AJ355" s="31">
        <f t="shared" si="83"/>
        <v>1.8544935805991442E-2</v>
      </c>
      <c r="AK355" s="31">
        <f t="shared" si="84"/>
        <v>0.91583452211126959</v>
      </c>
      <c r="AL355" s="29">
        <f t="shared" si="85"/>
        <v>0.68333333333333335</v>
      </c>
      <c r="AM355" s="29">
        <f t="shared" si="86"/>
        <v>508</v>
      </c>
      <c r="AN355" s="29">
        <f t="shared" si="87"/>
        <v>1.3799212598425197</v>
      </c>
      <c r="AO355" s="29">
        <f t="shared" si="88"/>
        <v>1.3333333333333333</v>
      </c>
      <c r="AP355" s="31">
        <f t="shared" si="89"/>
        <v>1.0349409448818898</v>
      </c>
      <c r="AQ355" s="31">
        <f t="shared" si="90"/>
        <v>0.91583452211126959</v>
      </c>
      <c r="AR355" s="31">
        <f t="shared" si="91"/>
        <v>0.87704918032786872</v>
      </c>
      <c r="AS355" s="29">
        <f t="shared" si="92"/>
        <v>26.796276747503565</v>
      </c>
      <c r="AT355" s="29">
        <f t="shared" si="93"/>
        <v>5.1151067458145221</v>
      </c>
      <c r="AU355" s="27" t="str">
        <f t="shared" si="94"/>
        <v>High</v>
      </c>
      <c r="AV355" s="27" t="str">
        <f t="shared" si="95"/>
        <v>Warning</v>
      </c>
      <c r="AW355" s="27"/>
    </row>
    <row r="356" spans="1:49" x14ac:dyDescent="0.25">
      <c r="A356" s="27">
        <v>355</v>
      </c>
      <c r="B356" s="28">
        <v>46126</v>
      </c>
      <c r="C356" s="28" t="str">
        <f t="shared" si="80"/>
        <v>April</v>
      </c>
      <c r="D356" s="27" t="s">
        <v>47</v>
      </c>
      <c r="E356" s="27" t="s">
        <v>48</v>
      </c>
      <c r="F356" s="27" t="s">
        <v>72</v>
      </c>
      <c r="G356" s="27" t="s">
        <v>50</v>
      </c>
      <c r="H356" s="27" t="s">
        <v>124</v>
      </c>
      <c r="I356" s="27" t="s">
        <v>479</v>
      </c>
      <c r="J356" s="27" t="s">
        <v>134</v>
      </c>
      <c r="K356" s="27">
        <v>687</v>
      </c>
      <c r="L356" s="27">
        <v>769</v>
      </c>
      <c r="M356" s="27">
        <v>741</v>
      </c>
      <c r="N356" s="27">
        <v>28</v>
      </c>
      <c r="O356" s="27">
        <v>8</v>
      </c>
      <c r="P356" s="27">
        <v>0</v>
      </c>
      <c r="Q356" s="27" t="s">
        <v>60</v>
      </c>
      <c r="R356" s="27">
        <v>57</v>
      </c>
      <c r="S356" s="27">
        <v>60</v>
      </c>
      <c r="T356" s="29">
        <v>75</v>
      </c>
      <c r="U356" s="29">
        <v>2.2200000000000002</v>
      </c>
      <c r="V356" s="29">
        <v>21.65</v>
      </c>
      <c r="W356" s="30">
        <v>20188.38</v>
      </c>
      <c r="X356" s="27">
        <v>10.43</v>
      </c>
      <c r="Y356" s="27" t="s">
        <v>71</v>
      </c>
      <c r="Z356" s="29">
        <v>29</v>
      </c>
      <c r="AA356" s="30">
        <v>33523.449999999997</v>
      </c>
      <c r="AB356" s="29">
        <v>0.96358907672301697</v>
      </c>
      <c r="AC356" s="30">
        <v>25076.73</v>
      </c>
      <c r="AD356" s="30">
        <v>210.02215864759401</v>
      </c>
      <c r="AE356" s="27">
        <v>652.65</v>
      </c>
      <c r="AF356" s="29">
        <v>1</v>
      </c>
      <c r="AG356" s="30">
        <v>8236.6978413523993</v>
      </c>
      <c r="AH356" s="31">
        <f t="shared" si="81"/>
        <v>1.1193595342066958</v>
      </c>
      <c r="AI356" s="31">
        <f t="shared" si="82"/>
        <v>3.6410923276983094E-2</v>
      </c>
      <c r="AJ356" s="31">
        <f t="shared" si="83"/>
        <v>1.0403120936280884E-2</v>
      </c>
      <c r="AK356" s="31">
        <f t="shared" si="84"/>
        <v>0.96358907672301686</v>
      </c>
      <c r="AL356" s="29">
        <f t="shared" si="85"/>
        <v>0</v>
      </c>
      <c r="AM356" s="29">
        <f t="shared" si="86"/>
        <v>652.65</v>
      </c>
      <c r="AN356" s="29">
        <f t="shared" si="87"/>
        <v>1.178273193901785</v>
      </c>
      <c r="AO356" s="29">
        <f t="shared" si="88"/>
        <v>1.0526315789473684</v>
      </c>
      <c r="AP356" s="31">
        <f t="shared" si="89"/>
        <v>1.1193595342066958</v>
      </c>
      <c r="AQ356" s="31">
        <f t="shared" si="90"/>
        <v>0.96358907672301686</v>
      </c>
      <c r="AR356" s="31">
        <f t="shared" si="91"/>
        <v>1.0786026200873362</v>
      </c>
      <c r="AS356" s="29">
        <f t="shared" si="92"/>
        <v>32.609531859557869</v>
      </c>
      <c r="AT356" s="29">
        <f t="shared" si="93"/>
        <v>10.710920469899088</v>
      </c>
      <c r="AU356" s="27" t="str">
        <f t="shared" si="94"/>
        <v>High</v>
      </c>
      <c r="AV356" s="27" t="str">
        <f t="shared" si="95"/>
        <v>Normal</v>
      </c>
      <c r="AW356" s="27"/>
    </row>
    <row r="357" spans="1:49" x14ac:dyDescent="0.25">
      <c r="A357" s="27">
        <v>356</v>
      </c>
      <c r="B357" s="28">
        <v>46173</v>
      </c>
      <c r="C357" s="28" t="str">
        <f t="shared" si="80"/>
        <v>May</v>
      </c>
      <c r="D357" s="27" t="s">
        <v>67</v>
      </c>
      <c r="E357" s="27" t="s">
        <v>129</v>
      </c>
      <c r="F357" s="27" t="s">
        <v>130</v>
      </c>
      <c r="G357" s="27" t="s">
        <v>63</v>
      </c>
      <c r="H357" s="27" t="s">
        <v>57</v>
      </c>
      <c r="I357" s="27" t="s">
        <v>480</v>
      </c>
      <c r="J357" s="27" t="s">
        <v>134</v>
      </c>
      <c r="K357" s="27">
        <v>876</v>
      </c>
      <c r="L357" s="27">
        <v>748</v>
      </c>
      <c r="M357" s="27">
        <v>663</v>
      </c>
      <c r="N357" s="27">
        <v>85</v>
      </c>
      <c r="O357" s="27">
        <v>32</v>
      </c>
      <c r="P357" s="27">
        <v>29</v>
      </c>
      <c r="Q357" s="27" t="s">
        <v>75</v>
      </c>
      <c r="R357" s="27">
        <v>45</v>
      </c>
      <c r="S357" s="27">
        <v>49</v>
      </c>
      <c r="T357" s="29">
        <v>81.099999999999994</v>
      </c>
      <c r="U357" s="29">
        <v>2.89</v>
      </c>
      <c r="V357" s="29">
        <v>30.19</v>
      </c>
      <c r="W357" s="30">
        <v>14531.6</v>
      </c>
      <c r="X357" s="27">
        <v>8.51</v>
      </c>
      <c r="Y357" s="27" t="s">
        <v>66</v>
      </c>
      <c r="Z357" s="29">
        <v>38</v>
      </c>
      <c r="AA357" s="30">
        <v>23648.9</v>
      </c>
      <c r="AB357" s="29">
        <v>0.88636363636363602</v>
      </c>
      <c r="AC357" s="30">
        <v>18632.810000000001</v>
      </c>
      <c r="AD357" s="30">
        <v>621.672727272727</v>
      </c>
      <c r="AE357" s="27">
        <v>657</v>
      </c>
      <c r="AF357" s="29">
        <v>0.95585996955859998</v>
      </c>
      <c r="AG357" s="30">
        <v>4394.4172727272799</v>
      </c>
      <c r="AH357" s="31">
        <f t="shared" si="81"/>
        <v>0.85388127853881279</v>
      </c>
      <c r="AI357" s="31">
        <f t="shared" si="82"/>
        <v>0.11363636363636363</v>
      </c>
      <c r="AJ357" s="31">
        <f t="shared" si="83"/>
        <v>4.2780748663101602E-2</v>
      </c>
      <c r="AK357" s="31">
        <f t="shared" si="84"/>
        <v>0.88636363636363635</v>
      </c>
      <c r="AL357" s="29">
        <f t="shared" si="85"/>
        <v>0.48333333333333334</v>
      </c>
      <c r="AM357" s="29">
        <f t="shared" si="86"/>
        <v>628</v>
      </c>
      <c r="AN357" s="29">
        <f t="shared" si="87"/>
        <v>1.1910828025477707</v>
      </c>
      <c r="AO357" s="29">
        <f t="shared" si="88"/>
        <v>1.3333333333333333</v>
      </c>
      <c r="AP357" s="31">
        <f t="shared" si="89"/>
        <v>0.89331210191082799</v>
      </c>
      <c r="AQ357" s="31">
        <f t="shared" si="90"/>
        <v>0.88636363636363635</v>
      </c>
      <c r="AR357" s="31">
        <f t="shared" si="91"/>
        <v>0.7568493150684934</v>
      </c>
      <c r="AS357" s="29">
        <f t="shared" si="92"/>
        <v>24.910173796791444</v>
      </c>
      <c r="AT357" s="29">
        <f t="shared" si="93"/>
        <v>5.8748894020418181</v>
      </c>
      <c r="AU357" s="27" t="str">
        <f t="shared" si="94"/>
        <v>High</v>
      </c>
      <c r="AV357" s="27" t="str">
        <f t="shared" si="95"/>
        <v>Warning</v>
      </c>
      <c r="AW357" s="27"/>
    </row>
    <row r="358" spans="1:49" x14ac:dyDescent="0.25">
      <c r="A358" s="27">
        <v>357</v>
      </c>
      <c r="B358" s="28">
        <v>46189</v>
      </c>
      <c r="C358" s="28" t="str">
        <f t="shared" si="80"/>
        <v>June</v>
      </c>
      <c r="D358" s="27" t="s">
        <v>47</v>
      </c>
      <c r="E358" s="27" t="s">
        <v>98</v>
      </c>
      <c r="F358" s="27" t="s">
        <v>126</v>
      </c>
      <c r="G358" s="27" t="s">
        <v>78</v>
      </c>
      <c r="H358" s="27" t="s">
        <v>51</v>
      </c>
      <c r="I358" s="27" t="s">
        <v>481</v>
      </c>
      <c r="J358" s="27" t="s">
        <v>134</v>
      </c>
      <c r="K358" s="27">
        <v>722</v>
      </c>
      <c r="L358" s="27">
        <v>575</v>
      </c>
      <c r="M358" s="27">
        <v>522</v>
      </c>
      <c r="N358" s="27">
        <v>53</v>
      </c>
      <c r="O358" s="27">
        <v>14</v>
      </c>
      <c r="P358" s="27">
        <v>15</v>
      </c>
      <c r="Q358" s="27" t="s">
        <v>54</v>
      </c>
      <c r="R358" s="27">
        <v>42</v>
      </c>
      <c r="S358" s="27">
        <v>43</v>
      </c>
      <c r="T358" s="29">
        <v>68.3</v>
      </c>
      <c r="U358" s="29">
        <v>3.34</v>
      </c>
      <c r="V358" s="29">
        <v>20.95</v>
      </c>
      <c r="W358" s="30">
        <v>11205.83</v>
      </c>
      <c r="X358" s="27">
        <v>5.73</v>
      </c>
      <c r="Y358" s="27" t="s">
        <v>55</v>
      </c>
      <c r="Z358" s="29">
        <v>25</v>
      </c>
      <c r="AA358" s="30">
        <v>17151.21</v>
      </c>
      <c r="AB358" s="29">
        <v>0.907826086956522</v>
      </c>
      <c r="AC358" s="30">
        <v>13972.88</v>
      </c>
      <c r="AD358" s="30">
        <v>272.83760000000001</v>
      </c>
      <c r="AE358" s="27">
        <v>505.4</v>
      </c>
      <c r="AF358" s="29">
        <v>0.97032053818757402</v>
      </c>
      <c r="AG358" s="30">
        <v>2905.4924000000001</v>
      </c>
      <c r="AH358" s="31">
        <f t="shared" si="81"/>
        <v>0.79639889196675895</v>
      </c>
      <c r="AI358" s="31">
        <f t="shared" si="82"/>
        <v>9.2173913043478259E-2</v>
      </c>
      <c r="AJ358" s="31">
        <f t="shared" si="83"/>
        <v>2.4347826086956521E-2</v>
      </c>
      <c r="AK358" s="31">
        <f t="shared" si="84"/>
        <v>0.90782608695652178</v>
      </c>
      <c r="AL358" s="29">
        <f t="shared" si="85"/>
        <v>0.25</v>
      </c>
      <c r="AM358" s="29">
        <f t="shared" si="86"/>
        <v>490.4</v>
      </c>
      <c r="AN358" s="29">
        <f t="shared" si="87"/>
        <v>1.1725122349102775</v>
      </c>
      <c r="AO358" s="29">
        <f t="shared" si="88"/>
        <v>1.4285714285714286</v>
      </c>
      <c r="AP358" s="31">
        <f t="shared" si="89"/>
        <v>0.82075856443719419</v>
      </c>
      <c r="AQ358" s="31">
        <f t="shared" si="90"/>
        <v>0.90782608695652178</v>
      </c>
      <c r="AR358" s="31">
        <f t="shared" si="91"/>
        <v>0.7229916897506925</v>
      </c>
      <c r="AS358" s="29">
        <f t="shared" si="92"/>
        <v>24.300660869565217</v>
      </c>
      <c r="AT358" s="29">
        <f t="shared" si="93"/>
        <v>5.0530302608695656</v>
      </c>
      <c r="AU358" s="27" t="str">
        <f t="shared" si="94"/>
        <v>High</v>
      </c>
      <c r="AV358" s="27" t="str">
        <f t="shared" si="95"/>
        <v>Critical</v>
      </c>
      <c r="AW358" s="27"/>
    </row>
    <row r="359" spans="1:49" x14ac:dyDescent="0.25">
      <c r="A359" s="27">
        <v>358</v>
      </c>
      <c r="B359" s="28">
        <v>46155</v>
      </c>
      <c r="C359" s="28" t="str">
        <f t="shared" si="80"/>
        <v>May</v>
      </c>
      <c r="D359" s="27" t="s">
        <v>67</v>
      </c>
      <c r="E359" s="27" t="s">
        <v>76</v>
      </c>
      <c r="F359" s="27" t="s">
        <v>119</v>
      </c>
      <c r="G359" s="27" t="s">
        <v>50</v>
      </c>
      <c r="H359" s="27" t="s">
        <v>124</v>
      </c>
      <c r="I359" s="27" t="s">
        <v>482</v>
      </c>
      <c r="J359" s="27" t="s">
        <v>70</v>
      </c>
      <c r="K359" s="27">
        <v>653</v>
      </c>
      <c r="L359" s="27">
        <v>656</v>
      </c>
      <c r="M359" s="27">
        <v>598</v>
      </c>
      <c r="N359" s="27">
        <v>58</v>
      </c>
      <c r="O359" s="27">
        <v>22</v>
      </c>
      <c r="P359" s="27">
        <v>48</v>
      </c>
      <c r="Q359" s="27" t="s">
        <v>102</v>
      </c>
      <c r="R359" s="27">
        <v>57</v>
      </c>
      <c r="S359" s="27">
        <v>62</v>
      </c>
      <c r="T359" s="29">
        <v>73.3</v>
      </c>
      <c r="U359" s="29">
        <v>2.1800000000000002</v>
      </c>
      <c r="V359" s="29">
        <v>22.14</v>
      </c>
      <c r="W359" s="30">
        <v>18152.72</v>
      </c>
      <c r="X359" s="27">
        <v>9.19</v>
      </c>
      <c r="Y359" s="27" t="s">
        <v>55</v>
      </c>
      <c r="Z359" s="29">
        <v>31</v>
      </c>
      <c r="AA359" s="30">
        <v>27886.13</v>
      </c>
      <c r="AB359" s="29">
        <v>0.91158536585365901</v>
      </c>
      <c r="AC359" s="30">
        <v>22487.48</v>
      </c>
      <c r="AD359" s="30">
        <v>608.780243902439</v>
      </c>
      <c r="AE359" s="27">
        <v>620.35</v>
      </c>
      <c r="AF359" s="29">
        <v>0.92262432497783498</v>
      </c>
      <c r="AG359" s="30">
        <v>4789.8697560975597</v>
      </c>
      <c r="AH359" s="31">
        <f t="shared" si="81"/>
        <v>1.004594180704441</v>
      </c>
      <c r="AI359" s="31">
        <f t="shared" si="82"/>
        <v>8.8414634146341459E-2</v>
      </c>
      <c r="AJ359" s="31">
        <f t="shared" si="83"/>
        <v>3.3536585365853661E-2</v>
      </c>
      <c r="AK359" s="31">
        <f t="shared" si="84"/>
        <v>0.91158536585365857</v>
      </c>
      <c r="AL359" s="29">
        <f t="shared" si="85"/>
        <v>0.8</v>
      </c>
      <c r="AM359" s="29">
        <f t="shared" si="86"/>
        <v>572.35</v>
      </c>
      <c r="AN359" s="29">
        <f t="shared" si="87"/>
        <v>1.1461518301738447</v>
      </c>
      <c r="AO359" s="29">
        <f t="shared" si="88"/>
        <v>1.0526315789473684</v>
      </c>
      <c r="AP359" s="31">
        <f t="shared" si="89"/>
        <v>1.0888442386651525</v>
      </c>
      <c r="AQ359" s="31">
        <f t="shared" si="90"/>
        <v>0.91158536585365857</v>
      </c>
      <c r="AR359" s="31">
        <f t="shared" si="91"/>
        <v>0.91577335375191415</v>
      </c>
      <c r="AS359" s="29">
        <f t="shared" si="92"/>
        <v>34.279695121951221</v>
      </c>
      <c r="AT359" s="29">
        <f t="shared" si="93"/>
        <v>7.3016307257584749</v>
      </c>
      <c r="AU359" s="27" t="str">
        <f t="shared" si="94"/>
        <v>Medium</v>
      </c>
      <c r="AV359" s="27" t="str">
        <f t="shared" si="95"/>
        <v>Warning</v>
      </c>
      <c r="AW359" s="27"/>
    </row>
    <row r="360" spans="1:49" x14ac:dyDescent="0.25">
      <c r="A360" s="27">
        <v>359</v>
      </c>
      <c r="B360" s="28">
        <v>46131</v>
      </c>
      <c r="C360" s="28" t="str">
        <f t="shared" si="80"/>
        <v>April</v>
      </c>
      <c r="D360" s="27" t="s">
        <v>47</v>
      </c>
      <c r="E360" s="27" t="s">
        <v>76</v>
      </c>
      <c r="F360" s="27" t="s">
        <v>119</v>
      </c>
      <c r="G360" s="27" t="s">
        <v>50</v>
      </c>
      <c r="H360" s="27" t="s">
        <v>124</v>
      </c>
      <c r="I360" s="27" t="s">
        <v>483</v>
      </c>
      <c r="J360" s="27" t="s">
        <v>65</v>
      </c>
      <c r="K360" s="27">
        <v>622</v>
      </c>
      <c r="L360" s="27">
        <v>589</v>
      </c>
      <c r="M360" s="27">
        <v>531</v>
      </c>
      <c r="N360" s="27">
        <v>58</v>
      </c>
      <c r="O360" s="27">
        <v>18</v>
      </c>
      <c r="P360" s="27">
        <v>24</v>
      </c>
      <c r="Q360" s="27" t="s">
        <v>54</v>
      </c>
      <c r="R360" s="27">
        <v>57</v>
      </c>
      <c r="S360" s="27">
        <v>59</v>
      </c>
      <c r="T360" s="29">
        <v>69.099999999999994</v>
      </c>
      <c r="U360" s="29">
        <v>1.71</v>
      </c>
      <c r="V360" s="29">
        <v>22.78</v>
      </c>
      <c r="W360" s="30">
        <v>15544.5</v>
      </c>
      <c r="X360" s="27">
        <v>9.39</v>
      </c>
      <c r="Y360" s="27" t="s">
        <v>55</v>
      </c>
      <c r="Z360" s="29">
        <v>40</v>
      </c>
      <c r="AA360" s="30">
        <v>24847.759999999998</v>
      </c>
      <c r="AB360" s="29">
        <v>0.90152801358234302</v>
      </c>
      <c r="AC360" s="30">
        <v>19975.02</v>
      </c>
      <c r="AD360" s="30">
        <v>475.04414261460101</v>
      </c>
      <c r="AE360" s="27">
        <v>590.9</v>
      </c>
      <c r="AF360" s="29">
        <v>0.959383990522931</v>
      </c>
      <c r="AG360" s="30">
        <v>4397.6958573853999</v>
      </c>
      <c r="AH360" s="31">
        <f t="shared" si="81"/>
        <v>0.94694533762057875</v>
      </c>
      <c r="AI360" s="31">
        <f t="shared" si="82"/>
        <v>9.8471986417657045E-2</v>
      </c>
      <c r="AJ360" s="31">
        <f t="shared" si="83"/>
        <v>3.0560271646859084E-2</v>
      </c>
      <c r="AK360" s="31">
        <f t="shared" si="84"/>
        <v>0.90152801358234291</v>
      </c>
      <c r="AL360" s="29">
        <f t="shared" si="85"/>
        <v>0.4</v>
      </c>
      <c r="AM360" s="29">
        <f t="shared" si="86"/>
        <v>566.9</v>
      </c>
      <c r="AN360" s="29">
        <f t="shared" si="87"/>
        <v>1.0389839477862057</v>
      </c>
      <c r="AO360" s="29">
        <f t="shared" si="88"/>
        <v>1.0526315789473684</v>
      </c>
      <c r="AP360" s="31">
        <f t="shared" si="89"/>
        <v>0.98703475039689548</v>
      </c>
      <c r="AQ360" s="31">
        <f t="shared" si="90"/>
        <v>0.90152801358234291</v>
      </c>
      <c r="AR360" s="31">
        <f t="shared" si="91"/>
        <v>0.85369774919614139</v>
      </c>
      <c r="AS360" s="29">
        <f t="shared" si="92"/>
        <v>33.913446519524619</v>
      </c>
      <c r="AT360" s="29">
        <f t="shared" si="93"/>
        <v>7.4663766678869266</v>
      </c>
      <c r="AU360" s="27" t="str">
        <f t="shared" si="94"/>
        <v>Medium</v>
      </c>
      <c r="AV360" s="27" t="str">
        <f t="shared" si="95"/>
        <v>Warning</v>
      </c>
      <c r="AW360" s="27"/>
    </row>
    <row r="361" spans="1:49" x14ac:dyDescent="0.25">
      <c r="A361" s="27">
        <v>360</v>
      </c>
      <c r="B361" s="28">
        <v>46120</v>
      </c>
      <c r="C361" s="28" t="str">
        <f t="shared" si="80"/>
        <v>April</v>
      </c>
      <c r="D361" s="27" t="s">
        <v>47</v>
      </c>
      <c r="E361" s="27" t="s">
        <v>76</v>
      </c>
      <c r="F361" s="27" t="s">
        <v>77</v>
      </c>
      <c r="G361" s="27" t="s">
        <v>50</v>
      </c>
      <c r="H361" s="27" t="s">
        <v>51</v>
      </c>
      <c r="I361" s="27" t="s">
        <v>484</v>
      </c>
      <c r="J361" s="27" t="s">
        <v>197</v>
      </c>
      <c r="K361" s="27">
        <v>928</v>
      </c>
      <c r="L361" s="27">
        <v>840</v>
      </c>
      <c r="M361" s="27">
        <v>794</v>
      </c>
      <c r="N361" s="27">
        <v>46</v>
      </c>
      <c r="O361" s="27">
        <v>12</v>
      </c>
      <c r="P361" s="27">
        <v>13</v>
      </c>
      <c r="Q361" s="27" t="s">
        <v>75</v>
      </c>
      <c r="R361" s="27">
        <v>42</v>
      </c>
      <c r="S361" s="27">
        <v>42</v>
      </c>
      <c r="T361" s="29">
        <v>74.400000000000006</v>
      </c>
      <c r="U361" s="29">
        <v>1.85</v>
      </c>
      <c r="V361" s="29">
        <v>34.75</v>
      </c>
      <c r="W361" s="30">
        <v>14803.41</v>
      </c>
      <c r="X361" s="27">
        <v>9.2799999999999994</v>
      </c>
      <c r="Y361" s="27" t="s">
        <v>55</v>
      </c>
      <c r="Z361" s="29">
        <v>11</v>
      </c>
      <c r="AA361" s="30">
        <v>25756.080000000002</v>
      </c>
      <c r="AB361" s="29">
        <v>0.94523809523809499</v>
      </c>
      <c r="AC361" s="30">
        <v>19292.16</v>
      </c>
      <c r="AD361" s="30">
        <v>211.47728571428601</v>
      </c>
      <c r="AE361" s="27">
        <v>649.6</v>
      </c>
      <c r="AF361" s="29">
        <v>0.97998768472906395</v>
      </c>
      <c r="AG361" s="30">
        <v>6252.4427142857203</v>
      </c>
      <c r="AH361" s="31">
        <f t="shared" si="81"/>
        <v>0.90517241379310343</v>
      </c>
      <c r="AI361" s="31">
        <f t="shared" si="82"/>
        <v>5.4761904761904762E-2</v>
      </c>
      <c r="AJ361" s="31">
        <f t="shared" si="83"/>
        <v>1.4285714285714285E-2</v>
      </c>
      <c r="AK361" s="31">
        <f t="shared" si="84"/>
        <v>0.94523809523809521</v>
      </c>
      <c r="AL361" s="29">
        <f t="shared" si="85"/>
        <v>0.21666666666666667</v>
      </c>
      <c r="AM361" s="29">
        <f t="shared" si="86"/>
        <v>636.6</v>
      </c>
      <c r="AN361" s="29">
        <f t="shared" si="87"/>
        <v>1.3195098963242224</v>
      </c>
      <c r="AO361" s="29">
        <f t="shared" si="88"/>
        <v>1.4285714285714286</v>
      </c>
      <c r="AP361" s="31">
        <f t="shared" si="89"/>
        <v>0.92365692742695571</v>
      </c>
      <c r="AQ361" s="31">
        <f t="shared" si="90"/>
        <v>0.94523809523809521</v>
      </c>
      <c r="AR361" s="31">
        <f t="shared" si="91"/>
        <v>0.85560344827586188</v>
      </c>
      <c r="AS361" s="29">
        <f t="shared" si="92"/>
        <v>22.966857142857144</v>
      </c>
      <c r="AT361" s="29">
        <f t="shared" si="93"/>
        <v>7.4433841836734764</v>
      </c>
      <c r="AU361" s="27" t="str">
        <f t="shared" si="94"/>
        <v>Low</v>
      </c>
      <c r="AV361" s="27" t="str">
        <f t="shared" si="95"/>
        <v>Normal</v>
      </c>
      <c r="AW361" s="27"/>
    </row>
    <row r="362" spans="1:49" x14ac:dyDescent="0.25">
      <c r="A362" s="27">
        <v>361</v>
      </c>
      <c r="B362" s="28">
        <v>46101</v>
      </c>
      <c r="C362" s="28" t="str">
        <f t="shared" si="80"/>
        <v>March</v>
      </c>
      <c r="D362" s="27" t="s">
        <v>67</v>
      </c>
      <c r="E362" s="27" t="s">
        <v>48</v>
      </c>
      <c r="F362" s="27" t="s">
        <v>49</v>
      </c>
      <c r="G362" s="27" t="s">
        <v>50</v>
      </c>
      <c r="H362" s="27" t="s">
        <v>124</v>
      </c>
      <c r="I362" s="27" t="s">
        <v>485</v>
      </c>
      <c r="J362" s="27" t="s">
        <v>143</v>
      </c>
      <c r="K362" s="27">
        <v>661</v>
      </c>
      <c r="L362" s="27">
        <v>658</v>
      </c>
      <c r="M362" s="27">
        <v>628</v>
      </c>
      <c r="N362" s="27">
        <v>30</v>
      </c>
      <c r="O362" s="27">
        <v>12</v>
      </c>
      <c r="P362" s="27">
        <v>23</v>
      </c>
      <c r="Q362" s="27" t="s">
        <v>75</v>
      </c>
      <c r="R362" s="27">
        <v>57</v>
      </c>
      <c r="S362" s="27">
        <v>61</v>
      </c>
      <c r="T362" s="29">
        <v>80.2</v>
      </c>
      <c r="U362" s="29">
        <v>1.71</v>
      </c>
      <c r="V362" s="29">
        <v>23.22</v>
      </c>
      <c r="W362" s="30">
        <v>17571.830000000002</v>
      </c>
      <c r="X362" s="27">
        <v>9.42</v>
      </c>
      <c r="Y362" s="27" t="s">
        <v>110</v>
      </c>
      <c r="Z362" s="29">
        <v>27</v>
      </c>
      <c r="AA362" s="30">
        <v>29161.1</v>
      </c>
      <c r="AB362" s="29">
        <v>0.95440729483282705</v>
      </c>
      <c r="AC362" s="30">
        <v>22019.81</v>
      </c>
      <c r="AD362" s="30">
        <v>320.458905775076</v>
      </c>
      <c r="AE362" s="27">
        <v>627.95000000000005</v>
      </c>
      <c r="AF362" s="29">
        <v>0.96337288000637</v>
      </c>
      <c r="AG362" s="30">
        <v>6820.83109422492</v>
      </c>
      <c r="AH362" s="31">
        <f t="shared" si="81"/>
        <v>0.9954614220877458</v>
      </c>
      <c r="AI362" s="31">
        <f t="shared" si="82"/>
        <v>4.5592705167173252E-2</v>
      </c>
      <c r="AJ362" s="31">
        <f t="shared" si="83"/>
        <v>1.82370820668693E-2</v>
      </c>
      <c r="AK362" s="31">
        <f t="shared" si="84"/>
        <v>0.95440729483282671</v>
      </c>
      <c r="AL362" s="29">
        <f t="shared" si="85"/>
        <v>0.38333333333333336</v>
      </c>
      <c r="AM362" s="29">
        <f t="shared" si="86"/>
        <v>604.95000000000005</v>
      </c>
      <c r="AN362" s="29">
        <f t="shared" si="87"/>
        <v>1.0876931977849409</v>
      </c>
      <c r="AO362" s="29">
        <f t="shared" si="88"/>
        <v>1.0526315789473684</v>
      </c>
      <c r="AP362" s="31">
        <f t="shared" si="89"/>
        <v>1.0333085378956939</v>
      </c>
      <c r="AQ362" s="31">
        <f t="shared" si="90"/>
        <v>0.95440729483282671</v>
      </c>
      <c r="AR362" s="31">
        <f t="shared" si="91"/>
        <v>0.9500756429652043</v>
      </c>
      <c r="AS362" s="29">
        <f t="shared" si="92"/>
        <v>33.464756838905778</v>
      </c>
      <c r="AT362" s="29">
        <f t="shared" si="93"/>
        <v>10.366004702469484</v>
      </c>
      <c r="AU362" s="27" t="str">
        <f t="shared" si="94"/>
        <v>Medium</v>
      </c>
      <c r="AV362" s="27" t="str">
        <f t="shared" si="95"/>
        <v>Warning</v>
      </c>
      <c r="AW362" s="27"/>
    </row>
    <row r="363" spans="1:49" x14ac:dyDescent="0.25">
      <c r="A363" s="27">
        <v>362</v>
      </c>
      <c r="B363" s="28">
        <v>46059</v>
      </c>
      <c r="C363" s="28" t="str">
        <f t="shared" si="80"/>
        <v>February</v>
      </c>
      <c r="D363" s="27" t="s">
        <v>67</v>
      </c>
      <c r="E363" s="27" t="s">
        <v>76</v>
      </c>
      <c r="F363" s="27" t="s">
        <v>113</v>
      </c>
      <c r="G363" s="27" t="s">
        <v>50</v>
      </c>
      <c r="H363" s="27" t="s">
        <v>68</v>
      </c>
      <c r="I363" s="27" t="s">
        <v>486</v>
      </c>
      <c r="J363" s="27" t="s">
        <v>155</v>
      </c>
      <c r="K363" s="27">
        <v>631</v>
      </c>
      <c r="L363" s="27">
        <v>632</v>
      </c>
      <c r="M363" s="27">
        <v>601</v>
      </c>
      <c r="N363" s="27">
        <v>31</v>
      </c>
      <c r="O363" s="27">
        <v>13</v>
      </c>
      <c r="P363" s="27">
        <v>13</v>
      </c>
      <c r="Q363" s="27" t="s">
        <v>104</v>
      </c>
      <c r="R363" s="27">
        <v>64</v>
      </c>
      <c r="S363" s="27">
        <v>65</v>
      </c>
      <c r="T363" s="29">
        <v>68.599999999999994</v>
      </c>
      <c r="U363" s="29">
        <v>2.46</v>
      </c>
      <c r="V363" s="29">
        <v>22.8</v>
      </c>
      <c r="W363" s="30">
        <v>20588.400000000001</v>
      </c>
      <c r="X363" s="27">
        <v>7.97</v>
      </c>
      <c r="Y363" s="27" t="s">
        <v>66</v>
      </c>
      <c r="Z363" s="29">
        <v>4</v>
      </c>
      <c r="AA363" s="30">
        <v>30477.47</v>
      </c>
      <c r="AB363" s="29">
        <v>0.950949367088608</v>
      </c>
      <c r="AC363" s="30">
        <v>24380.1</v>
      </c>
      <c r="AD363" s="30">
        <v>423.49556962025298</v>
      </c>
      <c r="AE363" s="27">
        <v>673.06666666666695</v>
      </c>
      <c r="AF363" s="29">
        <v>0.98068541996830405</v>
      </c>
      <c r="AG363" s="30">
        <v>5673.8744303797503</v>
      </c>
      <c r="AH363" s="31">
        <f t="shared" si="81"/>
        <v>1.0015847860538827</v>
      </c>
      <c r="AI363" s="31">
        <f t="shared" si="82"/>
        <v>4.9050632911392403E-2</v>
      </c>
      <c r="AJ363" s="31">
        <f t="shared" si="83"/>
        <v>2.0569620253164556E-2</v>
      </c>
      <c r="AK363" s="31">
        <f t="shared" si="84"/>
        <v>0.95094936708860756</v>
      </c>
      <c r="AL363" s="29">
        <f t="shared" si="85"/>
        <v>0.21666666666666667</v>
      </c>
      <c r="AM363" s="29">
        <f t="shared" si="86"/>
        <v>660.06666666666695</v>
      </c>
      <c r="AN363" s="29">
        <f t="shared" si="87"/>
        <v>0.95747904252095706</v>
      </c>
      <c r="AO363" s="29">
        <f t="shared" si="88"/>
        <v>0.9375</v>
      </c>
      <c r="AP363" s="31">
        <f t="shared" si="89"/>
        <v>1.0213109786890209</v>
      </c>
      <c r="AQ363" s="31">
        <f t="shared" si="90"/>
        <v>0.95094936708860756</v>
      </c>
      <c r="AR363" s="31">
        <f t="shared" si="91"/>
        <v>0.95245641838351747</v>
      </c>
      <c r="AS363" s="29">
        <f t="shared" si="92"/>
        <v>38.576107594936708</v>
      </c>
      <c r="AT363" s="29">
        <f t="shared" si="93"/>
        <v>8.977649415157833</v>
      </c>
      <c r="AU363" s="27" t="str">
        <f t="shared" si="94"/>
        <v>Low</v>
      </c>
      <c r="AV363" s="27" t="str">
        <f t="shared" si="95"/>
        <v>Normal</v>
      </c>
      <c r="AW363" s="27"/>
    </row>
    <row r="364" spans="1:49" x14ac:dyDescent="0.25">
      <c r="A364" s="27">
        <v>363</v>
      </c>
      <c r="B364" s="28">
        <v>46101</v>
      </c>
      <c r="C364" s="28" t="str">
        <f t="shared" si="80"/>
        <v>March</v>
      </c>
      <c r="D364" s="27" t="s">
        <v>67</v>
      </c>
      <c r="E364" s="27" t="s">
        <v>129</v>
      </c>
      <c r="F364" s="27" t="s">
        <v>167</v>
      </c>
      <c r="G364" s="27" t="s">
        <v>63</v>
      </c>
      <c r="H364" s="27" t="s">
        <v>51</v>
      </c>
      <c r="I364" s="27" t="s">
        <v>487</v>
      </c>
      <c r="J364" s="27" t="s">
        <v>115</v>
      </c>
      <c r="K364" s="27">
        <v>767</v>
      </c>
      <c r="L364" s="27">
        <v>672</v>
      </c>
      <c r="M364" s="27">
        <v>612</v>
      </c>
      <c r="N364" s="27">
        <v>60</v>
      </c>
      <c r="O364" s="27">
        <v>18</v>
      </c>
      <c r="P364" s="27">
        <v>42</v>
      </c>
      <c r="Q364" s="27" t="s">
        <v>94</v>
      </c>
      <c r="R364" s="27">
        <v>42</v>
      </c>
      <c r="S364" s="27">
        <v>43</v>
      </c>
      <c r="T364" s="29">
        <v>62.9</v>
      </c>
      <c r="U364" s="29">
        <v>1.65</v>
      </c>
      <c r="V364" s="29">
        <v>26.46</v>
      </c>
      <c r="W364" s="30">
        <v>13010.95</v>
      </c>
      <c r="X364" s="27">
        <v>8.33</v>
      </c>
      <c r="Y364" s="27" t="s">
        <v>110</v>
      </c>
      <c r="Z364" s="29">
        <v>42</v>
      </c>
      <c r="AA364" s="30">
        <v>19720.64</v>
      </c>
      <c r="AB364" s="29">
        <v>0.91071428571428603</v>
      </c>
      <c r="AC364" s="30">
        <v>16997.59</v>
      </c>
      <c r="AD364" s="30">
        <v>348.507589285714</v>
      </c>
      <c r="AE364" s="27">
        <v>536.9</v>
      </c>
      <c r="AF364" s="29">
        <v>0.92177314211212502</v>
      </c>
      <c r="AG364" s="30">
        <v>2374.5424107142899</v>
      </c>
      <c r="AH364" s="31">
        <f t="shared" si="81"/>
        <v>0.87614080834419816</v>
      </c>
      <c r="AI364" s="31">
        <f t="shared" si="82"/>
        <v>8.9285714285714288E-2</v>
      </c>
      <c r="AJ364" s="31">
        <f t="shared" si="83"/>
        <v>2.6785714285714284E-2</v>
      </c>
      <c r="AK364" s="31">
        <f t="shared" si="84"/>
        <v>0.9107142857142857</v>
      </c>
      <c r="AL364" s="29">
        <f t="shared" si="85"/>
        <v>0.7</v>
      </c>
      <c r="AM364" s="29">
        <f t="shared" si="86"/>
        <v>494.9</v>
      </c>
      <c r="AN364" s="29">
        <f t="shared" si="87"/>
        <v>1.3578500707213579</v>
      </c>
      <c r="AO364" s="29">
        <f t="shared" si="88"/>
        <v>1.4285714285714286</v>
      </c>
      <c r="AP364" s="31">
        <f t="shared" si="89"/>
        <v>0.95049504950495045</v>
      </c>
      <c r="AQ364" s="31">
        <f t="shared" si="90"/>
        <v>0.9107142857142857</v>
      </c>
      <c r="AR364" s="31">
        <f t="shared" si="91"/>
        <v>0.79791395045632318</v>
      </c>
      <c r="AS364" s="29">
        <f t="shared" si="92"/>
        <v>25.29403273809524</v>
      </c>
      <c r="AT364" s="29">
        <f t="shared" si="93"/>
        <v>3.5335452540391219</v>
      </c>
      <c r="AU364" s="27" t="str">
        <f t="shared" si="94"/>
        <v>High</v>
      </c>
      <c r="AV364" s="27" t="str">
        <f t="shared" si="95"/>
        <v>Warning</v>
      </c>
      <c r="AW364" s="27"/>
    </row>
    <row r="365" spans="1:49" x14ac:dyDescent="0.25">
      <c r="A365" s="27">
        <v>364</v>
      </c>
      <c r="B365" s="28">
        <v>46024</v>
      </c>
      <c r="C365" s="28" t="str">
        <f t="shared" si="80"/>
        <v>January</v>
      </c>
      <c r="D365" s="27" t="s">
        <v>67</v>
      </c>
      <c r="E365" s="27" t="s">
        <v>76</v>
      </c>
      <c r="F365" s="27" t="s">
        <v>113</v>
      </c>
      <c r="G365" s="27" t="s">
        <v>50</v>
      </c>
      <c r="H365" s="27" t="s">
        <v>68</v>
      </c>
      <c r="I365" s="27" t="s">
        <v>488</v>
      </c>
      <c r="J365" s="27" t="s">
        <v>175</v>
      </c>
      <c r="K365" s="27">
        <v>625</v>
      </c>
      <c r="L365" s="27">
        <v>603</v>
      </c>
      <c r="M365" s="27">
        <v>574</v>
      </c>
      <c r="N365" s="27">
        <v>29</v>
      </c>
      <c r="O365" s="27">
        <v>6</v>
      </c>
      <c r="P365" s="27">
        <v>0</v>
      </c>
      <c r="Q365" s="27" t="s">
        <v>60</v>
      </c>
      <c r="R365" s="27">
        <v>64</v>
      </c>
      <c r="S365" s="27">
        <v>67</v>
      </c>
      <c r="T365" s="29">
        <v>76.5</v>
      </c>
      <c r="U365" s="29">
        <v>1.68</v>
      </c>
      <c r="V365" s="29">
        <v>23.46</v>
      </c>
      <c r="W365" s="30">
        <v>19707.990000000002</v>
      </c>
      <c r="X365" s="27">
        <v>8.2899999999999991</v>
      </c>
      <c r="Y365" s="27" t="s">
        <v>66</v>
      </c>
      <c r="Z365" s="29">
        <v>30</v>
      </c>
      <c r="AA365" s="30">
        <v>29621.07</v>
      </c>
      <c r="AB365" s="29">
        <v>0.95190713101160895</v>
      </c>
      <c r="AC365" s="30">
        <v>23649.63</v>
      </c>
      <c r="AD365" s="30">
        <v>196.09940298507499</v>
      </c>
      <c r="AE365" s="27">
        <v>666.66666666666697</v>
      </c>
      <c r="AF365" s="29">
        <v>1</v>
      </c>
      <c r="AG365" s="30">
        <v>5775.3405970149197</v>
      </c>
      <c r="AH365" s="31">
        <f t="shared" si="81"/>
        <v>0.96479999999999999</v>
      </c>
      <c r="AI365" s="31">
        <f t="shared" si="82"/>
        <v>4.809286898839138E-2</v>
      </c>
      <c r="AJ365" s="31">
        <f t="shared" si="83"/>
        <v>9.9502487562189053E-3</v>
      </c>
      <c r="AK365" s="31">
        <f t="shared" si="84"/>
        <v>0.95190713101160862</v>
      </c>
      <c r="AL365" s="29">
        <f t="shared" si="85"/>
        <v>0</v>
      </c>
      <c r="AM365" s="29">
        <f t="shared" si="86"/>
        <v>666.66666666666697</v>
      </c>
      <c r="AN365" s="29">
        <f t="shared" si="87"/>
        <v>0.90449999999999964</v>
      </c>
      <c r="AO365" s="29">
        <f t="shared" si="88"/>
        <v>0.9375</v>
      </c>
      <c r="AP365" s="31">
        <f t="shared" si="89"/>
        <v>0.96479999999999966</v>
      </c>
      <c r="AQ365" s="31">
        <f t="shared" si="90"/>
        <v>0.95190713101160862</v>
      </c>
      <c r="AR365" s="31">
        <f t="shared" si="91"/>
        <v>0.91839999999999966</v>
      </c>
      <c r="AS365" s="29">
        <f t="shared" si="92"/>
        <v>39.21995024875622</v>
      </c>
      <c r="AT365" s="29">
        <f t="shared" si="93"/>
        <v>9.5776792653647096</v>
      </c>
      <c r="AU365" s="27" t="str">
        <f t="shared" si="94"/>
        <v>Medium</v>
      </c>
      <c r="AV365" s="27" t="str">
        <f t="shared" si="95"/>
        <v>Normal</v>
      </c>
      <c r="AW365" s="27"/>
    </row>
    <row r="366" spans="1:49" x14ac:dyDescent="0.25">
      <c r="A366" s="27">
        <v>365</v>
      </c>
      <c r="B366" s="28">
        <v>46051</v>
      </c>
      <c r="C366" s="28" t="str">
        <f t="shared" si="80"/>
        <v>January</v>
      </c>
      <c r="D366" s="27" t="s">
        <v>67</v>
      </c>
      <c r="E366" s="27" t="s">
        <v>98</v>
      </c>
      <c r="F366" s="27" t="s">
        <v>126</v>
      </c>
      <c r="G366" s="27" t="s">
        <v>78</v>
      </c>
      <c r="H366" s="27" t="s">
        <v>68</v>
      </c>
      <c r="I366" s="27" t="s">
        <v>489</v>
      </c>
      <c r="J366" s="27" t="s">
        <v>143</v>
      </c>
      <c r="K366" s="27">
        <v>526</v>
      </c>
      <c r="L366" s="27">
        <v>506</v>
      </c>
      <c r="M366" s="27">
        <v>456</v>
      </c>
      <c r="N366" s="27">
        <v>50</v>
      </c>
      <c r="O366" s="27">
        <v>20</v>
      </c>
      <c r="P366" s="27">
        <v>24</v>
      </c>
      <c r="Q366" s="27" t="s">
        <v>75</v>
      </c>
      <c r="R366" s="27">
        <v>64</v>
      </c>
      <c r="S366" s="27">
        <v>72</v>
      </c>
      <c r="T366" s="29">
        <v>66.599999999999994</v>
      </c>
      <c r="U366" s="29">
        <v>1.1599999999999999</v>
      </c>
      <c r="V366" s="29">
        <v>20.64</v>
      </c>
      <c r="W366" s="30">
        <v>14755.93</v>
      </c>
      <c r="X366" s="27">
        <v>8.39</v>
      </c>
      <c r="Y366" s="27" t="s">
        <v>55</v>
      </c>
      <c r="Z366" s="29">
        <v>23</v>
      </c>
      <c r="AA366" s="30">
        <v>23153.1</v>
      </c>
      <c r="AB366" s="29">
        <v>0.90118577075098805</v>
      </c>
      <c r="AC366" s="30">
        <v>18717.189999999999</v>
      </c>
      <c r="AD366" s="30">
        <v>583.23833992094899</v>
      </c>
      <c r="AE366" s="27">
        <v>561.06666666666695</v>
      </c>
      <c r="AF366" s="29">
        <v>0.95722433460076095</v>
      </c>
      <c r="AG366" s="30">
        <v>3852.6716600790501</v>
      </c>
      <c r="AH366" s="31">
        <f t="shared" si="81"/>
        <v>0.96197718631178708</v>
      </c>
      <c r="AI366" s="31">
        <f t="shared" si="82"/>
        <v>9.8814229249011856E-2</v>
      </c>
      <c r="AJ366" s="31">
        <f t="shared" si="83"/>
        <v>3.9525691699604744E-2</v>
      </c>
      <c r="AK366" s="31">
        <f t="shared" si="84"/>
        <v>0.90118577075098816</v>
      </c>
      <c r="AL366" s="29">
        <f t="shared" si="85"/>
        <v>0.4</v>
      </c>
      <c r="AM366" s="29">
        <f t="shared" si="86"/>
        <v>537.06666666666695</v>
      </c>
      <c r="AN366" s="29">
        <f t="shared" si="87"/>
        <v>0.94215491559086351</v>
      </c>
      <c r="AO366" s="29">
        <f t="shared" si="88"/>
        <v>0.9375</v>
      </c>
      <c r="AP366" s="31">
        <f t="shared" si="89"/>
        <v>1.0049652432969212</v>
      </c>
      <c r="AQ366" s="31">
        <f t="shared" si="90"/>
        <v>0.90118577075098816</v>
      </c>
      <c r="AR366" s="31">
        <f t="shared" si="91"/>
        <v>0.86692015209125484</v>
      </c>
      <c r="AS366" s="29">
        <f t="shared" si="92"/>
        <v>36.990494071146244</v>
      </c>
      <c r="AT366" s="29">
        <f t="shared" si="93"/>
        <v>7.6139756128044471</v>
      </c>
      <c r="AU366" s="27" t="str">
        <f t="shared" si="94"/>
        <v>Medium</v>
      </c>
      <c r="AV366" s="27" t="str">
        <f t="shared" si="95"/>
        <v>Warning</v>
      </c>
      <c r="AW366" s="27"/>
    </row>
    <row r="367" spans="1:49" x14ac:dyDescent="0.25">
      <c r="A367" s="27">
        <v>366</v>
      </c>
      <c r="B367" s="28">
        <v>46112</v>
      </c>
      <c r="C367" s="28" t="str">
        <f t="shared" si="80"/>
        <v>March</v>
      </c>
      <c r="D367" s="27" t="s">
        <v>47</v>
      </c>
      <c r="E367" s="27" t="s">
        <v>61</v>
      </c>
      <c r="F367" s="27" t="s">
        <v>62</v>
      </c>
      <c r="G367" s="27" t="s">
        <v>50</v>
      </c>
      <c r="H367" s="27" t="s">
        <v>79</v>
      </c>
      <c r="I367" s="27" t="s">
        <v>490</v>
      </c>
      <c r="J367" s="27" t="s">
        <v>138</v>
      </c>
      <c r="K367" s="27">
        <v>663</v>
      </c>
      <c r="L367" s="27">
        <v>659</v>
      </c>
      <c r="M367" s="27">
        <v>630</v>
      </c>
      <c r="N367" s="27">
        <v>29</v>
      </c>
      <c r="O367" s="27">
        <v>8</v>
      </c>
      <c r="P367" s="27">
        <v>34</v>
      </c>
      <c r="Q367" s="27" t="s">
        <v>97</v>
      </c>
      <c r="R367" s="27">
        <v>49</v>
      </c>
      <c r="S367" s="27">
        <v>47</v>
      </c>
      <c r="T367" s="29">
        <v>72.5</v>
      </c>
      <c r="U367" s="29">
        <v>1.72</v>
      </c>
      <c r="V367" s="29">
        <v>23.98</v>
      </c>
      <c r="W367" s="30">
        <v>14561.37</v>
      </c>
      <c r="X367" s="27">
        <v>8.0399999999999991</v>
      </c>
      <c r="Y367" s="27" t="s">
        <v>71</v>
      </c>
      <c r="Z367" s="29">
        <v>21</v>
      </c>
      <c r="AA367" s="30">
        <v>24164.48</v>
      </c>
      <c r="AB367" s="29">
        <v>0.95599393019726897</v>
      </c>
      <c r="AC367" s="30">
        <v>18395.189999999999</v>
      </c>
      <c r="AD367" s="30">
        <v>176.769286798179</v>
      </c>
      <c r="AE367" s="27">
        <v>541.45000000000005</v>
      </c>
      <c r="AF367" s="29">
        <v>0.93720565149136603</v>
      </c>
      <c r="AG367" s="30">
        <v>5592.5207132018204</v>
      </c>
      <c r="AH367" s="31">
        <f t="shared" si="81"/>
        <v>0.99396681749622928</v>
      </c>
      <c r="AI367" s="31">
        <f t="shared" si="82"/>
        <v>4.4006069802731411E-2</v>
      </c>
      <c r="AJ367" s="31">
        <f t="shared" si="83"/>
        <v>1.2139605462822459E-2</v>
      </c>
      <c r="AK367" s="31">
        <f t="shared" si="84"/>
        <v>0.95599393019726864</v>
      </c>
      <c r="AL367" s="29">
        <f t="shared" si="85"/>
        <v>0.56666666666666665</v>
      </c>
      <c r="AM367" s="29">
        <f t="shared" si="86"/>
        <v>507.45000000000005</v>
      </c>
      <c r="AN367" s="29">
        <f t="shared" si="87"/>
        <v>1.2986501133116561</v>
      </c>
      <c r="AO367" s="29">
        <f t="shared" si="88"/>
        <v>1.2244897959183674</v>
      </c>
      <c r="AP367" s="31">
        <f t="shared" si="89"/>
        <v>1.0605642592045192</v>
      </c>
      <c r="AQ367" s="31">
        <f t="shared" si="90"/>
        <v>0.95599393019726864</v>
      </c>
      <c r="AR367" s="31">
        <f t="shared" si="91"/>
        <v>0.95022624434389169</v>
      </c>
      <c r="AS367" s="29">
        <f t="shared" si="92"/>
        <v>27.913793626707129</v>
      </c>
      <c r="AT367" s="29">
        <f t="shared" si="93"/>
        <v>8.4863743751165703</v>
      </c>
      <c r="AU367" s="27" t="str">
        <f t="shared" si="94"/>
        <v>High</v>
      </c>
      <c r="AV367" s="27" t="str">
        <f t="shared" si="95"/>
        <v>Normal</v>
      </c>
      <c r="AW367" s="27"/>
    </row>
    <row r="368" spans="1:49" x14ac:dyDescent="0.25">
      <c r="A368" s="27">
        <v>367</v>
      </c>
      <c r="B368" s="28">
        <v>46135</v>
      </c>
      <c r="C368" s="28" t="str">
        <f t="shared" si="80"/>
        <v>April</v>
      </c>
      <c r="D368" s="27" t="s">
        <v>47</v>
      </c>
      <c r="E368" s="27" t="s">
        <v>98</v>
      </c>
      <c r="F368" s="27" t="s">
        <v>99</v>
      </c>
      <c r="G368" s="27" t="s">
        <v>63</v>
      </c>
      <c r="H368" s="27" t="s">
        <v>51</v>
      </c>
      <c r="I368" s="27" t="s">
        <v>491</v>
      </c>
      <c r="J368" s="27" t="s">
        <v>138</v>
      </c>
      <c r="K368" s="27">
        <v>776</v>
      </c>
      <c r="L368" s="27">
        <v>682</v>
      </c>
      <c r="M368" s="27">
        <v>655</v>
      </c>
      <c r="N368" s="27">
        <v>27</v>
      </c>
      <c r="O368" s="27">
        <v>8</v>
      </c>
      <c r="P368" s="27">
        <v>28</v>
      </c>
      <c r="Q368" s="27" t="s">
        <v>91</v>
      </c>
      <c r="R368" s="27">
        <v>42</v>
      </c>
      <c r="S368" s="27">
        <v>46</v>
      </c>
      <c r="T368" s="29">
        <v>74.8</v>
      </c>
      <c r="U368" s="29">
        <v>1.39</v>
      </c>
      <c r="V368" s="29">
        <v>25.85</v>
      </c>
      <c r="W368" s="30">
        <v>12941.49</v>
      </c>
      <c r="X368" s="27">
        <v>7.27</v>
      </c>
      <c r="Y368" s="27" t="s">
        <v>110</v>
      </c>
      <c r="Z368" s="29">
        <v>35</v>
      </c>
      <c r="AA368" s="30">
        <v>21440.11</v>
      </c>
      <c r="AB368" s="29">
        <v>0.96041055718475099</v>
      </c>
      <c r="AC368" s="30">
        <v>16445.64</v>
      </c>
      <c r="AD368" s="30">
        <v>151.80633431084999</v>
      </c>
      <c r="AE368" s="27">
        <v>543.20000000000005</v>
      </c>
      <c r="AF368" s="29">
        <v>0.94845360824742297</v>
      </c>
      <c r="AG368" s="30">
        <v>4842.6636656891496</v>
      </c>
      <c r="AH368" s="31">
        <f t="shared" si="81"/>
        <v>0.87886597938144329</v>
      </c>
      <c r="AI368" s="31">
        <f t="shared" si="82"/>
        <v>3.9589442815249266E-2</v>
      </c>
      <c r="AJ368" s="31">
        <f t="shared" si="83"/>
        <v>1.1730205278592375E-2</v>
      </c>
      <c r="AK368" s="31">
        <f t="shared" si="84"/>
        <v>0.96041055718475077</v>
      </c>
      <c r="AL368" s="29">
        <f t="shared" si="85"/>
        <v>0.46666666666666667</v>
      </c>
      <c r="AM368" s="29">
        <f t="shared" si="86"/>
        <v>515.20000000000005</v>
      </c>
      <c r="AN368" s="29">
        <f t="shared" si="87"/>
        <v>1.3237577639751552</v>
      </c>
      <c r="AO368" s="29">
        <f t="shared" si="88"/>
        <v>1.4285714285714286</v>
      </c>
      <c r="AP368" s="31">
        <f t="shared" si="89"/>
        <v>0.92663043478260865</v>
      </c>
      <c r="AQ368" s="31">
        <f t="shared" si="90"/>
        <v>0.96041055718475077</v>
      </c>
      <c r="AR368" s="31">
        <f t="shared" si="91"/>
        <v>0.84407216494845383</v>
      </c>
      <c r="AS368" s="29">
        <f t="shared" si="92"/>
        <v>24.113841642228738</v>
      </c>
      <c r="AT368" s="29">
        <f t="shared" si="93"/>
        <v>7.1006798617142959</v>
      </c>
      <c r="AU368" s="27" t="str">
        <f t="shared" si="94"/>
        <v>Medium</v>
      </c>
      <c r="AV368" s="27" t="str">
        <f t="shared" si="95"/>
        <v>Warning</v>
      </c>
      <c r="AW368" s="27"/>
    </row>
    <row r="369" spans="1:49" x14ac:dyDescent="0.25">
      <c r="A369" s="27">
        <v>368</v>
      </c>
      <c r="B369" s="28">
        <v>46151</v>
      </c>
      <c r="C369" s="28" t="str">
        <f t="shared" si="80"/>
        <v>May</v>
      </c>
      <c r="D369" s="27" t="s">
        <v>67</v>
      </c>
      <c r="E369" s="27" t="s">
        <v>98</v>
      </c>
      <c r="F369" s="27" t="s">
        <v>105</v>
      </c>
      <c r="G369" s="27" t="s">
        <v>78</v>
      </c>
      <c r="H369" s="27" t="s">
        <v>57</v>
      </c>
      <c r="I369" s="27" t="s">
        <v>492</v>
      </c>
      <c r="J369" s="27" t="s">
        <v>153</v>
      </c>
      <c r="K369" s="27">
        <v>759</v>
      </c>
      <c r="L369" s="27">
        <v>599</v>
      </c>
      <c r="M369" s="27">
        <v>561</v>
      </c>
      <c r="N369" s="27">
        <v>38</v>
      </c>
      <c r="O369" s="27">
        <v>11</v>
      </c>
      <c r="P369" s="27">
        <v>46</v>
      </c>
      <c r="Q369" s="27" t="s">
        <v>54</v>
      </c>
      <c r="R369" s="27">
        <v>45</v>
      </c>
      <c r="S369" s="27">
        <v>50</v>
      </c>
      <c r="T369" s="29">
        <v>65.900000000000006</v>
      </c>
      <c r="U369" s="29">
        <v>2.35</v>
      </c>
      <c r="V369" s="29">
        <v>20.73</v>
      </c>
      <c r="W369" s="30">
        <v>12174.81</v>
      </c>
      <c r="X369" s="27">
        <v>7.29</v>
      </c>
      <c r="Y369" s="27" t="s">
        <v>110</v>
      </c>
      <c r="Z369" s="29">
        <v>26</v>
      </c>
      <c r="AA369" s="30">
        <v>19266.09</v>
      </c>
      <c r="AB369" s="29">
        <v>0.93656093489148595</v>
      </c>
      <c r="AC369" s="30">
        <v>15641.88</v>
      </c>
      <c r="AD369" s="30">
        <v>223.577479131887</v>
      </c>
      <c r="AE369" s="27">
        <v>569.25</v>
      </c>
      <c r="AF369" s="29">
        <v>0.919191919191919</v>
      </c>
      <c r="AG369" s="30">
        <v>3400.6325208681101</v>
      </c>
      <c r="AH369" s="31">
        <f t="shared" si="81"/>
        <v>0.7891963109354414</v>
      </c>
      <c r="AI369" s="31">
        <f t="shared" si="82"/>
        <v>6.3439065108514187E-2</v>
      </c>
      <c r="AJ369" s="31">
        <f t="shared" si="83"/>
        <v>1.8363939899833055E-2</v>
      </c>
      <c r="AK369" s="31">
        <f t="shared" si="84"/>
        <v>0.93656093489148584</v>
      </c>
      <c r="AL369" s="29">
        <f t="shared" si="85"/>
        <v>0.76666666666666672</v>
      </c>
      <c r="AM369" s="29">
        <f t="shared" si="86"/>
        <v>523.25</v>
      </c>
      <c r="AN369" s="29">
        <f t="shared" si="87"/>
        <v>1.1447682752030579</v>
      </c>
      <c r="AO369" s="29">
        <f t="shared" si="88"/>
        <v>1.3333333333333333</v>
      </c>
      <c r="AP369" s="31">
        <f t="shared" si="89"/>
        <v>0.85857620640229348</v>
      </c>
      <c r="AQ369" s="31">
        <f t="shared" si="90"/>
        <v>0.93656093489148584</v>
      </c>
      <c r="AR369" s="31">
        <f t="shared" si="91"/>
        <v>0.73913043478260865</v>
      </c>
      <c r="AS369" s="29">
        <f t="shared" si="92"/>
        <v>26.113322203672787</v>
      </c>
      <c r="AT369" s="29">
        <f t="shared" si="93"/>
        <v>5.6771828395127049</v>
      </c>
      <c r="AU369" s="27" t="str">
        <f t="shared" si="94"/>
        <v>High</v>
      </c>
      <c r="AV369" s="27" t="str">
        <f t="shared" si="95"/>
        <v>Critical</v>
      </c>
      <c r="AW369" s="27"/>
    </row>
    <row r="370" spans="1:49" x14ac:dyDescent="0.25">
      <c r="A370" s="27">
        <v>369</v>
      </c>
      <c r="B370" s="28">
        <v>46094</v>
      </c>
      <c r="C370" s="28" t="str">
        <f t="shared" si="80"/>
        <v>March</v>
      </c>
      <c r="D370" s="27" t="s">
        <v>47</v>
      </c>
      <c r="E370" s="27" t="s">
        <v>129</v>
      </c>
      <c r="F370" s="27" t="s">
        <v>130</v>
      </c>
      <c r="G370" s="27" t="s">
        <v>50</v>
      </c>
      <c r="H370" s="27" t="s">
        <v>57</v>
      </c>
      <c r="I370" s="27" t="s">
        <v>493</v>
      </c>
      <c r="J370" s="27" t="s">
        <v>138</v>
      </c>
      <c r="K370" s="27">
        <v>922</v>
      </c>
      <c r="L370" s="27">
        <v>881</v>
      </c>
      <c r="M370" s="27">
        <v>759</v>
      </c>
      <c r="N370" s="27">
        <v>122</v>
      </c>
      <c r="O370" s="27">
        <v>47</v>
      </c>
      <c r="P370" s="27">
        <v>19</v>
      </c>
      <c r="Q370" s="27" t="s">
        <v>54</v>
      </c>
      <c r="R370" s="27">
        <v>45</v>
      </c>
      <c r="S370" s="27">
        <v>50</v>
      </c>
      <c r="T370" s="29">
        <v>77</v>
      </c>
      <c r="U370" s="29">
        <v>3.48</v>
      </c>
      <c r="V370" s="29">
        <v>30.09</v>
      </c>
      <c r="W370" s="30">
        <v>18494.3</v>
      </c>
      <c r="X370" s="27">
        <v>9.9700000000000006</v>
      </c>
      <c r="Y370" s="27" t="s">
        <v>66</v>
      </c>
      <c r="Z370" s="29">
        <v>51</v>
      </c>
      <c r="AA370" s="30">
        <v>26447.17</v>
      </c>
      <c r="AB370" s="29">
        <v>0.86152099886492595</v>
      </c>
      <c r="AC370" s="30">
        <v>23251.61</v>
      </c>
      <c r="AD370" s="30">
        <v>986.64256526674205</v>
      </c>
      <c r="AE370" s="27">
        <v>691.5</v>
      </c>
      <c r="AF370" s="29">
        <v>0.97252349963846696</v>
      </c>
      <c r="AG370" s="30">
        <v>2208.9174347332601</v>
      </c>
      <c r="AH370" s="31">
        <f t="shared" si="81"/>
        <v>0.95553145336225598</v>
      </c>
      <c r="AI370" s="31">
        <f t="shared" si="82"/>
        <v>0.13847900113507378</v>
      </c>
      <c r="AJ370" s="31">
        <f t="shared" si="83"/>
        <v>5.3348467650397274E-2</v>
      </c>
      <c r="AK370" s="31">
        <f t="shared" si="84"/>
        <v>0.86152099886492617</v>
      </c>
      <c r="AL370" s="29">
        <f t="shared" si="85"/>
        <v>0.31666666666666665</v>
      </c>
      <c r="AM370" s="29">
        <f t="shared" si="86"/>
        <v>672.5</v>
      </c>
      <c r="AN370" s="29">
        <f t="shared" si="87"/>
        <v>1.3100371747211896</v>
      </c>
      <c r="AO370" s="29">
        <f t="shared" si="88"/>
        <v>1.3333333333333333</v>
      </c>
      <c r="AP370" s="31">
        <f t="shared" si="89"/>
        <v>0.98252788104089228</v>
      </c>
      <c r="AQ370" s="31">
        <f t="shared" si="90"/>
        <v>0.86152099886492617</v>
      </c>
      <c r="AR370" s="31">
        <f t="shared" si="91"/>
        <v>0.82321041214750534</v>
      </c>
      <c r="AS370" s="29">
        <f t="shared" si="92"/>
        <v>26.392292849035186</v>
      </c>
      <c r="AT370" s="29">
        <f t="shared" si="93"/>
        <v>2.5072842618992737</v>
      </c>
      <c r="AU370" s="27" t="str">
        <f t="shared" si="94"/>
        <v>High</v>
      </c>
      <c r="AV370" s="27" t="str">
        <f t="shared" si="95"/>
        <v>Warning</v>
      </c>
      <c r="AW370" s="27"/>
    </row>
    <row r="371" spans="1:49" x14ac:dyDescent="0.25">
      <c r="A371" s="27">
        <v>370</v>
      </c>
      <c r="B371" s="28">
        <v>46038</v>
      </c>
      <c r="C371" s="28" t="str">
        <f t="shared" si="80"/>
        <v>January</v>
      </c>
      <c r="D371" s="27" t="s">
        <v>67</v>
      </c>
      <c r="E371" s="27" t="s">
        <v>48</v>
      </c>
      <c r="F371" s="27" t="s">
        <v>56</v>
      </c>
      <c r="G371" s="27" t="s">
        <v>50</v>
      </c>
      <c r="H371" s="27" t="s">
        <v>79</v>
      </c>
      <c r="I371" s="27" t="s">
        <v>494</v>
      </c>
      <c r="J371" s="27" t="s">
        <v>170</v>
      </c>
      <c r="K371" s="27">
        <v>834</v>
      </c>
      <c r="L371" s="27">
        <v>778</v>
      </c>
      <c r="M371" s="27">
        <v>739</v>
      </c>
      <c r="N371" s="27">
        <v>39</v>
      </c>
      <c r="O371" s="27">
        <v>13</v>
      </c>
      <c r="P371" s="27">
        <v>31</v>
      </c>
      <c r="Q371" s="27" t="s">
        <v>54</v>
      </c>
      <c r="R371" s="27">
        <v>49</v>
      </c>
      <c r="S371" s="27">
        <v>52</v>
      </c>
      <c r="T371" s="29">
        <v>70.2</v>
      </c>
      <c r="U371" s="29">
        <v>2.4</v>
      </c>
      <c r="V371" s="29">
        <v>27.54</v>
      </c>
      <c r="W371" s="30">
        <v>17098.099999999999</v>
      </c>
      <c r="X371" s="27">
        <v>7.75</v>
      </c>
      <c r="Y371" s="27" t="s">
        <v>55</v>
      </c>
      <c r="Z371" s="29">
        <v>32</v>
      </c>
      <c r="AA371" s="30">
        <v>28366.66</v>
      </c>
      <c r="AB371" s="29">
        <v>0.94987146529563005</v>
      </c>
      <c r="AC371" s="30">
        <v>20833.46</v>
      </c>
      <c r="AD371" s="30">
        <v>285.70089974293103</v>
      </c>
      <c r="AE371" s="27">
        <v>681.1</v>
      </c>
      <c r="AF371" s="29">
        <v>0.95448539127881404</v>
      </c>
      <c r="AG371" s="30">
        <v>7247.4991002570696</v>
      </c>
      <c r="AH371" s="31">
        <f t="shared" si="81"/>
        <v>0.93285371702637887</v>
      </c>
      <c r="AI371" s="31">
        <f t="shared" si="82"/>
        <v>5.0128534704370183E-2</v>
      </c>
      <c r="AJ371" s="31">
        <f t="shared" si="83"/>
        <v>1.6709511568123392E-2</v>
      </c>
      <c r="AK371" s="31">
        <f t="shared" si="84"/>
        <v>0.94987146529562982</v>
      </c>
      <c r="AL371" s="29">
        <f t="shared" si="85"/>
        <v>0.51666666666666672</v>
      </c>
      <c r="AM371" s="29">
        <f t="shared" si="86"/>
        <v>650.1</v>
      </c>
      <c r="AN371" s="29">
        <f t="shared" si="87"/>
        <v>1.1967389632364251</v>
      </c>
      <c r="AO371" s="29">
        <f t="shared" si="88"/>
        <v>1.2244897959183674</v>
      </c>
      <c r="AP371" s="31">
        <f t="shared" si="89"/>
        <v>0.97733681997641386</v>
      </c>
      <c r="AQ371" s="31">
        <f t="shared" si="90"/>
        <v>0.94987146529562982</v>
      </c>
      <c r="AR371" s="31">
        <f t="shared" si="91"/>
        <v>0.88609112709832161</v>
      </c>
      <c r="AS371" s="29">
        <f t="shared" si="92"/>
        <v>26.778226221079692</v>
      </c>
      <c r="AT371" s="29">
        <f t="shared" si="93"/>
        <v>9.315551542746876</v>
      </c>
      <c r="AU371" s="27" t="str">
        <f t="shared" si="94"/>
        <v>Medium</v>
      </c>
      <c r="AV371" s="27" t="str">
        <f t="shared" si="95"/>
        <v>Normal</v>
      </c>
      <c r="AW371" s="27"/>
    </row>
    <row r="372" spans="1:49" x14ac:dyDescent="0.25">
      <c r="A372" s="27">
        <v>371</v>
      </c>
      <c r="B372" s="28">
        <v>46197</v>
      </c>
      <c r="C372" s="28" t="str">
        <f t="shared" si="80"/>
        <v>June</v>
      </c>
      <c r="D372" s="27" t="s">
        <v>47</v>
      </c>
      <c r="E372" s="27" t="s">
        <v>129</v>
      </c>
      <c r="F372" s="27" t="s">
        <v>151</v>
      </c>
      <c r="G372" s="27" t="s">
        <v>63</v>
      </c>
      <c r="H372" s="27" t="s">
        <v>79</v>
      </c>
      <c r="I372" s="27" t="s">
        <v>495</v>
      </c>
      <c r="J372" s="27" t="s">
        <v>175</v>
      </c>
      <c r="K372" s="27">
        <v>810</v>
      </c>
      <c r="L372" s="27">
        <v>639</v>
      </c>
      <c r="M372" s="27">
        <v>595</v>
      </c>
      <c r="N372" s="27">
        <v>44</v>
      </c>
      <c r="O372" s="27">
        <v>17</v>
      </c>
      <c r="P372" s="27">
        <v>42</v>
      </c>
      <c r="Q372" s="27" t="s">
        <v>54</v>
      </c>
      <c r="R372" s="27">
        <v>49</v>
      </c>
      <c r="S372" s="27">
        <v>48</v>
      </c>
      <c r="T372" s="29">
        <v>67.099999999999994</v>
      </c>
      <c r="U372" s="29">
        <v>3.22</v>
      </c>
      <c r="V372" s="29">
        <v>21.71</v>
      </c>
      <c r="W372" s="30">
        <v>13380.92</v>
      </c>
      <c r="X372" s="27">
        <v>8.1300000000000008</v>
      </c>
      <c r="Y372" s="27" t="s">
        <v>110</v>
      </c>
      <c r="Z372" s="29">
        <v>21</v>
      </c>
      <c r="AA372" s="30">
        <v>22340.68</v>
      </c>
      <c r="AB372" s="29">
        <v>0.93114241001565001</v>
      </c>
      <c r="AC372" s="30">
        <v>17234.810000000001</v>
      </c>
      <c r="AD372" s="30">
        <v>355.98691705790299</v>
      </c>
      <c r="AE372" s="27">
        <v>661.5</v>
      </c>
      <c r="AF372" s="29">
        <v>0.93650793650793696</v>
      </c>
      <c r="AG372" s="30">
        <v>4749.8830829421004</v>
      </c>
      <c r="AH372" s="31">
        <f t="shared" si="81"/>
        <v>0.78888888888888886</v>
      </c>
      <c r="AI372" s="31">
        <f t="shared" si="82"/>
        <v>6.8857589984350542E-2</v>
      </c>
      <c r="AJ372" s="31">
        <f t="shared" si="83"/>
        <v>2.6604068857589983E-2</v>
      </c>
      <c r="AK372" s="31">
        <f t="shared" si="84"/>
        <v>0.93114241001564946</v>
      </c>
      <c r="AL372" s="29">
        <f t="shared" si="85"/>
        <v>0.7</v>
      </c>
      <c r="AM372" s="29">
        <f t="shared" si="86"/>
        <v>619.5</v>
      </c>
      <c r="AN372" s="29">
        <f t="shared" si="87"/>
        <v>1.0314769975786926</v>
      </c>
      <c r="AO372" s="29">
        <f t="shared" si="88"/>
        <v>1.2244897959183674</v>
      </c>
      <c r="AP372" s="31">
        <f t="shared" si="89"/>
        <v>0.84237288135593225</v>
      </c>
      <c r="AQ372" s="31">
        <f t="shared" si="90"/>
        <v>0.93114241001564946</v>
      </c>
      <c r="AR372" s="31">
        <f t="shared" si="91"/>
        <v>0.73456790123456828</v>
      </c>
      <c r="AS372" s="29">
        <f t="shared" si="92"/>
        <v>26.971533646322381</v>
      </c>
      <c r="AT372" s="29">
        <f t="shared" si="93"/>
        <v>7.4333068590643201</v>
      </c>
      <c r="AU372" s="27" t="str">
        <f t="shared" si="94"/>
        <v>High</v>
      </c>
      <c r="AV372" s="27" t="str">
        <f t="shared" si="95"/>
        <v>Critical</v>
      </c>
      <c r="AW372" s="27"/>
    </row>
    <row r="373" spans="1:49" x14ac:dyDescent="0.25">
      <c r="A373" s="27">
        <v>372</v>
      </c>
      <c r="B373" s="28">
        <v>46144</v>
      </c>
      <c r="C373" s="28" t="str">
        <f t="shared" si="80"/>
        <v>May</v>
      </c>
      <c r="D373" s="27" t="s">
        <v>47</v>
      </c>
      <c r="E373" s="27" t="s">
        <v>76</v>
      </c>
      <c r="F373" s="27" t="s">
        <v>113</v>
      </c>
      <c r="G373" s="27" t="s">
        <v>50</v>
      </c>
      <c r="H373" s="27" t="s">
        <v>51</v>
      </c>
      <c r="I373" s="27" t="s">
        <v>496</v>
      </c>
      <c r="J373" s="27" t="s">
        <v>107</v>
      </c>
      <c r="K373" s="27">
        <v>849</v>
      </c>
      <c r="L373" s="27">
        <v>831</v>
      </c>
      <c r="M373" s="27">
        <v>800</v>
      </c>
      <c r="N373" s="27">
        <v>31</v>
      </c>
      <c r="O373" s="27">
        <v>9</v>
      </c>
      <c r="P373" s="27">
        <v>24</v>
      </c>
      <c r="Q373" s="27" t="s">
        <v>94</v>
      </c>
      <c r="R373" s="27">
        <v>42</v>
      </c>
      <c r="S373" s="27">
        <v>42</v>
      </c>
      <c r="T373" s="29">
        <v>67.3</v>
      </c>
      <c r="U373" s="29">
        <v>2.5299999999999998</v>
      </c>
      <c r="V373" s="29">
        <v>29.83</v>
      </c>
      <c r="W373" s="30">
        <v>16208.18</v>
      </c>
      <c r="X373" s="27">
        <v>9.6</v>
      </c>
      <c r="Y373" s="27" t="s">
        <v>55</v>
      </c>
      <c r="Z373" s="29">
        <v>32</v>
      </c>
      <c r="AA373" s="30">
        <v>25253.09</v>
      </c>
      <c r="AB373" s="29">
        <v>0.96269554753309305</v>
      </c>
      <c r="AC373" s="30">
        <v>20796.650000000001</v>
      </c>
      <c r="AD373" s="30">
        <v>175.539855595668</v>
      </c>
      <c r="AE373" s="27">
        <v>594.29999999999995</v>
      </c>
      <c r="AF373" s="29">
        <v>0.95961635537607304</v>
      </c>
      <c r="AG373" s="30">
        <v>4280.9001444043297</v>
      </c>
      <c r="AH373" s="31">
        <f t="shared" si="81"/>
        <v>0.97879858657243812</v>
      </c>
      <c r="AI373" s="31">
        <f t="shared" si="82"/>
        <v>3.7304452466907341E-2</v>
      </c>
      <c r="AJ373" s="31">
        <f t="shared" si="83"/>
        <v>1.0830324909747292E-2</v>
      </c>
      <c r="AK373" s="31">
        <f t="shared" si="84"/>
        <v>0.96269554753309261</v>
      </c>
      <c r="AL373" s="29">
        <f t="shared" si="85"/>
        <v>0.4</v>
      </c>
      <c r="AM373" s="29">
        <f t="shared" si="86"/>
        <v>570.29999999999995</v>
      </c>
      <c r="AN373" s="29">
        <f t="shared" si="87"/>
        <v>1.4571278274592321</v>
      </c>
      <c r="AO373" s="29">
        <f t="shared" si="88"/>
        <v>1.4285714285714286</v>
      </c>
      <c r="AP373" s="31">
        <f t="shared" si="89"/>
        <v>1.0199894792214623</v>
      </c>
      <c r="AQ373" s="31">
        <f t="shared" si="90"/>
        <v>0.96269554753309261</v>
      </c>
      <c r="AR373" s="31">
        <f t="shared" si="91"/>
        <v>0.94228504122497081</v>
      </c>
      <c r="AS373" s="29">
        <f t="shared" si="92"/>
        <v>25.026052948255117</v>
      </c>
      <c r="AT373" s="29">
        <f t="shared" si="93"/>
        <v>5.1515043855647766</v>
      </c>
      <c r="AU373" s="27" t="str">
        <f t="shared" si="94"/>
        <v>Medium</v>
      </c>
      <c r="AV373" s="27" t="str">
        <f t="shared" si="95"/>
        <v>Normal</v>
      </c>
      <c r="AW373" s="27"/>
    </row>
    <row r="374" spans="1:49" x14ac:dyDescent="0.25">
      <c r="A374" s="27">
        <v>373</v>
      </c>
      <c r="B374" s="28">
        <v>46056</v>
      </c>
      <c r="C374" s="28" t="str">
        <f t="shared" si="80"/>
        <v>February</v>
      </c>
      <c r="D374" s="27" t="s">
        <v>67</v>
      </c>
      <c r="E374" s="27" t="s">
        <v>48</v>
      </c>
      <c r="F374" s="27" t="s">
        <v>49</v>
      </c>
      <c r="G374" s="27" t="s">
        <v>50</v>
      </c>
      <c r="H374" s="27" t="s">
        <v>68</v>
      </c>
      <c r="I374" s="27" t="s">
        <v>497</v>
      </c>
      <c r="J374" s="27" t="s">
        <v>138</v>
      </c>
      <c r="K374" s="27">
        <v>639</v>
      </c>
      <c r="L374" s="27">
        <v>645</v>
      </c>
      <c r="M374" s="27">
        <v>610</v>
      </c>
      <c r="N374" s="27">
        <v>35</v>
      </c>
      <c r="O374" s="27">
        <v>8</v>
      </c>
      <c r="P374" s="27">
        <v>21</v>
      </c>
      <c r="Q374" s="27" t="s">
        <v>94</v>
      </c>
      <c r="R374" s="27">
        <v>64</v>
      </c>
      <c r="S374" s="27">
        <v>62</v>
      </c>
      <c r="T374" s="29">
        <v>74.3</v>
      </c>
      <c r="U374" s="29">
        <v>1.64</v>
      </c>
      <c r="V374" s="29">
        <v>19.309999999999999</v>
      </c>
      <c r="W374" s="30">
        <v>20216.02</v>
      </c>
      <c r="X374" s="27">
        <v>7.3</v>
      </c>
      <c r="Y374" s="27" t="s">
        <v>110</v>
      </c>
      <c r="Z374" s="29">
        <v>9</v>
      </c>
      <c r="AA374" s="30">
        <v>31744.35</v>
      </c>
      <c r="AB374" s="29">
        <v>0.94573643410852704</v>
      </c>
      <c r="AC374" s="30">
        <v>23674.81</v>
      </c>
      <c r="AD374" s="30">
        <v>250.74133333333299</v>
      </c>
      <c r="AE374" s="27">
        <v>681.6</v>
      </c>
      <c r="AF374" s="29">
        <v>0.96919014084507005</v>
      </c>
      <c r="AG374" s="30">
        <v>7818.7986666666602</v>
      </c>
      <c r="AH374" s="31">
        <f t="shared" si="81"/>
        <v>1.0093896713615023</v>
      </c>
      <c r="AI374" s="31">
        <f t="shared" si="82"/>
        <v>5.4263565891472867E-2</v>
      </c>
      <c r="AJ374" s="31">
        <f t="shared" si="83"/>
        <v>1.2403100775193798E-2</v>
      </c>
      <c r="AK374" s="31">
        <f t="shared" si="84"/>
        <v>0.94573643410852715</v>
      </c>
      <c r="AL374" s="29">
        <f t="shared" si="85"/>
        <v>0.35</v>
      </c>
      <c r="AM374" s="29">
        <f t="shared" si="86"/>
        <v>660.6</v>
      </c>
      <c r="AN374" s="29">
        <f t="shared" si="87"/>
        <v>0.97638510445049953</v>
      </c>
      <c r="AO374" s="29">
        <f t="shared" si="88"/>
        <v>0.9375</v>
      </c>
      <c r="AP374" s="31">
        <f t="shared" si="89"/>
        <v>1.0414774447471995</v>
      </c>
      <c r="AQ374" s="31">
        <f t="shared" si="90"/>
        <v>0.94573643410852715</v>
      </c>
      <c r="AR374" s="31">
        <f t="shared" si="91"/>
        <v>0.954616588419405</v>
      </c>
      <c r="AS374" s="29">
        <f t="shared" si="92"/>
        <v>36.705131782945742</v>
      </c>
      <c r="AT374" s="29">
        <f t="shared" si="93"/>
        <v>12.122168475452186</v>
      </c>
      <c r="AU374" s="27" t="str">
        <f t="shared" si="94"/>
        <v>Medium</v>
      </c>
      <c r="AV374" s="27" t="str">
        <f t="shared" si="95"/>
        <v>Normal</v>
      </c>
      <c r="AW374" s="27"/>
    </row>
    <row r="375" spans="1:49" x14ac:dyDescent="0.25">
      <c r="A375" s="27">
        <v>374</v>
      </c>
      <c r="B375" s="28">
        <v>46151</v>
      </c>
      <c r="C375" s="28" t="str">
        <f t="shared" si="80"/>
        <v>May</v>
      </c>
      <c r="D375" s="27" t="s">
        <v>67</v>
      </c>
      <c r="E375" s="27" t="s">
        <v>129</v>
      </c>
      <c r="F375" s="27" t="s">
        <v>167</v>
      </c>
      <c r="G375" s="27" t="s">
        <v>50</v>
      </c>
      <c r="H375" s="27" t="s">
        <v>79</v>
      </c>
      <c r="I375" s="27" t="s">
        <v>498</v>
      </c>
      <c r="J375" s="27" t="s">
        <v>197</v>
      </c>
      <c r="K375" s="27">
        <v>707</v>
      </c>
      <c r="L375" s="27">
        <v>636</v>
      </c>
      <c r="M375" s="27">
        <v>578</v>
      </c>
      <c r="N375" s="27">
        <v>58</v>
      </c>
      <c r="O375" s="27">
        <v>11</v>
      </c>
      <c r="P375" s="27">
        <v>11</v>
      </c>
      <c r="Q375" s="27" t="s">
        <v>102</v>
      </c>
      <c r="R375" s="27">
        <v>49</v>
      </c>
      <c r="S375" s="27">
        <v>54</v>
      </c>
      <c r="T375" s="29">
        <v>71.5</v>
      </c>
      <c r="U375" s="29">
        <v>2.36</v>
      </c>
      <c r="V375" s="29">
        <v>26.73</v>
      </c>
      <c r="W375" s="30">
        <v>13505.03</v>
      </c>
      <c r="X375" s="27">
        <v>6.82</v>
      </c>
      <c r="Y375" s="27" t="s">
        <v>66</v>
      </c>
      <c r="Z375" s="29">
        <v>19</v>
      </c>
      <c r="AA375" s="30">
        <v>22138.85</v>
      </c>
      <c r="AB375" s="29">
        <v>0.90880503144654101</v>
      </c>
      <c r="AC375" s="30">
        <v>16814.599999999999</v>
      </c>
      <c r="AD375" s="30">
        <v>233.57756289308199</v>
      </c>
      <c r="AE375" s="27">
        <v>577.38333333333298</v>
      </c>
      <c r="AF375" s="29">
        <v>0.98094853217100098</v>
      </c>
      <c r="AG375" s="30">
        <v>5090.6724371069204</v>
      </c>
      <c r="AH375" s="31">
        <f t="shared" si="81"/>
        <v>0.89957567185289955</v>
      </c>
      <c r="AI375" s="31">
        <f t="shared" si="82"/>
        <v>9.1194968553459113E-2</v>
      </c>
      <c r="AJ375" s="31">
        <f t="shared" si="83"/>
        <v>1.7295597484276729E-2</v>
      </c>
      <c r="AK375" s="31">
        <f t="shared" si="84"/>
        <v>0.9088050314465409</v>
      </c>
      <c r="AL375" s="29">
        <f t="shared" si="85"/>
        <v>0.18333333333333332</v>
      </c>
      <c r="AM375" s="29">
        <f t="shared" si="86"/>
        <v>566.38333333333298</v>
      </c>
      <c r="AN375" s="29">
        <f t="shared" si="87"/>
        <v>1.1229143983756591</v>
      </c>
      <c r="AO375" s="29">
        <f t="shared" si="88"/>
        <v>1.2244897959183674</v>
      </c>
      <c r="AP375" s="31">
        <f t="shared" si="89"/>
        <v>0.91704675867345486</v>
      </c>
      <c r="AQ375" s="31">
        <f t="shared" si="90"/>
        <v>0.9088050314465409</v>
      </c>
      <c r="AR375" s="31">
        <f t="shared" si="91"/>
        <v>0.81753889674681768</v>
      </c>
      <c r="AS375" s="29">
        <f t="shared" si="92"/>
        <v>26.438050314465407</v>
      </c>
      <c r="AT375" s="29">
        <f t="shared" si="93"/>
        <v>8.0042019451366677</v>
      </c>
      <c r="AU375" s="27" t="str">
        <f t="shared" si="94"/>
        <v>Medium</v>
      </c>
      <c r="AV375" s="27" t="str">
        <f t="shared" si="95"/>
        <v>Warning</v>
      </c>
      <c r="AW375" s="27"/>
    </row>
    <row r="376" spans="1:49" x14ac:dyDescent="0.25">
      <c r="A376" s="27">
        <v>375</v>
      </c>
      <c r="B376" s="28">
        <v>46117</v>
      </c>
      <c r="C376" s="28" t="str">
        <f t="shared" si="80"/>
        <v>April</v>
      </c>
      <c r="D376" s="27" t="s">
        <v>67</v>
      </c>
      <c r="E376" s="27" t="s">
        <v>48</v>
      </c>
      <c r="F376" s="27" t="s">
        <v>49</v>
      </c>
      <c r="G376" s="27" t="s">
        <v>78</v>
      </c>
      <c r="H376" s="27" t="s">
        <v>79</v>
      </c>
      <c r="I376" s="27" t="s">
        <v>499</v>
      </c>
      <c r="J376" s="27" t="s">
        <v>153</v>
      </c>
      <c r="K376" s="27">
        <v>829</v>
      </c>
      <c r="L376" s="27">
        <v>694</v>
      </c>
      <c r="M376" s="27">
        <v>664</v>
      </c>
      <c r="N376" s="27">
        <v>30</v>
      </c>
      <c r="O376" s="27">
        <v>10</v>
      </c>
      <c r="P376" s="27">
        <v>65</v>
      </c>
      <c r="Q376" s="27" t="s">
        <v>102</v>
      </c>
      <c r="R376" s="27">
        <v>49</v>
      </c>
      <c r="S376" s="27">
        <v>49</v>
      </c>
      <c r="T376" s="29">
        <v>78.400000000000006</v>
      </c>
      <c r="U376" s="29">
        <v>1.99</v>
      </c>
      <c r="V376" s="29">
        <v>31.98</v>
      </c>
      <c r="W376" s="30">
        <v>15420.55</v>
      </c>
      <c r="X376" s="27">
        <v>8.02</v>
      </c>
      <c r="Y376" s="27" t="s">
        <v>66</v>
      </c>
      <c r="Z376" s="29">
        <v>14</v>
      </c>
      <c r="AA376" s="30">
        <v>25906.69</v>
      </c>
      <c r="AB376" s="29">
        <v>0.95677233429394803</v>
      </c>
      <c r="AC376" s="30">
        <v>19317.37</v>
      </c>
      <c r="AD376" s="30">
        <v>222.19812680115299</v>
      </c>
      <c r="AE376" s="27">
        <v>677.01666666666699</v>
      </c>
      <c r="AF376" s="29">
        <v>0.90399054676152701</v>
      </c>
      <c r="AG376" s="30">
        <v>6367.1218731988502</v>
      </c>
      <c r="AH376" s="31">
        <f t="shared" si="81"/>
        <v>0.8371531966224367</v>
      </c>
      <c r="AI376" s="31">
        <f t="shared" si="82"/>
        <v>4.3227665706051875E-2</v>
      </c>
      <c r="AJ376" s="31">
        <f t="shared" si="83"/>
        <v>1.4409221902017291E-2</v>
      </c>
      <c r="AK376" s="31">
        <f t="shared" si="84"/>
        <v>0.95677233429394815</v>
      </c>
      <c r="AL376" s="29">
        <f t="shared" si="85"/>
        <v>1.0833333333333333</v>
      </c>
      <c r="AM376" s="29">
        <f t="shared" si="86"/>
        <v>612.01666666666699</v>
      </c>
      <c r="AN376" s="29">
        <f t="shared" si="87"/>
        <v>1.1339560469486119</v>
      </c>
      <c r="AO376" s="29">
        <f t="shared" si="88"/>
        <v>1.2244897959183674</v>
      </c>
      <c r="AP376" s="31">
        <f t="shared" si="89"/>
        <v>0.92606410500803304</v>
      </c>
      <c r="AQ376" s="31">
        <f t="shared" si="90"/>
        <v>0.95677233429394815</v>
      </c>
      <c r="AR376" s="31">
        <f t="shared" si="91"/>
        <v>0.8009650180940886</v>
      </c>
      <c r="AS376" s="29">
        <f t="shared" si="92"/>
        <v>27.834827089337175</v>
      </c>
      <c r="AT376" s="29">
        <f t="shared" si="93"/>
        <v>9.1745271948110236</v>
      </c>
      <c r="AU376" s="27" t="str">
        <f t="shared" si="94"/>
        <v>Medium</v>
      </c>
      <c r="AV376" s="27" t="str">
        <f t="shared" si="95"/>
        <v>Warning</v>
      </c>
      <c r="AW376" s="27"/>
    </row>
    <row r="377" spans="1:49" x14ac:dyDescent="0.25">
      <c r="A377" s="27">
        <v>376</v>
      </c>
      <c r="B377" s="28">
        <v>46088</v>
      </c>
      <c r="C377" s="28" t="str">
        <f t="shared" si="80"/>
        <v>March</v>
      </c>
      <c r="D377" s="27" t="s">
        <v>47</v>
      </c>
      <c r="E377" s="27" t="s">
        <v>61</v>
      </c>
      <c r="F377" s="27" t="s">
        <v>88</v>
      </c>
      <c r="G377" s="27" t="s">
        <v>50</v>
      </c>
      <c r="H377" s="27" t="s">
        <v>51</v>
      </c>
      <c r="I377" s="27" t="s">
        <v>500</v>
      </c>
      <c r="J377" s="27" t="s">
        <v>191</v>
      </c>
      <c r="K377" s="27">
        <v>799</v>
      </c>
      <c r="L377" s="27">
        <v>794</v>
      </c>
      <c r="M377" s="27">
        <v>762</v>
      </c>
      <c r="N377" s="27">
        <v>32</v>
      </c>
      <c r="O377" s="27">
        <v>7</v>
      </c>
      <c r="P377" s="27">
        <v>19</v>
      </c>
      <c r="Q377" s="27" t="s">
        <v>54</v>
      </c>
      <c r="R377" s="27">
        <v>42</v>
      </c>
      <c r="S377" s="27">
        <v>43</v>
      </c>
      <c r="T377" s="29">
        <v>66.5</v>
      </c>
      <c r="U377" s="29">
        <v>2.0499999999999998</v>
      </c>
      <c r="V377" s="29">
        <v>29.49</v>
      </c>
      <c r="W377" s="30">
        <v>14125.66</v>
      </c>
      <c r="X377" s="27">
        <v>8.08</v>
      </c>
      <c r="Y377" s="27" t="s">
        <v>55</v>
      </c>
      <c r="Z377" s="29">
        <v>33</v>
      </c>
      <c r="AA377" s="30">
        <v>24947.64</v>
      </c>
      <c r="AB377" s="29">
        <v>0.95969773299748096</v>
      </c>
      <c r="AC377" s="30">
        <v>18027.07</v>
      </c>
      <c r="AD377" s="30">
        <v>124.53352644836301</v>
      </c>
      <c r="AE377" s="27">
        <v>559.29999999999995</v>
      </c>
      <c r="AF377" s="29">
        <v>0.96602896477739997</v>
      </c>
      <c r="AG377" s="30">
        <v>6796.0364735516396</v>
      </c>
      <c r="AH377" s="31">
        <f t="shared" si="81"/>
        <v>0.99374217772215268</v>
      </c>
      <c r="AI377" s="31">
        <f t="shared" si="82"/>
        <v>4.0302267002518891E-2</v>
      </c>
      <c r="AJ377" s="31">
        <f t="shared" si="83"/>
        <v>8.8161209068010078E-3</v>
      </c>
      <c r="AK377" s="31">
        <f t="shared" si="84"/>
        <v>0.95969773299748107</v>
      </c>
      <c r="AL377" s="29">
        <f t="shared" si="85"/>
        <v>0.31666666666666665</v>
      </c>
      <c r="AM377" s="29">
        <f t="shared" si="86"/>
        <v>540.29999999999995</v>
      </c>
      <c r="AN377" s="29">
        <f t="shared" si="87"/>
        <v>1.4695539515084213</v>
      </c>
      <c r="AO377" s="29">
        <f t="shared" si="88"/>
        <v>1.4285714285714286</v>
      </c>
      <c r="AP377" s="31">
        <f t="shared" si="89"/>
        <v>1.0286877660558948</v>
      </c>
      <c r="AQ377" s="31">
        <f t="shared" si="90"/>
        <v>0.95969773299748107</v>
      </c>
      <c r="AR377" s="31">
        <f t="shared" si="91"/>
        <v>0.95369211514392949</v>
      </c>
      <c r="AS377" s="29">
        <f t="shared" si="92"/>
        <v>22.704118387909318</v>
      </c>
      <c r="AT377" s="29">
        <f t="shared" si="93"/>
        <v>8.5592398911229726</v>
      </c>
      <c r="AU377" s="27" t="str">
        <f t="shared" si="94"/>
        <v>Medium</v>
      </c>
      <c r="AV377" s="27" t="str">
        <f t="shared" si="95"/>
        <v>Normal</v>
      </c>
      <c r="AW377" s="27"/>
    </row>
    <row r="378" spans="1:49" x14ac:dyDescent="0.25">
      <c r="A378" s="27">
        <v>377</v>
      </c>
      <c r="B378" s="28">
        <v>46123</v>
      </c>
      <c r="C378" s="28" t="str">
        <f t="shared" si="80"/>
        <v>April</v>
      </c>
      <c r="D378" s="27" t="s">
        <v>47</v>
      </c>
      <c r="E378" s="27" t="s">
        <v>48</v>
      </c>
      <c r="F378" s="27" t="s">
        <v>72</v>
      </c>
      <c r="G378" s="27" t="s">
        <v>50</v>
      </c>
      <c r="H378" s="27" t="s">
        <v>51</v>
      </c>
      <c r="I378" s="27" t="s">
        <v>501</v>
      </c>
      <c r="J378" s="27" t="s">
        <v>191</v>
      </c>
      <c r="K378" s="27">
        <v>771</v>
      </c>
      <c r="L378" s="27">
        <v>763</v>
      </c>
      <c r="M378" s="27">
        <v>729</v>
      </c>
      <c r="N378" s="27">
        <v>34</v>
      </c>
      <c r="O378" s="27">
        <v>7</v>
      </c>
      <c r="P378" s="27">
        <v>45</v>
      </c>
      <c r="Q378" s="27" t="s">
        <v>54</v>
      </c>
      <c r="R378" s="27">
        <v>42</v>
      </c>
      <c r="S378" s="27">
        <v>41</v>
      </c>
      <c r="T378" s="29">
        <v>73.599999999999994</v>
      </c>
      <c r="U378" s="29">
        <v>2.88</v>
      </c>
      <c r="V378" s="29">
        <v>31.06</v>
      </c>
      <c r="W378" s="30">
        <v>14858.42</v>
      </c>
      <c r="X378" s="27">
        <v>9.08</v>
      </c>
      <c r="Y378" s="27" t="s">
        <v>110</v>
      </c>
      <c r="Z378" s="29">
        <v>37</v>
      </c>
      <c r="AA378" s="30">
        <v>22641.31</v>
      </c>
      <c r="AB378" s="29">
        <v>0.95543905635648796</v>
      </c>
      <c r="AC378" s="30">
        <v>19223.96</v>
      </c>
      <c r="AD378" s="30">
        <v>136.31577981651401</v>
      </c>
      <c r="AE378" s="27">
        <v>539.70000000000005</v>
      </c>
      <c r="AF378" s="29">
        <v>0.91662034463590902</v>
      </c>
      <c r="AG378" s="30">
        <v>3281.0342201834901</v>
      </c>
      <c r="AH378" s="31">
        <f t="shared" si="81"/>
        <v>0.98962386511024647</v>
      </c>
      <c r="AI378" s="31">
        <f t="shared" si="82"/>
        <v>4.456094364351245E-2</v>
      </c>
      <c r="AJ378" s="31">
        <f t="shared" si="83"/>
        <v>9.1743119266055051E-3</v>
      </c>
      <c r="AK378" s="31">
        <f t="shared" si="84"/>
        <v>0.95543905635648751</v>
      </c>
      <c r="AL378" s="29">
        <f t="shared" si="85"/>
        <v>0.75</v>
      </c>
      <c r="AM378" s="29">
        <f t="shared" si="86"/>
        <v>494.70000000000005</v>
      </c>
      <c r="AN378" s="29">
        <f t="shared" si="87"/>
        <v>1.5423488983222153</v>
      </c>
      <c r="AO378" s="29">
        <f t="shared" si="88"/>
        <v>1.4285714285714286</v>
      </c>
      <c r="AP378" s="31">
        <f t="shared" si="89"/>
        <v>1.0796442288255508</v>
      </c>
      <c r="AQ378" s="31">
        <f t="shared" si="90"/>
        <v>0.95543905635648751</v>
      </c>
      <c r="AR378" s="31">
        <f t="shared" si="91"/>
        <v>0.94552529182879386</v>
      </c>
      <c r="AS378" s="29">
        <f t="shared" si="92"/>
        <v>25.195229357798166</v>
      </c>
      <c r="AT378" s="29">
        <f t="shared" si="93"/>
        <v>4.3001759111185978</v>
      </c>
      <c r="AU378" s="27" t="str">
        <f t="shared" si="94"/>
        <v>Medium</v>
      </c>
      <c r="AV378" s="27" t="str">
        <f t="shared" si="95"/>
        <v>Normal</v>
      </c>
      <c r="AW378" s="27"/>
    </row>
    <row r="379" spans="1:49" x14ac:dyDescent="0.25">
      <c r="A379" s="27">
        <v>378</v>
      </c>
      <c r="B379" s="28">
        <v>46050</v>
      </c>
      <c r="C379" s="28" t="str">
        <f t="shared" si="80"/>
        <v>January</v>
      </c>
      <c r="D379" s="27" t="s">
        <v>67</v>
      </c>
      <c r="E379" s="27" t="s">
        <v>48</v>
      </c>
      <c r="F379" s="27" t="s">
        <v>72</v>
      </c>
      <c r="G379" s="27" t="s">
        <v>50</v>
      </c>
      <c r="H379" s="27" t="s">
        <v>57</v>
      </c>
      <c r="I379" s="27" t="s">
        <v>502</v>
      </c>
      <c r="J379" s="27" t="s">
        <v>218</v>
      </c>
      <c r="K379" s="27">
        <v>763</v>
      </c>
      <c r="L379" s="27">
        <v>762</v>
      </c>
      <c r="M379" s="27">
        <v>742</v>
      </c>
      <c r="N379" s="27">
        <v>20</v>
      </c>
      <c r="O379" s="27">
        <v>6</v>
      </c>
      <c r="P379" s="27">
        <v>8</v>
      </c>
      <c r="Q379" s="27" t="s">
        <v>94</v>
      </c>
      <c r="R379" s="27">
        <v>45</v>
      </c>
      <c r="S379" s="27">
        <v>45</v>
      </c>
      <c r="T379" s="29">
        <v>71</v>
      </c>
      <c r="U379" s="29">
        <v>2.0099999999999998</v>
      </c>
      <c r="V379" s="29">
        <v>22.92</v>
      </c>
      <c r="W379" s="30">
        <v>15462.2</v>
      </c>
      <c r="X379" s="27">
        <v>7.19</v>
      </c>
      <c r="Y379" s="27" t="s">
        <v>55</v>
      </c>
      <c r="Z379" s="29">
        <v>25</v>
      </c>
      <c r="AA379" s="30">
        <v>25544.11</v>
      </c>
      <c r="AB379" s="29">
        <v>0.97375328083989499</v>
      </c>
      <c r="AC379" s="30">
        <v>18903.98</v>
      </c>
      <c r="AD379" s="30">
        <v>121.749606299213</v>
      </c>
      <c r="AE379" s="27">
        <v>572.25</v>
      </c>
      <c r="AF379" s="29">
        <v>0.98602009611183905</v>
      </c>
      <c r="AG379" s="30">
        <v>6518.3803937007897</v>
      </c>
      <c r="AH379" s="31">
        <f t="shared" si="81"/>
        <v>0.9986893840104849</v>
      </c>
      <c r="AI379" s="31">
        <f t="shared" si="82"/>
        <v>2.6246719160104987E-2</v>
      </c>
      <c r="AJ379" s="31">
        <f t="shared" si="83"/>
        <v>7.874015748031496E-3</v>
      </c>
      <c r="AK379" s="31">
        <f t="shared" si="84"/>
        <v>0.97375328083989499</v>
      </c>
      <c r="AL379" s="29">
        <f t="shared" si="85"/>
        <v>0.13333333333333333</v>
      </c>
      <c r="AM379" s="29">
        <f t="shared" si="86"/>
        <v>564.25</v>
      </c>
      <c r="AN379" s="29">
        <f t="shared" si="87"/>
        <v>1.3504652193176783</v>
      </c>
      <c r="AO379" s="29">
        <f t="shared" si="88"/>
        <v>1.3333333333333333</v>
      </c>
      <c r="AP379" s="31">
        <f t="shared" si="89"/>
        <v>1.0128489144882589</v>
      </c>
      <c r="AQ379" s="31">
        <f t="shared" si="90"/>
        <v>0.97375328083989499</v>
      </c>
      <c r="AR379" s="31">
        <f t="shared" si="91"/>
        <v>0.97247706422018343</v>
      </c>
      <c r="AS379" s="29">
        <f t="shared" si="92"/>
        <v>24.808372703412072</v>
      </c>
      <c r="AT379" s="29">
        <f t="shared" si="93"/>
        <v>8.5543049786099594</v>
      </c>
      <c r="AU379" s="27" t="str">
        <f t="shared" si="94"/>
        <v>Low</v>
      </c>
      <c r="AV379" s="27" t="str">
        <f t="shared" si="95"/>
        <v>Normal</v>
      </c>
      <c r="AW379" s="27"/>
    </row>
    <row r="380" spans="1:49" x14ac:dyDescent="0.25">
      <c r="A380" s="27">
        <v>379</v>
      </c>
      <c r="B380" s="28">
        <v>46121</v>
      </c>
      <c r="C380" s="28" t="str">
        <f t="shared" si="80"/>
        <v>April</v>
      </c>
      <c r="D380" s="27" t="s">
        <v>47</v>
      </c>
      <c r="E380" s="27" t="s">
        <v>129</v>
      </c>
      <c r="F380" s="27" t="s">
        <v>130</v>
      </c>
      <c r="G380" s="27" t="s">
        <v>50</v>
      </c>
      <c r="H380" s="27" t="s">
        <v>68</v>
      </c>
      <c r="I380" s="27" t="s">
        <v>503</v>
      </c>
      <c r="J380" s="27" t="s">
        <v>90</v>
      </c>
      <c r="K380" s="27">
        <v>625</v>
      </c>
      <c r="L380" s="27">
        <v>614</v>
      </c>
      <c r="M380" s="27">
        <v>544</v>
      </c>
      <c r="N380" s="27">
        <v>70</v>
      </c>
      <c r="O380" s="27">
        <v>15</v>
      </c>
      <c r="P380" s="27">
        <v>24</v>
      </c>
      <c r="Q380" s="27" t="s">
        <v>54</v>
      </c>
      <c r="R380" s="27">
        <v>64</v>
      </c>
      <c r="S380" s="27">
        <v>73</v>
      </c>
      <c r="T380" s="29">
        <v>81.599999999999994</v>
      </c>
      <c r="U380" s="29">
        <v>2.54</v>
      </c>
      <c r="V380" s="29">
        <v>21.77</v>
      </c>
      <c r="W380" s="30">
        <v>18306.21</v>
      </c>
      <c r="X380" s="27">
        <v>8.4499999999999993</v>
      </c>
      <c r="Y380" s="27" t="s">
        <v>71</v>
      </c>
      <c r="Z380" s="29">
        <v>36</v>
      </c>
      <c r="AA380" s="30">
        <v>28605.66</v>
      </c>
      <c r="AB380" s="29">
        <v>0.88599348534202005</v>
      </c>
      <c r="AC380" s="30">
        <v>22304.639999999999</v>
      </c>
      <c r="AD380" s="30">
        <v>447.22011400651502</v>
      </c>
      <c r="AE380" s="27">
        <v>666.66666666666697</v>
      </c>
      <c r="AF380" s="29">
        <v>0.96399999999999997</v>
      </c>
      <c r="AG380" s="30">
        <v>5853.7998859934896</v>
      </c>
      <c r="AH380" s="31">
        <f t="shared" si="81"/>
        <v>0.98240000000000005</v>
      </c>
      <c r="AI380" s="31">
        <f t="shared" si="82"/>
        <v>0.11400651465798045</v>
      </c>
      <c r="AJ380" s="31">
        <f t="shared" si="83"/>
        <v>2.4429967426710098E-2</v>
      </c>
      <c r="AK380" s="31">
        <f t="shared" si="84"/>
        <v>0.88599348534201949</v>
      </c>
      <c r="AL380" s="29">
        <f t="shared" si="85"/>
        <v>0.4</v>
      </c>
      <c r="AM380" s="29">
        <f t="shared" si="86"/>
        <v>642.66666666666697</v>
      </c>
      <c r="AN380" s="29">
        <f t="shared" si="87"/>
        <v>0.9553941908713689</v>
      </c>
      <c r="AO380" s="29">
        <f t="shared" si="88"/>
        <v>0.9375</v>
      </c>
      <c r="AP380" s="31">
        <f t="shared" si="89"/>
        <v>1.0190871369294601</v>
      </c>
      <c r="AQ380" s="31">
        <f t="shared" si="90"/>
        <v>0.88599348534201949</v>
      </c>
      <c r="AR380" s="31">
        <f t="shared" si="91"/>
        <v>0.87039999999999951</v>
      </c>
      <c r="AS380" s="29">
        <f t="shared" si="92"/>
        <v>36.326775244299675</v>
      </c>
      <c r="AT380" s="29">
        <f t="shared" si="93"/>
        <v>9.5338760358200165</v>
      </c>
      <c r="AU380" s="27" t="str">
        <f t="shared" si="94"/>
        <v>High</v>
      </c>
      <c r="AV380" s="27" t="str">
        <f t="shared" si="95"/>
        <v>Warning</v>
      </c>
      <c r="AW380" s="27"/>
    </row>
    <row r="381" spans="1:49" x14ac:dyDescent="0.25">
      <c r="A381" s="27">
        <v>380</v>
      </c>
      <c r="B381" s="28">
        <v>46182</v>
      </c>
      <c r="C381" s="28" t="str">
        <f t="shared" si="80"/>
        <v>June</v>
      </c>
      <c r="D381" s="27" t="s">
        <v>67</v>
      </c>
      <c r="E381" s="27" t="s">
        <v>129</v>
      </c>
      <c r="F381" s="27" t="s">
        <v>167</v>
      </c>
      <c r="G381" s="27" t="s">
        <v>50</v>
      </c>
      <c r="H381" s="27" t="s">
        <v>124</v>
      </c>
      <c r="I381" s="27" t="s">
        <v>504</v>
      </c>
      <c r="J381" s="27" t="s">
        <v>155</v>
      </c>
      <c r="K381" s="27">
        <v>758</v>
      </c>
      <c r="L381" s="27">
        <v>615</v>
      </c>
      <c r="M381" s="27">
        <v>567</v>
      </c>
      <c r="N381" s="27">
        <v>48</v>
      </c>
      <c r="O381" s="27">
        <v>10</v>
      </c>
      <c r="P381" s="27">
        <v>50</v>
      </c>
      <c r="Q381" s="27" t="s">
        <v>82</v>
      </c>
      <c r="R381" s="27">
        <v>57</v>
      </c>
      <c r="S381" s="27">
        <v>62</v>
      </c>
      <c r="T381" s="29">
        <v>80.599999999999994</v>
      </c>
      <c r="U381" s="29">
        <v>2.02</v>
      </c>
      <c r="V381" s="29">
        <v>24.14</v>
      </c>
      <c r="W381" s="30">
        <v>17879.23</v>
      </c>
      <c r="X381" s="27">
        <v>8.02</v>
      </c>
      <c r="Y381" s="27" t="s">
        <v>55</v>
      </c>
      <c r="Z381" s="29">
        <v>33</v>
      </c>
      <c r="AA381" s="30">
        <v>25968.47</v>
      </c>
      <c r="AB381" s="29">
        <v>0.92195121951219505</v>
      </c>
      <c r="AC381" s="30">
        <v>21705.49</v>
      </c>
      <c r="AD381" s="30">
        <v>290.71918699187</v>
      </c>
      <c r="AE381" s="27">
        <v>720.1</v>
      </c>
      <c r="AF381" s="29">
        <v>0.93056519927787795</v>
      </c>
      <c r="AG381" s="30">
        <v>3972.2608130081298</v>
      </c>
      <c r="AH381" s="31">
        <f t="shared" si="81"/>
        <v>0.81134564643799467</v>
      </c>
      <c r="AI381" s="31">
        <f t="shared" si="82"/>
        <v>7.8048780487804878E-2</v>
      </c>
      <c r="AJ381" s="31">
        <f t="shared" si="83"/>
        <v>1.6260162601626018E-2</v>
      </c>
      <c r="AK381" s="31">
        <f t="shared" si="84"/>
        <v>0.92195121951219516</v>
      </c>
      <c r="AL381" s="29">
        <f t="shared" si="85"/>
        <v>0.83333333333333337</v>
      </c>
      <c r="AM381" s="29">
        <f t="shared" si="86"/>
        <v>670.1</v>
      </c>
      <c r="AN381" s="29">
        <f t="shared" si="87"/>
        <v>0.91777346664676906</v>
      </c>
      <c r="AO381" s="29">
        <f t="shared" si="88"/>
        <v>1.0526315789473684</v>
      </c>
      <c r="AP381" s="31">
        <f t="shared" si="89"/>
        <v>0.87188479331443069</v>
      </c>
      <c r="AQ381" s="31">
        <f t="shared" si="90"/>
        <v>0.92195121951219516</v>
      </c>
      <c r="AR381" s="31">
        <f t="shared" si="91"/>
        <v>0.74802110817941947</v>
      </c>
      <c r="AS381" s="29">
        <f t="shared" si="92"/>
        <v>35.29347967479675</v>
      </c>
      <c r="AT381" s="29">
        <f t="shared" si="93"/>
        <v>6.4589606715579349</v>
      </c>
      <c r="AU381" s="27" t="str">
        <f t="shared" si="94"/>
        <v>High</v>
      </c>
      <c r="AV381" s="27" t="str">
        <f t="shared" si="95"/>
        <v>Critical</v>
      </c>
      <c r="AW381" s="27"/>
    </row>
    <row r="382" spans="1:49" x14ac:dyDescent="0.25">
      <c r="A382" s="27">
        <v>381</v>
      </c>
      <c r="B382" s="28">
        <v>46094</v>
      </c>
      <c r="C382" s="28" t="str">
        <f t="shared" si="80"/>
        <v>March</v>
      </c>
      <c r="D382" s="27" t="s">
        <v>47</v>
      </c>
      <c r="E382" s="27" t="s">
        <v>48</v>
      </c>
      <c r="F382" s="27" t="s">
        <v>56</v>
      </c>
      <c r="G382" s="27" t="s">
        <v>78</v>
      </c>
      <c r="H382" s="27" t="s">
        <v>51</v>
      </c>
      <c r="I382" s="27" t="s">
        <v>505</v>
      </c>
      <c r="J382" s="27" t="s">
        <v>90</v>
      </c>
      <c r="K382" s="27">
        <v>900</v>
      </c>
      <c r="L382" s="27">
        <v>729</v>
      </c>
      <c r="M382" s="27">
        <v>685</v>
      </c>
      <c r="N382" s="27">
        <v>44</v>
      </c>
      <c r="O382" s="27">
        <v>13</v>
      </c>
      <c r="P382" s="27">
        <v>33</v>
      </c>
      <c r="Q382" s="27" t="s">
        <v>104</v>
      </c>
      <c r="R382" s="27">
        <v>42</v>
      </c>
      <c r="S382" s="27">
        <v>46</v>
      </c>
      <c r="T382" s="29">
        <v>79.8</v>
      </c>
      <c r="U382" s="29">
        <v>1.88</v>
      </c>
      <c r="V382" s="29">
        <v>27.33</v>
      </c>
      <c r="W382" s="30">
        <v>14006.65</v>
      </c>
      <c r="X382" s="27">
        <v>6.86</v>
      </c>
      <c r="Y382" s="27" t="s">
        <v>66</v>
      </c>
      <c r="Z382" s="29">
        <v>7</v>
      </c>
      <c r="AA382" s="30">
        <v>21817.200000000001</v>
      </c>
      <c r="AB382" s="29">
        <v>0.93964334705075503</v>
      </c>
      <c r="AC382" s="30">
        <v>17339.62</v>
      </c>
      <c r="AD382" s="30">
        <v>249.775651577503</v>
      </c>
      <c r="AE382" s="27">
        <v>630</v>
      </c>
      <c r="AF382" s="29">
        <v>0.94761904761904803</v>
      </c>
      <c r="AG382" s="30">
        <v>4227.80434842249</v>
      </c>
      <c r="AH382" s="31">
        <f t="shared" si="81"/>
        <v>0.81</v>
      </c>
      <c r="AI382" s="31">
        <f t="shared" si="82"/>
        <v>6.035665294924554E-2</v>
      </c>
      <c r="AJ382" s="31">
        <f t="shared" si="83"/>
        <v>1.7832647462277092E-2</v>
      </c>
      <c r="AK382" s="31">
        <f t="shared" si="84"/>
        <v>0.93964334705075447</v>
      </c>
      <c r="AL382" s="29">
        <f t="shared" si="85"/>
        <v>0.55000000000000004</v>
      </c>
      <c r="AM382" s="29">
        <f t="shared" si="86"/>
        <v>597</v>
      </c>
      <c r="AN382" s="29">
        <f t="shared" si="87"/>
        <v>1.221105527638191</v>
      </c>
      <c r="AO382" s="29">
        <f t="shared" si="88"/>
        <v>1.4285714285714286</v>
      </c>
      <c r="AP382" s="31">
        <f t="shared" si="89"/>
        <v>0.85477386934673372</v>
      </c>
      <c r="AQ382" s="31">
        <f t="shared" si="90"/>
        <v>0.93964334705075447</v>
      </c>
      <c r="AR382" s="31">
        <f t="shared" si="91"/>
        <v>0.76111111111111152</v>
      </c>
      <c r="AS382" s="29">
        <f t="shared" si="92"/>
        <v>23.785486968449931</v>
      </c>
      <c r="AT382" s="29">
        <f t="shared" si="93"/>
        <v>5.7994572680692595</v>
      </c>
      <c r="AU382" s="27" t="str">
        <f t="shared" si="94"/>
        <v>High</v>
      </c>
      <c r="AV382" s="27" t="str">
        <f t="shared" si="95"/>
        <v>Warning</v>
      </c>
      <c r="AW382" s="27"/>
    </row>
    <row r="383" spans="1:49" x14ac:dyDescent="0.25">
      <c r="A383" s="27">
        <v>382</v>
      </c>
      <c r="B383" s="28">
        <v>46170</v>
      </c>
      <c r="C383" s="28" t="str">
        <f t="shared" si="80"/>
        <v>May</v>
      </c>
      <c r="D383" s="27" t="s">
        <v>47</v>
      </c>
      <c r="E383" s="27" t="s">
        <v>48</v>
      </c>
      <c r="F383" s="27" t="s">
        <v>72</v>
      </c>
      <c r="G383" s="27" t="s">
        <v>50</v>
      </c>
      <c r="H383" s="27" t="s">
        <v>51</v>
      </c>
      <c r="I383" s="27" t="s">
        <v>506</v>
      </c>
      <c r="J383" s="27" t="s">
        <v>164</v>
      </c>
      <c r="K383" s="27">
        <v>905</v>
      </c>
      <c r="L383" s="27">
        <v>852</v>
      </c>
      <c r="M383" s="27">
        <v>817</v>
      </c>
      <c r="N383" s="27">
        <v>35</v>
      </c>
      <c r="O383" s="27">
        <v>9</v>
      </c>
      <c r="P383" s="27">
        <v>54</v>
      </c>
      <c r="Q383" s="27" t="s">
        <v>54</v>
      </c>
      <c r="R383" s="27">
        <v>42</v>
      </c>
      <c r="S383" s="27">
        <v>42</v>
      </c>
      <c r="T383" s="29">
        <v>77.8</v>
      </c>
      <c r="U383" s="29">
        <v>1.3</v>
      </c>
      <c r="V383" s="29">
        <v>29.19</v>
      </c>
      <c r="W383" s="30">
        <v>16654.419999999998</v>
      </c>
      <c r="X383" s="27">
        <v>9.61</v>
      </c>
      <c r="Y383" s="27" t="s">
        <v>55</v>
      </c>
      <c r="Z383" s="29">
        <v>16</v>
      </c>
      <c r="AA383" s="30">
        <v>26658.23</v>
      </c>
      <c r="AB383" s="29">
        <v>0.95892018779342703</v>
      </c>
      <c r="AC383" s="30">
        <v>21241.63</v>
      </c>
      <c r="AD383" s="30">
        <v>175.92697183098599</v>
      </c>
      <c r="AE383" s="27">
        <v>633.5</v>
      </c>
      <c r="AF383" s="29">
        <v>0.91475927387529599</v>
      </c>
      <c r="AG383" s="30">
        <v>5240.6730281690197</v>
      </c>
      <c r="AH383" s="31">
        <f t="shared" si="81"/>
        <v>0.94143646408839776</v>
      </c>
      <c r="AI383" s="31">
        <f t="shared" si="82"/>
        <v>4.1079812206572773E-2</v>
      </c>
      <c r="AJ383" s="31">
        <f t="shared" si="83"/>
        <v>1.0563380281690141E-2</v>
      </c>
      <c r="AK383" s="31">
        <f t="shared" si="84"/>
        <v>0.95892018779342725</v>
      </c>
      <c r="AL383" s="29">
        <f t="shared" si="85"/>
        <v>0.9</v>
      </c>
      <c r="AM383" s="29">
        <f t="shared" si="86"/>
        <v>579.5</v>
      </c>
      <c r="AN383" s="29">
        <f t="shared" si="87"/>
        <v>1.4702329594477999</v>
      </c>
      <c r="AO383" s="29">
        <f t="shared" si="88"/>
        <v>1.4285714285714286</v>
      </c>
      <c r="AP383" s="31">
        <f t="shared" si="89"/>
        <v>1.0291630716134599</v>
      </c>
      <c r="AQ383" s="31">
        <f t="shared" si="90"/>
        <v>0.95892018779342725</v>
      </c>
      <c r="AR383" s="31">
        <f t="shared" si="91"/>
        <v>0.90276243093922648</v>
      </c>
      <c r="AS383" s="29">
        <f t="shared" si="92"/>
        <v>24.931490610328641</v>
      </c>
      <c r="AT383" s="29">
        <f t="shared" si="93"/>
        <v>6.1510246809495541</v>
      </c>
      <c r="AU383" s="27" t="str">
        <f t="shared" si="94"/>
        <v>Low</v>
      </c>
      <c r="AV383" s="27" t="str">
        <f t="shared" si="95"/>
        <v>Normal</v>
      </c>
      <c r="AW383" s="27"/>
    </row>
    <row r="384" spans="1:49" x14ac:dyDescent="0.25">
      <c r="A384" s="27">
        <v>383</v>
      </c>
      <c r="B384" s="28">
        <v>46037</v>
      </c>
      <c r="C384" s="28" t="str">
        <f t="shared" si="80"/>
        <v>January</v>
      </c>
      <c r="D384" s="27" t="s">
        <v>47</v>
      </c>
      <c r="E384" s="27" t="s">
        <v>48</v>
      </c>
      <c r="F384" s="27" t="s">
        <v>49</v>
      </c>
      <c r="G384" s="27" t="s">
        <v>63</v>
      </c>
      <c r="H384" s="27" t="s">
        <v>79</v>
      </c>
      <c r="I384" s="27" t="s">
        <v>507</v>
      </c>
      <c r="J384" s="27" t="s">
        <v>164</v>
      </c>
      <c r="K384" s="27">
        <v>837</v>
      </c>
      <c r="L384" s="27">
        <v>849</v>
      </c>
      <c r="M384" s="27">
        <v>818</v>
      </c>
      <c r="N384" s="27">
        <v>31</v>
      </c>
      <c r="O384" s="27">
        <v>6</v>
      </c>
      <c r="P384" s="27">
        <v>0</v>
      </c>
      <c r="Q384" s="27" t="s">
        <v>60</v>
      </c>
      <c r="R384" s="27">
        <v>49</v>
      </c>
      <c r="S384" s="27">
        <v>48</v>
      </c>
      <c r="T384" s="29">
        <v>63.4</v>
      </c>
      <c r="U384" s="29">
        <v>2.48</v>
      </c>
      <c r="V384" s="29">
        <v>30.05</v>
      </c>
      <c r="W384" s="30">
        <v>17892.89</v>
      </c>
      <c r="X384" s="27">
        <v>7.91</v>
      </c>
      <c r="Y384" s="27" t="s">
        <v>66</v>
      </c>
      <c r="Z384" s="29">
        <v>18</v>
      </c>
      <c r="AA384" s="30">
        <v>31546.73</v>
      </c>
      <c r="AB384" s="29">
        <v>0.96348645465253202</v>
      </c>
      <c r="AC384" s="30">
        <v>21722.84</v>
      </c>
      <c r="AD384" s="30">
        <v>126.45151943462901</v>
      </c>
      <c r="AE384" s="27">
        <v>683.55</v>
      </c>
      <c r="AF384" s="29">
        <v>1</v>
      </c>
      <c r="AG384" s="30">
        <v>9697.4384805653699</v>
      </c>
      <c r="AH384" s="31">
        <f t="shared" si="81"/>
        <v>1.0143369175627239</v>
      </c>
      <c r="AI384" s="31">
        <f t="shared" si="82"/>
        <v>3.6513545347467612E-2</v>
      </c>
      <c r="AJ384" s="31">
        <f t="shared" si="83"/>
        <v>7.0671378091872791E-3</v>
      </c>
      <c r="AK384" s="31">
        <f t="shared" si="84"/>
        <v>0.96348645465253235</v>
      </c>
      <c r="AL384" s="29">
        <f t="shared" si="85"/>
        <v>0</v>
      </c>
      <c r="AM384" s="29">
        <f t="shared" si="86"/>
        <v>683.55</v>
      </c>
      <c r="AN384" s="29">
        <f t="shared" si="87"/>
        <v>1.2420452051788458</v>
      </c>
      <c r="AO384" s="29">
        <f t="shared" si="88"/>
        <v>1.2244897959183674</v>
      </c>
      <c r="AP384" s="31">
        <f t="shared" si="89"/>
        <v>1.0143369175627239</v>
      </c>
      <c r="AQ384" s="31">
        <f t="shared" si="90"/>
        <v>0.96348645465253235</v>
      </c>
      <c r="AR384" s="31">
        <f t="shared" si="91"/>
        <v>0.97729988052568684</v>
      </c>
      <c r="AS384" s="29">
        <f t="shared" si="92"/>
        <v>25.586383981154299</v>
      </c>
      <c r="AT384" s="29">
        <f t="shared" si="93"/>
        <v>11.422189023045194</v>
      </c>
      <c r="AU384" s="27" t="str">
        <f t="shared" si="94"/>
        <v>Low</v>
      </c>
      <c r="AV384" s="27" t="str">
        <f t="shared" si="95"/>
        <v>Normal</v>
      </c>
      <c r="AW384" s="27"/>
    </row>
    <row r="385" spans="1:49" x14ac:dyDescent="0.25">
      <c r="A385" s="27">
        <v>384</v>
      </c>
      <c r="B385" s="28">
        <v>46201</v>
      </c>
      <c r="C385" s="28" t="str">
        <f t="shared" si="80"/>
        <v>June</v>
      </c>
      <c r="D385" s="27" t="s">
        <v>67</v>
      </c>
      <c r="E385" s="27" t="s">
        <v>61</v>
      </c>
      <c r="F385" s="27" t="s">
        <v>62</v>
      </c>
      <c r="G385" s="27" t="s">
        <v>63</v>
      </c>
      <c r="H385" s="27" t="s">
        <v>79</v>
      </c>
      <c r="I385" s="27" t="s">
        <v>508</v>
      </c>
      <c r="J385" s="27" t="s">
        <v>132</v>
      </c>
      <c r="K385" s="27">
        <v>766</v>
      </c>
      <c r="L385" s="27">
        <v>701</v>
      </c>
      <c r="M385" s="27">
        <v>671</v>
      </c>
      <c r="N385" s="27">
        <v>30</v>
      </c>
      <c r="O385" s="27">
        <v>12</v>
      </c>
      <c r="P385" s="27">
        <v>42</v>
      </c>
      <c r="Q385" s="27" t="s">
        <v>102</v>
      </c>
      <c r="R385" s="27">
        <v>49</v>
      </c>
      <c r="S385" s="27">
        <v>48</v>
      </c>
      <c r="T385" s="29">
        <v>74.7</v>
      </c>
      <c r="U385" s="29">
        <v>2.44</v>
      </c>
      <c r="V385" s="29">
        <v>26.43</v>
      </c>
      <c r="W385" s="30">
        <v>14974.25</v>
      </c>
      <c r="X385" s="27">
        <v>8.32</v>
      </c>
      <c r="Y385" s="27" t="s">
        <v>55</v>
      </c>
      <c r="Z385" s="29">
        <v>26</v>
      </c>
      <c r="AA385" s="30">
        <v>25080.82</v>
      </c>
      <c r="AB385" s="29">
        <v>0.95720399429386605</v>
      </c>
      <c r="AC385" s="30">
        <v>18956.12</v>
      </c>
      <c r="AD385" s="30">
        <v>256.33523537803097</v>
      </c>
      <c r="AE385" s="27">
        <v>625.56666666666695</v>
      </c>
      <c r="AF385" s="29">
        <v>0.93286087280865404</v>
      </c>
      <c r="AG385" s="30">
        <v>5868.3647646219697</v>
      </c>
      <c r="AH385" s="31">
        <f t="shared" si="81"/>
        <v>0.91514360313315923</v>
      </c>
      <c r="AI385" s="31">
        <f t="shared" si="82"/>
        <v>4.2796005706134094E-2</v>
      </c>
      <c r="AJ385" s="31">
        <f t="shared" si="83"/>
        <v>1.7118402282453638E-2</v>
      </c>
      <c r="AK385" s="31">
        <f t="shared" si="84"/>
        <v>0.95720399429386593</v>
      </c>
      <c r="AL385" s="29">
        <f t="shared" si="85"/>
        <v>0.7</v>
      </c>
      <c r="AM385" s="29">
        <f t="shared" si="86"/>
        <v>583.56666666666695</v>
      </c>
      <c r="AN385" s="29">
        <f t="shared" si="87"/>
        <v>1.2012337921974061</v>
      </c>
      <c r="AO385" s="29">
        <f t="shared" si="88"/>
        <v>1.2244897959183674</v>
      </c>
      <c r="AP385" s="31">
        <f t="shared" si="89"/>
        <v>0.98100759696121498</v>
      </c>
      <c r="AQ385" s="31">
        <f t="shared" si="90"/>
        <v>0.95720399429386593</v>
      </c>
      <c r="AR385" s="31">
        <f t="shared" si="91"/>
        <v>0.87597911227154057</v>
      </c>
      <c r="AS385" s="29">
        <f t="shared" si="92"/>
        <v>27.04154065620542</v>
      </c>
      <c r="AT385" s="29">
        <f t="shared" si="93"/>
        <v>8.3714190650812697</v>
      </c>
      <c r="AU385" s="27" t="str">
        <f t="shared" si="94"/>
        <v>Low</v>
      </c>
      <c r="AV385" s="27" t="str">
        <f t="shared" si="95"/>
        <v>Normal</v>
      </c>
      <c r="AW385" s="27"/>
    </row>
    <row r="386" spans="1:49" x14ac:dyDescent="0.25">
      <c r="A386" s="27">
        <v>385</v>
      </c>
      <c r="B386" s="28">
        <v>46063</v>
      </c>
      <c r="C386" s="28" t="str">
        <f t="shared" ref="C386:C449" si="96">TEXT(B386,"mmmm")</f>
        <v>February</v>
      </c>
      <c r="D386" s="27" t="s">
        <v>67</v>
      </c>
      <c r="E386" s="27" t="s">
        <v>48</v>
      </c>
      <c r="F386" s="27" t="s">
        <v>49</v>
      </c>
      <c r="G386" s="27" t="s">
        <v>50</v>
      </c>
      <c r="H386" s="27" t="s">
        <v>68</v>
      </c>
      <c r="I386" s="27" t="s">
        <v>509</v>
      </c>
      <c r="J386" s="27" t="s">
        <v>161</v>
      </c>
      <c r="K386" s="27">
        <v>552</v>
      </c>
      <c r="L386" s="27">
        <v>586</v>
      </c>
      <c r="M386" s="27">
        <v>554</v>
      </c>
      <c r="N386" s="27">
        <v>32</v>
      </c>
      <c r="O386" s="27">
        <v>12</v>
      </c>
      <c r="P386" s="27">
        <v>30</v>
      </c>
      <c r="Q386" s="27" t="s">
        <v>91</v>
      </c>
      <c r="R386" s="27">
        <v>64</v>
      </c>
      <c r="S386" s="27">
        <v>66</v>
      </c>
      <c r="T386" s="29">
        <v>64.3</v>
      </c>
      <c r="U386" s="29">
        <v>1.67</v>
      </c>
      <c r="V386" s="29">
        <v>19.68</v>
      </c>
      <c r="W386" s="30">
        <v>18485.68</v>
      </c>
      <c r="X386" s="27">
        <v>8.33</v>
      </c>
      <c r="Y386" s="27" t="s">
        <v>55</v>
      </c>
      <c r="Z386" s="29">
        <v>25</v>
      </c>
      <c r="AA386" s="30">
        <v>28078.25</v>
      </c>
      <c r="AB386" s="29">
        <v>0.94539249146757698</v>
      </c>
      <c r="AC386" s="30">
        <v>22411.3</v>
      </c>
      <c r="AD386" s="30">
        <v>378.54634812286702</v>
      </c>
      <c r="AE386" s="27">
        <v>588.79999999999995</v>
      </c>
      <c r="AF386" s="29">
        <v>0.94904891304347805</v>
      </c>
      <c r="AG386" s="30">
        <v>5288.40365187713</v>
      </c>
      <c r="AH386" s="31">
        <f t="shared" ref="AH386:AH449" si="97">IFERROR(L386/K386,0)</f>
        <v>1.0615942028985508</v>
      </c>
      <c r="AI386" s="31">
        <f t="shared" ref="AI386:AI449" si="98">IFERROR(N386/L386,0)</f>
        <v>5.4607508532423209E-2</v>
      </c>
      <c r="AJ386" s="31">
        <f t="shared" ref="AJ386:AJ449" si="99">IFERROR(O386/L386,0)</f>
        <v>2.0477815699658702E-2</v>
      </c>
      <c r="AK386" s="31">
        <f t="shared" ref="AK386:AK449" si="100">IFERROR(M386/L386,0)</f>
        <v>0.94539249146757676</v>
      </c>
      <c r="AL386" s="29">
        <f t="shared" ref="AL386:AL449" si="101">P386/60</f>
        <v>0.5</v>
      </c>
      <c r="AM386" s="29">
        <f t="shared" ref="AM386:AM449" si="102">MAX(0,AE386-P386)</f>
        <v>558.79999999999995</v>
      </c>
      <c r="AN386" s="29">
        <f t="shared" ref="AN386:AN449" si="103">IFERROR(L386/AM386,0)</f>
        <v>1.0486757337151038</v>
      </c>
      <c r="AO386" s="29">
        <f t="shared" ref="AO386:AO449" si="104">IFERROR(60/R386,0)</f>
        <v>0.9375</v>
      </c>
      <c r="AP386" s="31">
        <f t="shared" ref="AP386:AP449" si="105">IFERROR(AN386/AO386,0)</f>
        <v>1.1185874492961108</v>
      </c>
      <c r="AQ386" s="31">
        <f t="shared" ref="AQ386:AQ449" si="106">IFERROR(M386/L386,0)</f>
        <v>0.94539249146757676</v>
      </c>
      <c r="AR386" s="31">
        <f t="shared" ref="AR386:AR449" si="107">AF386*AP386*AQ386</f>
        <v>1.0036231884057969</v>
      </c>
      <c r="AS386" s="29">
        <f t="shared" ref="AS386:AS449" si="108">IFERROR(AC386/L386,0)</f>
        <v>38.244539249146754</v>
      </c>
      <c r="AT386" s="29">
        <f t="shared" ref="AT386:AT449" si="109">IFERROR(AG386/L386,0)</f>
        <v>9.0245796107118252</v>
      </c>
      <c r="AU386" s="27" t="str">
        <f t="shared" ref="AU386:AU449" si="110">IF(OR(Y386="Overdue",P386&gt;=120,T386&gt;=85,U386&gt;=4,AI386&gt;=0.12,AR386&lt;0.8),"High",IF(OR(Y386="Pending",Z386&gt;=30,P386&gt;=60,T386&gt;=80,U386&gt;=3,AI386&gt;=0.08,AR386&lt;0.85),"Medium","Low"))</f>
        <v>Low</v>
      </c>
      <c r="AV386" s="27" t="str">
        <f t="shared" ref="AV386:AV449" si="111">IF(OR(P386&gt;=120,T386&gt;=90,U386&gt;=4.5,AI386&gt;=0.15,AR386&lt;0.75),"Critical",IF(OR(P386&gt;=60,T386&gt;=80,U386&gt;=3,AI386&gt;=0.08,AR386&lt;0.85),"Warning","Normal"))</f>
        <v>Normal</v>
      </c>
      <c r="AW386" s="27"/>
    </row>
    <row r="387" spans="1:49" x14ac:dyDescent="0.25">
      <c r="A387" s="27">
        <v>386</v>
      </c>
      <c r="B387" s="28">
        <v>46177</v>
      </c>
      <c r="C387" s="28" t="str">
        <f t="shared" si="96"/>
        <v>June</v>
      </c>
      <c r="D387" s="27" t="s">
        <v>67</v>
      </c>
      <c r="E387" s="27" t="s">
        <v>48</v>
      </c>
      <c r="F387" s="27" t="s">
        <v>72</v>
      </c>
      <c r="G387" s="27" t="s">
        <v>50</v>
      </c>
      <c r="H387" s="27" t="s">
        <v>124</v>
      </c>
      <c r="I387" s="27" t="s">
        <v>510</v>
      </c>
      <c r="J387" s="27" t="s">
        <v>93</v>
      </c>
      <c r="K387" s="27">
        <v>574</v>
      </c>
      <c r="L387" s="27">
        <v>563</v>
      </c>
      <c r="M387" s="27">
        <v>538</v>
      </c>
      <c r="N387" s="27">
        <v>25</v>
      </c>
      <c r="O387" s="27">
        <v>8</v>
      </c>
      <c r="P387" s="27">
        <v>20</v>
      </c>
      <c r="Q387" s="27" t="s">
        <v>94</v>
      </c>
      <c r="R387" s="27">
        <v>57</v>
      </c>
      <c r="S387" s="27">
        <v>60</v>
      </c>
      <c r="T387" s="29">
        <v>75.900000000000006</v>
      </c>
      <c r="U387" s="29">
        <v>2.11</v>
      </c>
      <c r="V387" s="29">
        <v>21.22</v>
      </c>
      <c r="W387" s="30">
        <v>14638.42</v>
      </c>
      <c r="X387" s="27">
        <v>8.08</v>
      </c>
      <c r="Y387" s="27" t="s">
        <v>71</v>
      </c>
      <c r="Z387" s="29">
        <v>26</v>
      </c>
      <c r="AA387" s="30">
        <v>24018.15</v>
      </c>
      <c r="AB387" s="29">
        <v>0.95559502664298401</v>
      </c>
      <c r="AC387" s="30">
        <v>18465.400000000001</v>
      </c>
      <c r="AD387" s="30">
        <v>208.00596802841901</v>
      </c>
      <c r="AE387" s="27">
        <v>545.29999999999995</v>
      </c>
      <c r="AF387" s="29">
        <v>0.96332294150009201</v>
      </c>
      <c r="AG387" s="30">
        <v>5344.7440319715797</v>
      </c>
      <c r="AH387" s="31">
        <f t="shared" si="97"/>
        <v>0.98083623693379796</v>
      </c>
      <c r="AI387" s="31">
        <f t="shared" si="98"/>
        <v>4.4404973357015987E-2</v>
      </c>
      <c r="AJ387" s="31">
        <f t="shared" si="99"/>
        <v>1.4209591474245116E-2</v>
      </c>
      <c r="AK387" s="31">
        <f t="shared" si="100"/>
        <v>0.95559502664298401</v>
      </c>
      <c r="AL387" s="29">
        <f t="shared" si="101"/>
        <v>0.33333333333333331</v>
      </c>
      <c r="AM387" s="29">
        <f t="shared" si="102"/>
        <v>525.29999999999995</v>
      </c>
      <c r="AN387" s="29">
        <f t="shared" si="103"/>
        <v>1.071768513230535</v>
      </c>
      <c r="AO387" s="29">
        <f t="shared" si="104"/>
        <v>1.0526315789473684</v>
      </c>
      <c r="AP387" s="31">
        <f t="shared" si="105"/>
        <v>1.0181800875690084</v>
      </c>
      <c r="AQ387" s="31">
        <f t="shared" si="106"/>
        <v>0.95559502664298401</v>
      </c>
      <c r="AR387" s="31">
        <f t="shared" si="107"/>
        <v>0.93728222996515731</v>
      </c>
      <c r="AS387" s="29">
        <f t="shared" si="108"/>
        <v>32.798223801065724</v>
      </c>
      <c r="AT387" s="29">
        <f t="shared" si="109"/>
        <v>9.4933286535907282</v>
      </c>
      <c r="AU387" s="27" t="str">
        <f t="shared" si="110"/>
        <v>High</v>
      </c>
      <c r="AV387" s="27" t="str">
        <f t="shared" si="111"/>
        <v>Normal</v>
      </c>
      <c r="AW387" s="27"/>
    </row>
    <row r="388" spans="1:49" x14ac:dyDescent="0.25">
      <c r="A388" s="27">
        <v>387</v>
      </c>
      <c r="B388" s="28">
        <v>46114</v>
      </c>
      <c r="C388" s="28" t="str">
        <f t="shared" si="96"/>
        <v>April</v>
      </c>
      <c r="D388" s="27" t="s">
        <v>67</v>
      </c>
      <c r="E388" s="27" t="s">
        <v>61</v>
      </c>
      <c r="F388" s="27" t="s">
        <v>95</v>
      </c>
      <c r="G388" s="27" t="s">
        <v>50</v>
      </c>
      <c r="H388" s="27" t="s">
        <v>57</v>
      </c>
      <c r="I388" s="27" t="s">
        <v>511</v>
      </c>
      <c r="J388" s="27" t="s">
        <v>170</v>
      </c>
      <c r="K388" s="27">
        <v>746</v>
      </c>
      <c r="L388" s="27">
        <v>790</v>
      </c>
      <c r="M388" s="27">
        <v>746</v>
      </c>
      <c r="N388" s="27">
        <v>44</v>
      </c>
      <c r="O388" s="27">
        <v>17</v>
      </c>
      <c r="P388" s="27">
        <v>33</v>
      </c>
      <c r="Q388" s="27" t="s">
        <v>91</v>
      </c>
      <c r="R388" s="27">
        <v>45</v>
      </c>
      <c r="S388" s="27">
        <v>44</v>
      </c>
      <c r="T388" s="29">
        <v>69.3</v>
      </c>
      <c r="U388" s="29">
        <v>1.7</v>
      </c>
      <c r="V388" s="29">
        <v>26.45</v>
      </c>
      <c r="W388" s="30">
        <v>16123.3</v>
      </c>
      <c r="X388" s="27">
        <v>10.72</v>
      </c>
      <c r="Y388" s="27" t="s">
        <v>55</v>
      </c>
      <c r="Z388" s="29">
        <v>34</v>
      </c>
      <c r="AA388" s="30">
        <v>26452.240000000002</v>
      </c>
      <c r="AB388" s="29">
        <v>0.94430379746835502</v>
      </c>
      <c r="AC388" s="30">
        <v>21185.35</v>
      </c>
      <c r="AD388" s="30">
        <v>346.95708860759498</v>
      </c>
      <c r="AE388" s="27">
        <v>559.5</v>
      </c>
      <c r="AF388" s="29">
        <v>0.94101876675603202</v>
      </c>
      <c r="AG388" s="30">
        <v>4919.9329113924096</v>
      </c>
      <c r="AH388" s="31">
        <f t="shared" si="97"/>
        <v>1.0589812332439679</v>
      </c>
      <c r="AI388" s="31">
        <f t="shared" si="98"/>
        <v>5.5696202531645568E-2</v>
      </c>
      <c r="AJ388" s="31">
        <f t="shared" si="99"/>
        <v>2.1518987341772152E-2</v>
      </c>
      <c r="AK388" s="31">
        <f t="shared" si="100"/>
        <v>0.94430379746835447</v>
      </c>
      <c r="AL388" s="29">
        <f t="shared" si="101"/>
        <v>0.55000000000000004</v>
      </c>
      <c r="AM388" s="29">
        <f t="shared" si="102"/>
        <v>526.5</v>
      </c>
      <c r="AN388" s="29">
        <f t="shared" si="103"/>
        <v>1.500474833808167</v>
      </c>
      <c r="AO388" s="29">
        <f t="shared" si="104"/>
        <v>1.3333333333333333</v>
      </c>
      <c r="AP388" s="31">
        <f t="shared" si="105"/>
        <v>1.1253561253561253</v>
      </c>
      <c r="AQ388" s="31">
        <f t="shared" si="106"/>
        <v>0.94430379746835447</v>
      </c>
      <c r="AR388" s="31">
        <f t="shared" si="107"/>
        <v>0.99999999999999989</v>
      </c>
      <c r="AS388" s="29">
        <f t="shared" si="108"/>
        <v>26.816898734177212</v>
      </c>
      <c r="AT388" s="29">
        <f t="shared" si="109"/>
        <v>6.2277631789777335</v>
      </c>
      <c r="AU388" s="27" t="str">
        <f t="shared" si="110"/>
        <v>Medium</v>
      </c>
      <c r="AV388" s="27" t="str">
        <f t="shared" si="111"/>
        <v>Normal</v>
      </c>
      <c r="AW388" s="27"/>
    </row>
    <row r="389" spans="1:49" x14ac:dyDescent="0.25">
      <c r="A389" s="27">
        <v>388</v>
      </c>
      <c r="B389" s="28">
        <v>46078</v>
      </c>
      <c r="C389" s="28" t="str">
        <f t="shared" si="96"/>
        <v>February</v>
      </c>
      <c r="D389" s="27" t="s">
        <v>47</v>
      </c>
      <c r="E389" s="27" t="s">
        <v>98</v>
      </c>
      <c r="F389" s="27" t="s">
        <v>126</v>
      </c>
      <c r="G389" s="27" t="s">
        <v>63</v>
      </c>
      <c r="H389" s="27" t="s">
        <v>57</v>
      </c>
      <c r="I389" s="27" t="s">
        <v>512</v>
      </c>
      <c r="J389" s="27" t="s">
        <v>175</v>
      </c>
      <c r="K389" s="27">
        <v>854</v>
      </c>
      <c r="L389" s="27">
        <v>784</v>
      </c>
      <c r="M389" s="27">
        <v>729</v>
      </c>
      <c r="N389" s="27">
        <v>55</v>
      </c>
      <c r="O389" s="27">
        <v>23</v>
      </c>
      <c r="P389" s="27">
        <v>32</v>
      </c>
      <c r="Q389" s="27" t="s">
        <v>97</v>
      </c>
      <c r="R389" s="27">
        <v>45</v>
      </c>
      <c r="S389" s="27">
        <v>43</v>
      </c>
      <c r="T389" s="29">
        <v>70.2</v>
      </c>
      <c r="U389" s="29">
        <v>1.44</v>
      </c>
      <c r="V389" s="29">
        <v>30.48</v>
      </c>
      <c r="W389" s="30">
        <v>16201.03</v>
      </c>
      <c r="X389" s="27">
        <v>9.6199999999999992</v>
      </c>
      <c r="Y389" s="27" t="s">
        <v>55</v>
      </c>
      <c r="Z389" s="29">
        <v>17</v>
      </c>
      <c r="AA389" s="30">
        <v>24772.42</v>
      </c>
      <c r="AB389" s="29">
        <v>0.92984693877550995</v>
      </c>
      <c r="AC389" s="30">
        <v>20804.349999999999</v>
      </c>
      <c r="AD389" s="30">
        <v>475.28531887755099</v>
      </c>
      <c r="AE389" s="27">
        <v>640.5</v>
      </c>
      <c r="AF389" s="29">
        <v>0.95003903200624495</v>
      </c>
      <c r="AG389" s="30">
        <v>3492.7846811224499</v>
      </c>
      <c r="AH389" s="31">
        <f t="shared" si="97"/>
        <v>0.91803278688524592</v>
      </c>
      <c r="AI389" s="31">
        <f t="shared" si="98"/>
        <v>7.0153061224489791E-2</v>
      </c>
      <c r="AJ389" s="31">
        <f t="shared" si="99"/>
        <v>2.9336734693877552E-2</v>
      </c>
      <c r="AK389" s="31">
        <f t="shared" si="100"/>
        <v>0.92984693877551017</v>
      </c>
      <c r="AL389" s="29">
        <f t="shared" si="101"/>
        <v>0.53333333333333333</v>
      </c>
      <c r="AM389" s="29">
        <f t="shared" si="102"/>
        <v>608.5</v>
      </c>
      <c r="AN389" s="29">
        <f t="shared" si="103"/>
        <v>1.2884141331142154</v>
      </c>
      <c r="AO389" s="29">
        <f t="shared" si="104"/>
        <v>1.3333333333333333</v>
      </c>
      <c r="AP389" s="31">
        <f t="shared" si="105"/>
        <v>0.96631059983566159</v>
      </c>
      <c r="AQ389" s="31">
        <f t="shared" si="106"/>
        <v>0.92984693877551017</v>
      </c>
      <c r="AR389" s="31">
        <f t="shared" si="107"/>
        <v>0.85362997658079609</v>
      </c>
      <c r="AS389" s="29">
        <f t="shared" si="108"/>
        <v>26.536160714285714</v>
      </c>
      <c r="AT389" s="29">
        <f t="shared" si="109"/>
        <v>4.4550825014316962</v>
      </c>
      <c r="AU389" s="27" t="str">
        <f t="shared" si="110"/>
        <v>Low</v>
      </c>
      <c r="AV389" s="27" t="str">
        <f t="shared" si="111"/>
        <v>Normal</v>
      </c>
      <c r="AW389" s="27"/>
    </row>
    <row r="390" spans="1:49" x14ac:dyDescent="0.25">
      <c r="A390" s="27">
        <v>389</v>
      </c>
      <c r="B390" s="28">
        <v>46102</v>
      </c>
      <c r="C390" s="28" t="str">
        <f t="shared" si="96"/>
        <v>March</v>
      </c>
      <c r="D390" s="27" t="s">
        <v>47</v>
      </c>
      <c r="E390" s="27" t="s">
        <v>61</v>
      </c>
      <c r="F390" s="27" t="s">
        <v>88</v>
      </c>
      <c r="G390" s="27" t="s">
        <v>63</v>
      </c>
      <c r="H390" s="27" t="s">
        <v>51</v>
      </c>
      <c r="I390" s="27" t="s">
        <v>513</v>
      </c>
      <c r="J390" s="27" t="s">
        <v>143</v>
      </c>
      <c r="K390" s="27">
        <v>802</v>
      </c>
      <c r="L390" s="27">
        <v>674</v>
      </c>
      <c r="M390" s="27">
        <v>651</v>
      </c>
      <c r="N390" s="27">
        <v>23</v>
      </c>
      <c r="O390" s="27">
        <v>9</v>
      </c>
      <c r="P390" s="27">
        <v>12</v>
      </c>
      <c r="Q390" s="27" t="s">
        <v>54</v>
      </c>
      <c r="R390" s="27">
        <v>42</v>
      </c>
      <c r="S390" s="27">
        <v>44</v>
      </c>
      <c r="T390" s="29">
        <v>75.599999999999994</v>
      </c>
      <c r="U390" s="29">
        <v>2.79</v>
      </c>
      <c r="V390" s="29">
        <v>27.99</v>
      </c>
      <c r="W390" s="30">
        <v>12451.43</v>
      </c>
      <c r="X390" s="27">
        <v>7.06</v>
      </c>
      <c r="Y390" s="27" t="s">
        <v>55</v>
      </c>
      <c r="Z390" s="29">
        <v>14</v>
      </c>
      <c r="AA390" s="30">
        <v>20718.3</v>
      </c>
      <c r="AB390" s="29">
        <v>0.96587537091988096</v>
      </c>
      <c r="AC390" s="30">
        <v>15880.34</v>
      </c>
      <c r="AD390" s="30">
        <v>166.26538575667701</v>
      </c>
      <c r="AE390" s="27">
        <v>561.4</v>
      </c>
      <c r="AF390" s="29">
        <v>0.97862486640541502</v>
      </c>
      <c r="AG390" s="30">
        <v>4671.6946142433198</v>
      </c>
      <c r="AH390" s="31">
        <f t="shared" si="97"/>
        <v>0.84039900249376553</v>
      </c>
      <c r="AI390" s="31">
        <f t="shared" si="98"/>
        <v>3.4124629080118693E-2</v>
      </c>
      <c r="AJ390" s="31">
        <f t="shared" si="99"/>
        <v>1.3353115727002967E-2</v>
      </c>
      <c r="AK390" s="31">
        <f t="shared" si="100"/>
        <v>0.96587537091988129</v>
      </c>
      <c r="AL390" s="29">
        <f t="shared" si="101"/>
        <v>0.2</v>
      </c>
      <c r="AM390" s="29">
        <f t="shared" si="102"/>
        <v>549.4</v>
      </c>
      <c r="AN390" s="29">
        <f t="shared" si="103"/>
        <v>1.2267928649435749</v>
      </c>
      <c r="AO390" s="29">
        <f t="shared" si="104"/>
        <v>1.4285714285714286</v>
      </c>
      <c r="AP390" s="31">
        <f t="shared" si="105"/>
        <v>0.85875500546050243</v>
      </c>
      <c r="AQ390" s="31">
        <f t="shared" si="106"/>
        <v>0.96587537091988129</v>
      </c>
      <c r="AR390" s="31">
        <f t="shared" si="107"/>
        <v>0.8117206982543641</v>
      </c>
      <c r="AS390" s="29">
        <f t="shared" si="108"/>
        <v>23.561335311572702</v>
      </c>
      <c r="AT390" s="29">
        <f t="shared" si="109"/>
        <v>6.9312976472452821</v>
      </c>
      <c r="AU390" s="27" t="str">
        <f t="shared" si="110"/>
        <v>Medium</v>
      </c>
      <c r="AV390" s="27" t="str">
        <f t="shared" si="111"/>
        <v>Warning</v>
      </c>
      <c r="AW390" s="27"/>
    </row>
    <row r="391" spans="1:49" x14ac:dyDescent="0.25">
      <c r="A391" s="27">
        <v>390</v>
      </c>
      <c r="B391" s="28">
        <v>46181</v>
      </c>
      <c r="C391" s="28" t="str">
        <f t="shared" si="96"/>
        <v>June</v>
      </c>
      <c r="D391" s="27" t="s">
        <v>47</v>
      </c>
      <c r="E391" s="27" t="s">
        <v>61</v>
      </c>
      <c r="F391" s="27" t="s">
        <v>62</v>
      </c>
      <c r="G391" s="27" t="s">
        <v>63</v>
      </c>
      <c r="H391" s="27" t="s">
        <v>124</v>
      </c>
      <c r="I391" s="27" t="s">
        <v>514</v>
      </c>
      <c r="J391" s="27" t="s">
        <v>70</v>
      </c>
      <c r="K391" s="27">
        <v>615</v>
      </c>
      <c r="L391" s="27">
        <v>602</v>
      </c>
      <c r="M391" s="27">
        <v>572</v>
      </c>
      <c r="N391" s="27">
        <v>30</v>
      </c>
      <c r="O391" s="27">
        <v>11</v>
      </c>
      <c r="P391" s="27">
        <v>5</v>
      </c>
      <c r="Q391" s="27" t="s">
        <v>97</v>
      </c>
      <c r="R391" s="27">
        <v>57</v>
      </c>
      <c r="S391" s="27">
        <v>63</v>
      </c>
      <c r="T391" s="29">
        <v>85.3</v>
      </c>
      <c r="U391" s="29">
        <v>2.38</v>
      </c>
      <c r="V391" s="29">
        <v>22.62</v>
      </c>
      <c r="W391" s="30">
        <v>15868.75</v>
      </c>
      <c r="X391" s="27">
        <v>7.39</v>
      </c>
      <c r="Y391" s="27" t="s">
        <v>66</v>
      </c>
      <c r="Z391" s="29">
        <v>21</v>
      </c>
      <c r="AA391" s="30">
        <v>26422.720000000001</v>
      </c>
      <c r="AB391" s="29">
        <v>0.95016611295681097</v>
      </c>
      <c r="AC391" s="30">
        <v>19397.830000000002</v>
      </c>
      <c r="AD391" s="30">
        <v>289.960548172757</v>
      </c>
      <c r="AE391" s="27">
        <v>584.25</v>
      </c>
      <c r="AF391" s="29">
        <v>0.99144201968335499</v>
      </c>
      <c r="AG391" s="30">
        <v>6734.92945182724</v>
      </c>
      <c r="AH391" s="31">
        <f t="shared" si="97"/>
        <v>0.9788617886178862</v>
      </c>
      <c r="AI391" s="31">
        <f t="shared" si="98"/>
        <v>4.9833887043189369E-2</v>
      </c>
      <c r="AJ391" s="31">
        <f t="shared" si="99"/>
        <v>1.8272425249169437E-2</v>
      </c>
      <c r="AK391" s="31">
        <f t="shared" si="100"/>
        <v>0.95016611295681064</v>
      </c>
      <c r="AL391" s="29">
        <f t="shared" si="101"/>
        <v>8.3333333333333329E-2</v>
      </c>
      <c r="AM391" s="29">
        <f t="shared" si="102"/>
        <v>579.25</v>
      </c>
      <c r="AN391" s="29">
        <f t="shared" si="103"/>
        <v>1.0392749244712991</v>
      </c>
      <c r="AO391" s="29">
        <f t="shared" si="104"/>
        <v>1.0526315789473684</v>
      </c>
      <c r="AP391" s="31">
        <f t="shared" si="105"/>
        <v>0.98731117824773418</v>
      </c>
      <c r="AQ391" s="31">
        <f t="shared" si="106"/>
        <v>0.95016611295681064</v>
      </c>
      <c r="AR391" s="31">
        <f t="shared" si="107"/>
        <v>0.93008130081300844</v>
      </c>
      <c r="AS391" s="29">
        <f t="shared" si="108"/>
        <v>32.222308970099668</v>
      </c>
      <c r="AT391" s="29">
        <f t="shared" si="109"/>
        <v>11.187590451540265</v>
      </c>
      <c r="AU391" s="27" t="str">
        <f t="shared" si="110"/>
        <v>High</v>
      </c>
      <c r="AV391" s="27" t="str">
        <f t="shared" si="111"/>
        <v>Warning</v>
      </c>
      <c r="AW391" s="27"/>
    </row>
    <row r="392" spans="1:49" x14ac:dyDescent="0.25">
      <c r="A392" s="27">
        <v>391</v>
      </c>
      <c r="B392" s="28">
        <v>46041</v>
      </c>
      <c r="C392" s="28" t="str">
        <f t="shared" si="96"/>
        <v>January</v>
      </c>
      <c r="D392" s="27" t="s">
        <v>47</v>
      </c>
      <c r="E392" s="27" t="s">
        <v>61</v>
      </c>
      <c r="F392" s="27" t="s">
        <v>62</v>
      </c>
      <c r="G392" s="27" t="s">
        <v>63</v>
      </c>
      <c r="H392" s="27" t="s">
        <v>79</v>
      </c>
      <c r="I392" s="27" t="s">
        <v>515</v>
      </c>
      <c r="J392" s="27" t="s">
        <v>117</v>
      </c>
      <c r="K392" s="27">
        <v>893</v>
      </c>
      <c r="L392" s="27">
        <v>988</v>
      </c>
      <c r="M392" s="27">
        <v>947</v>
      </c>
      <c r="N392" s="27">
        <v>41</v>
      </c>
      <c r="O392" s="27">
        <v>17</v>
      </c>
      <c r="P392" s="27">
        <v>22</v>
      </c>
      <c r="Q392" s="27" t="s">
        <v>91</v>
      </c>
      <c r="R392" s="27">
        <v>49</v>
      </c>
      <c r="S392" s="27">
        <v>53</v>
      </c>
      <c r="T392" s="29">
        <v>68</v>
      </c>
      <c r="U392" s="29">
        <v>2.1800000000000002</v>
      </c>
      <c r="V392" s="29">
        <v>35.299999999999997</v>
      </c>
      <c r="W392" s="30">
        <v>21673.97</v>
      </c>
      <c r="X392" s="27">
        <v>8.98</v>
      </c>
      <c r="Y392" s="27" t="s">
        <v>55</v>
      </c>
      <c r="Z392" s="29">
        <v>19</v>
      </c>
      <c r="AA392" s="30">
        <v>35242.69</v>
      </c>
      <c r="AB392" s="29">
        <v>0.958502024291498</v>
      </c>
      <c r="AC392" s="30">
        <v>26032.67</v>
      </c>
      <c r="AD392" s="30">
        <v>372.93268218623501</v>
      </c>
      <c r="AE392" s="27">
        <v>729.28333333333296</v>
      </c>
      <c r="AF392" s="29">
        <v>0.96983339808487801</v>
      </c>
      <c r="AG392" s="30">
        <v>8837.0873178137699</v>
      </c>
      <c r="AH392" s="31">
        <f t="shared" si="97"/>
        <v>1.1063829787234043</v>
      </c>
      <c r="AI392" s="31">
        <f t="shared" si="98"/>
        <v>4.1497975708502027E-2</v>
      </c>
      <c r="AJ392" s="31">
        <f t="shared" si="99"/>
        <v>1.7206477732793522E-2</v>
      </c>
      <c r="AK392" s="31">
        <f t="shared" si="100"/>
        <v>0.958502024291498</v>
      </c>
      <c r="AL392" s="29">
        <f t="shared" si="101"/>
        <v>0.36666666666666664</v>
      </c>
      <c r="AM392" s="29">
        <f t="shared" si="102"/>
        <v>707.28333333333296</v>
      </c>
      <c r="AN392" s="29">
        <f t="shared" si="103"/>
        <v>1.3968942196668008</v>
      </c>
      <c r="AO392" s="29">
        <f t="shared" si="104"/>
        <v>1.2244897959183674</v>
      </c>
      <c r="AP392" s="31">
        <f t="shared" si="105"/>
        <v>1.1407969460612206</v>
      </c>
      <c r="AQ392" s="31">
        <f t="shared" si="106"/>
        <v>0.958502024291498</v>
      </c>
      <c r="AR392" s="31">
        <f t="shared" si="107"/>
        <v>1.0604703247480409</v>
      </c>
      <c r="AS392" s="29">
        <f t="shared" si="108"/>
        <v>26.348856275303643</v>
      </c>
      <c r="AT392" s="29">
        <f t="shared" si="109"/>
        <v>8.9444203621596863</v>
      </c>
      <c r="AU392" s="27" t="str">
        <f t="shared" si="110"/>
        <v>Low</v>
      </c>
      <c r="AV392" s="27" t="str">
        <f t="shared" si="111"/>
        <v>Normal</v>
      </c>
      <c r="AW392" s="27"/>
    </row>
    <row r="393" spans="1:49" x14ac:dyDescent="0.25">
      <c r="A393" s="27">
        <v>392</v>
      </c>
      <c r="B393" s="28">
        <v>46143</v>
      </c>
      <c r="C393" s="28" t="str">
        <f t="shared" si="96"/>
        <v>May</v>
      </c>
      <c r="D393" s="27" t="s">
        <v>47</v>
      </c>
      <c r="E393" s="27" t="s">
        <v>98</v>
      </c>
      <c r="F393" s="27" t="s">
        <v>99</v>
      </c>
      <c r="G393" s="27" t="s">
        <v>63</v>
      </c>
      <c r="H393" s="27" t="s">
        <v>68</v>
      </c>
      <c r="I393" s="27" t="s">
        <v>516</v>
      </c>
      <c r="J393" s="27" t="s">
        <v>90</v>
      </c>
      <c r="K393" s="27">
        <v>465</v>
      </c>
      <c r="L393" s="27">
        <v>491</v>
      </c>
      <c r="M393" s="27">
        <v>464</v>
      </c>
      <c r="N393" s="27">
        <v>27</v>
      </c>
      <c r="O393" s="27">
        <v>7</v>
      </c>
      <c r="P393" s="27">
        <v>12</v>
      </c>
      <c r="Q393" s="27" t="s">
        <v>94</v>
      </c>
      <c r="R393" s="27">
        <v>64</v>
      </c>
      <c r="S393" s="27">
        <v>62</v>
      </c>
      <c r="T393" s="29">
        <v>80.3</v>
      </c>
      <c r="U393" s="29">
        <v>1.23</v>
      </c>
      <c r="V393" s="29">
        <v>18.27</v>
      </c>
      <c r="W393" s="30">
        <v>14434.24</v>
      </c>
      <c r="X393" s="27">
        <v>9.01</v>
      </c>
      <c r="Y393" s="27" t="s">
        <v>55</v>
      </c>
      <c r="Z393" s="29">
        <v>34</v>
      </c>
      <c r="AA393" s="30">
        <v>24435.21</v>
      </c>
      <c r="AB393" s="29">
        <v>0.94501018329938902</v>
      </c>
      <c r="AC393" s="30">
        <v>18653.169999999998</v>
      </c>
      <c r="AD393" s="30">
        <v>205.783462321792</v>
      </c>
      <c r="AE393" s="27">
        <v>496</v>
      </c>
      <c r="AF393" s="29">
        <v>0.97580645161290303</v>
      </c>
      <c r="AG393" s="30">
        <v>5576.2565376782104</v>
      </c>
      <c r="AH393" s="31">
        <f t="shared" si="97"/>
        <v>1.0559139784946237</v>
      </c>
      <c r="AI393" s="31">
        <f t="shared" si="98"/>
        <v>5.4989816700610997E-2</v>
      </c>
      <c r="AJ393" s="31">
        <f t="shared" si="99"/>
        <v>1.4256619144602852E-2</v>
      </c>
      <c r="AK393" s="31">
        <f t="shared" si="100"/>
        <v>0.94501018329938902</v>
      </c>
      <c r="AL393" s="29">
        <f t="shared" si="101"/>
        <v>0.2</v>
      </c>
      <c r="AM393" s="29">
        <f t="shared" si="102"/>
        <v>484</v>
      </c>
      <c r="AN393" s="29">
        <f t="shared" si="103"/>
        <v>1.0144628099173554</v>
      </c>
      <c r="AO393" s="29">
        <f t="shared" si="104"/>
        <v>0.9375</v>
      </c>
      <c r="AP393" s="31">
        <f t="shared" si="105"/>
        <v>1.0820936639118457</v>
      </c>
      <c r="AQ393" s="31">
        <f t="shared" si="106"/>
        <v>0.94501018329938902</v>
      </c>
      <c r="AR393" s="31">
        <f t="shared" si="107"/>
        <v>0.99784946236559124</v>
      </c>
      <c r="AS393" s="29">
        <f t="shared" si="108"/>
        <v>37.99016293279022</v>
      </c>
      <c r="AT393" s="29">
        <f t="shared" si="109"/>
        <v>11.356937958611427</v>
      </c>
      <c r="AU393" s="27" t="str">
        <f t="shared" si="110"/>
        <v>Medium</v>
      </c>
      <c r="AV393" s="27" t="str">
        <f t="shared" si="111"/>
        <v>Warning</v>
      </c>
      <c r="AW393" s="27"/>
    </row>
    <row r="394" spans="1:49" x14ac:dyDescent="0.25">
      <c r="A394" s="27">
        <v>393</v>
      </c>
      <c r="B394" s="28">
        <v>46130</v>
      </c>
      <c r="C394" s="28" t="str">
        <f t="shared" si="96"/>
        <v>April</v>
      </c>
      <c r="D394" s="27" t="s">
        <v>47</v>
      </c>
      <c r="E394" s="27" t="s">
        <v>129</v>
      </c>
      <c r="F394" s="27" t="s">
        <v>167</v>
      </c>
      <c r="G394" s="27" t="s">
        <v>78</v>
      </c>
      <c r="H394" s="27" t="s">
        <v>51</v>
      </c>
      <c r="I394" s="27" t="s">
        <v>517</v>
      </c>
      <c r="J394" s="27" t="s">
        <v>74</v>
      </c>
      <c r="K394" s="27">
        <v>895</v>
      </c>
      <c r="L394" s="27">
        <v>724</v>
      </c>
      <c r="M394" s="27">
        <v>651</v>
      </c>
      <c r="N394" s="27">
        <v>73</v>
      </c>
      <c r="O394" s="27">
        <v>23</v>
      </c>
      <c r="P394" s="27">
        <v>34</v>
      </c>
      <c r="Q394" s="27" t="s">
        <v>97</v>
      </c>
      <c r="R394" s="27">
        <v>42</v>
      </c>
      <c r="S394" s="27">
        <v>44</v>
      </c>
      <c r="T394" s="29">
        <v>70.099999999999994</v>
      </c>
      <c r="U394" s="29">
        <v>2.6</v>
      </c>
      <c r="V394" s="29">
        <v>29.97</v>
      </c>
      <c r="W394" s="30">
        <v>14026.91</v>
      </c>
      <c r="X394" s="27">
        <v>6.35</v>
      </c>
      <c r="Y394" s="27" t="s">
        <v>110</v>
      </c>
      <c r="Z394" s="29">
        <v>21</v>
      </c>
      <c r="AA394" s="30">
        <v>20930.11</v>
      </c>
      <c r="AB394" s="29">
        <v>0.899171270718232</v>
      </c>
      <c r="AC394" s="30">
        <v>17154.14</v>
      </c>
      <c r="AD394" s="30">
        <v>445.60625690607702</v>
      </c>
      <c r="AE394" s="27">
        <v>626.5</v>
      </c>
      <c r="AF394" s="29">
        <v>0.94573024740622502</v>
      </c>
      <c r="AG394" s="30">
        <v>3330.3637430939202</v>
      </c>
      <c r="AH394" s="31">
        <f t="shared" si="97"/>
        <v>0.80893854748603355</v>
      </c>
      <c r="AI394" s="31">
        <f t="shared" si="98"/>
        <v>0.10082872928176796</v>
      </c>
      <c r="AJ394" s="31">
        <f t="shared" si="99"/>
        <v>3.1767955801104975E-2</v>
      </c>
      <c r="AK394" s="31">
        <f t="shared" si="100"/>
        <v>0.899171270718232</v>
      </c>
      <c r="AL394" s="29">
        <f t="shared" si="101"/>
        <v>0.56666666666666665</v>
      </c>
      <c r="AM394" s="29">
        <f t="shared" si="102"/>
        <v>592.5</v>
      </c>
      <c r="AN394" s="29">
        <f t="shared" si="103"/>
        <v>1.2219409282700422</v>
      </c>
      <c r="AO394" s="29">
        <f t="shared" si="104"/>
        <v>1.4285714285714286</v>
      </c>
      <c r="AP394" s="31">
        <f t="shared" si="105"/>
        <v>0.85535864978902953</v>
      </c>
      <c r="AQ394" s="31">
        <f t="shared" si="106"/>
        <v>0.899171270718232</v>
      </c>
      <c r="AR394" s="31">
        <f t="shared" si="107"/>
        <v>0.7273743016759775</v>
      </c>
      <c r="AS394" s="29">
        <f t="shared" si="108"/>
        <v>23.693563535911601</v>
      </c>
      <c r="AT394" s="29">
        <f t="shared" si="109"/>
        <v>4.5999499214004427</v>
      </c>
      <c r="AU394" s="27" t="str">
        <f t="shared" si="110"/>
        <v>High</v>
      </c>
      <c r="AV394" s="27" t="str">
        <f t="shared" si="111"/>
        <v>Critical</v>
      </c>
      <c r="AW394" s="27"/>
    </row>
    <row r="395" spans="1:49" x14ac:dyDescent="0.25">
      <c r="A395" s="27">
        <v>394</v>
      </c>
      <c r="B395" s="28">
        <v>46060</v>
      </c>
      <c r="C395" s="28" t="str">
        <f t="shared" si="96"/>
        <v>February</v>
      </c>
      <c r="D395" s="27" t="s">
        <v>67</v>
      </c>
      <c r="E395" s="27" t="s">
        <v>129</v>
      </c>
      <c r="F395" s="27" t="s">
        <v>167</v>
      </c>
      <c r="G395" s="27" t="s">
        <v>50</v>
      </c>
      <c r="H395" s="27" t="s">
        <v>79</v>
      </c>
      <c r="I395" s="27" t="s">
        <v>518</v>
      </c>
      <c r="J395" s="27" t="s">
        <v>101</v>
      </c>
      <c r="K395" s="27">
        <v>875</v>
      </c>
      <c r="L395" s="27">
        <v>863</v>
      </c>
      <c r="M395" s="27">
        <v>785</v>
      </c>
      <c r="N395" s="27">
        <v>78</v>
      </c>
      <c r="O395" s="27">
        <v>16</v>
      </c>
      <c r="P395" s="27">
        <v>56</v>
      </c>
      <c r="Q395" s="27" t="s">
        <v>104</v>
      </c>
      <c r="R395" s="27">
        <v>49</v>
      </c>
      <c r="S395" s="27">
        <v>51</v>
      </c>
      <c r="T395" s="29">
        <v>77.5</v>
      </c>
      <c r="U395" s="29">
        <v>2.14</v>
      </c>
      <c r="V395" s="29">
        <v>33.340000000000003</v>
      </c>
      <c r="W395" s="30">
        <v>18068.849999999999</v>
      </c>
      <c r="X395" s="27">
        <v>7.81</v>
      </c>
      <c r="Y395" s="27" t="s">
        <v>71</v>
      </c>
      <c r="Z395" s="29">
        <v>21</v>
      </c>
      <c r="AA395" s="30">
        <v>29687.13</v>
      </c>
      <c r="AB395" s="29">
        <v>0.90961761297798405</v>
      </c>
      <c r="AC395" s="30">
        <v>21883.41</v>
      </c>
      <c r="AD395" s="30">
        <v>334.996060254925</v>
      </c>
      <c r="AE395" s="27">
        <v>714.58333333333303</v>
      </c>
      <c r="AF395" s="29">
        <v>0.92163265306122499</v>
      </c>
      <c r="AG395" s="30">
        <v>7468.7239397450803</v>
      </c>
      <c r="AH395" s="31">
        <f t="shared" si="97"/>
        <v>0.98628571428571432</v>
      </c>
      <c r="AI395" s="31">
        <f t="shared" si="98"/>
        <v>9.0382387022016217E-2</v>
      </c>
      <c r="AJ395" s="31">
        <f t="shared" si="99"/>
        <v>1.8539976825028968E-2</v>
      </c>
      <c r="AK395" s="31">
        <f t="shared" si="100"/>
        <v>0.90961761297798382</v>
      </c>
      <c r="AL395" s="29">
        <f t="shared" si="101"/>
        <v>0.93333333333333335</v>
      </c>
      <c r="AM395" s="29">
        <f t="shared" si="102"/>
        <v>658.58333333333303</v>
      </c>
      <c r="AN395" s="29">
        <f t="shared" si="103"/>
        <v>1.3103884600784519</v>
      </c>
      <c r="AO395" s="29">
        <f t="shared" si="104"/>
        <v>1.2244897959183674</v>
      </c>
      <c r="AP395" s="31">
        <f t="shared" si="105"/>
        <v>1.0701505757307357</v>
      </c>
      <c r="AQ395" s="31">
        <f t="shared" si="106"/>
        <v>0.90961761297798382</v>
      </c>
      <c r="AR395" s="31">
        <f t="shared" si="107"/>
        <v>0.89714285714285813</v>
      </c>
      <c r="AS395" s="29">
        <f t="shared" si="108"/>
        <v>25.357369640787947</v>
      </c>
      <c r="AT395" s="29">
        <f t="shared" si="109"/>
        <v>8.6543730472133031</v>
      </c>
      <c r="AU395" s="27" t="str">
        <f t="shared" si="110"/>
        <v>High</v>
      </c>
      <c r="AV395" s="27" t="str">
        <f t="shared" si="111"/>
        <v>Warning</v>
      </c>
      <c r="AW395" s="27"/>
    </row>
    <row r="396" spans="1:49" x14ac:dyDescent="0.25">
      <c r="A396" s="27">
        <v>395</v>
      </c>
      <c r="B396" s="28">
        <v>46162</v>
      </c>
      <c r="C396" s="28" t="str">
        <f t="shared" si="96"/>
        <v>May</v>
      </c>
      <c r="D396" s="27" t="s">
        <v>47</v>
      </c>
      <c r="E396" s="27" t="s">
        <v>76</v>
      </c>
      <c r="F396" s="27" t="s">
        <v>119</v>
      </c>
      <c r="G396" s="27" t="s">
        <v>50</v>
      </c>
      <c r="H396" s="27" t="s">
        <v>51</v>
      </c>
      <c r="I396" s="27" t="s">
        <v>519</v>
      </c>
      <c r="J396" s="27" t="s">
        <v>138</v>
      </c>
      <c r="K396" s="27">
        <v>727</v>
      </c>
      <c r="L396" s="27">
        <v>579</v>
      </c>
      <c r="M396" s="27">
        <v>521</v>
      </c>
      <c r="N396" s="27">
        <v>58</v>
      </c>
      <c r="O396" s="27">
        <v>16</v>
      </c>
      <c r="P396" s="27">
        <v>35</v>
      </c>
      <c r="Q396" s="27" t="s">
        <v>82</v>
      </c>
      <c r="R396" s="27">
        <v>42</v>
      </c>
      <c r="S396" s="27">
        <v>43</v>
      </c>
      <c r="T396" s="29">
        <v>72.099999999999994</v>
      </c>
      <c r="U396" s="29">
        <v>1.78</v>
      </c>
      <c r="V396" s="29">
        <v>25.24</v>
      </c>
      <c r="W396" s="30">
        <v>11259.52</v>
      </c>
      <c r="X396" s="27">
        <v>6.94</v>
      </c>
      <c r="Y396" s="27" t="s">
        <v>55</v>
      </c>
      <c r="Z396" s="29">
        <v>17</v>
      </c>
      <c r="AA396" s="30">
        <v>16724.77</v>
      </c>
      <c r="AB396" s="29">
        <v>0.89982728842832505</v>
      </c>
      <c r="AC396" s="30">
        <v>14609.68</v>
      </c>
      <c r="AD396" s="30">
        <v>311.14390328152001</v>
      </c>
      <c r="AE396" s="27">
        <v>508.9</v>
      </c>
      <c r="AF396" s="29">
        <v>0.93122420907840397</v>
      </c>
      <c r="AG396" s="30">
        <v>1803.94609671848</v>
      </c>
      <c r="AH396" s="31">
        <f t="shared" si="97"/>
        <v>0.796423658872077</v>
      </c>
      <c r="AI396" s="31">
        <f t="shared" si="98"/>
        <v>0.1001727115716753</v>
      </c>
      <c r="AJ396" s="31">
        <f t="shared" si="99"/>
        <v>2.7633851468048358E-2</v>
      </c>
      <c r="AK396" s="31">
        <f t="shared" si="100"/>
        <v>0.89982728842832471</v>
      </c>
      <c r="AL396" s="29">
        <f t="shared" si="101"/>
        <v>0.58333333333333337</v>
      </c>
      <c r="AM396" s="29">
        <f t="shared" si="102"/>
        <v>473.9</v>
      </c>
      <c r="AN396" s="29">
        <f t="shared" si="103"/>
        <v>1.2217767461489766</v>
      </c>
      <c r="AO396" s="29">
        <f t="shared" si="104"/>
        <v>1.4285714285714286</v>
      </c>
      <c r="AP396" s="31">
        <f t="shared" si="105"/>
        <v>0.85524372230428358</v>
      </c>
      <c r="AQ396" s="31">
        <f t="shared" si="106"/>
        <v>0.89982728842832471</v>
      </c>
      <c r="AR396" s="31">
        <f t="shared" si="107"/>
        <v>0.71664374140302578</v>
      </c>
      <c r="AS396" s="29">
        <f t="shared" si="108"/>
        <v>25.232607944732298</v>
      </c>
      <c r="AT396" s="29">
        <f t="shared" si="109"/>
        <v>3.1156236558177546</v>
      </c>
      <c r="AU396" s="27" t="str">
        <f t="shared" si="110"/>
        <v>High</v>
      </c>
      <c r="AV396" s="27" t="str">
        <f t="shared" si="111"/>
        <v>Critical</v>
      </c>
      <c r="AW396" s="27"/>
    </row>
    <row r="397" spans="1:49" x14ac:dyDescent="0.25">
      <c r="A397" s="27">
        <v>396</v>
      </c>
      <c r="B397" s="28">
        <v>46064</v>
      </c>
      <c r="C397" s="28" t="str">
        <f t="shared" si="96"/>
        <v>February</v>
      </c>
      <c r="D397" s="27" t="s">
        <v>67</v>
      </c>
      <c r="E397" s="27" t="s">
        <v>61</v>
      </c>
      <c r="F397" s="27" t="s">
        <v>62</v>
      </c>
      <c r="G397" s="27" t="s">
        <v>78</v>
      </c>
      <c r="H397" s="27" t="s">
        <v>57</v>
      </c>
      <c r="I397" s="27" t="s">
        <v>520</v>
      </c>
      <c r="J397" s="27" t="s">
        <v>74</v>
      </c>
      <c r="K397" s="27">
        <v>825</v>
      </c>
      <c r="L397" s="27">
        <v>711</v>
      </c>
      <c r="M397" s="27">
        <v>680</v>
      </c>
      <c r="N397" s="27">
        <v>31</v>
      </c>
      <c r="O397" s="27">
        <v>13</v>
      </c>
      <c r="P397" s="27">
        <v>53</v>
      </c>
      <c r="Q397" s="27" t="s">
        <v>54</v>
      </c>
      <c r="R397" s="27">
        <v>45</v>
      </c>
      <c r="S397" s="27">
        <v>45</v>
      </c>
      <c r="T397" s="29">
        <v>73.099999999999994</v>
      </c>
      <c r="U397" s="29">
        <v>1.89</v>
      </c>
      <c r="V397" s="29">
        <v>24.31</v>
      </c>
      <c r="W397" s="30">
        <v>14792.08</v>
      </c>
      <c r="X397" s="27">
        <v>7.75</v>
      </c>
      <c r="Y397" s="27" t="s">
        <v>110</v>
      </c>
      <c r="Z397" s="29">
        <v>29</v>
      </c>
      <c r="AA397" s="30">
        <v>23804.799999999999</v>
      </c>
      <c r="AB397" s="29">
        <v>0.95639943741209599</v>
      </c>
      <c r="AC397" s="30">
        <v>18498.37</v>
      </c>
      <c r="AD397" s="30">
        <v>270.45997187060499</v>
      </c>
      <c r="AE397" s="27">
        <v>618.75</v>
      </c>
      <c r="AF397" s="29">
        <v>0.91434343434343401</v>
      </c>
      <c r="AG397" s="30">
        <v>5035.9700281293899</v>
      </c>
      <c r="AH397" s="31">
        <f t="shared" si="97"/>
        <v>0.86181818181818182</v>
      </c>
      <c r="AI397" s="31">
        <f t="shared" si="98"/>
        <v>4.360056258790436E-2</v>
      </c>
      <c r="AJ397" s="31">
        <f t="shared" si="99"/>
        <v>1.8284106891701828E-2</v>
      </c>
      <c r="AK397" s="31">
        <f t="shared" si="100"/>
        <v>0.95639943741209565</v>
      </c>
      <c r="AL397" s="29">
        <f t="shared" si="101"/>
        <v>0.8833333333333333</v>
      </c>
      <c r="AM397" s="29">
        <f t="shared" si="102"/>
        <v>565.75</v>
      </c>
      <c r="AN397" s="29">
        <f t="shared" si="103"/>
        <v>1.2567388422448078</v>
      </c>
      <c r="AO397" s="29">
        <f t="shared" si="104"/>
        <v>1.3333333333333333</v>
      </c>
      <c r="AP397" s="31">
        <f t="shared" si="105"/>
        <v>0.94255413168360591</v>
      </c>
      <c r="AQ397" s="31">
        <f t="shared" si="106"/>
        <v>0.95639943741209565</v>
      </c>
      <c r="AR397" s="31">
        <f t="shared" si="107"/>
        <v>0.824242424242424</v>
      </c>
      <c r="AS397" s="29">
        <f t="shared" si="108"/>
        <v>26.017398030942335</v>
      </c>
      <c r="AT397" s="29">
        <f t="shared" si="109"/>
        <v>7.0829395613634176</v>
      </c>
      <c r="AU397" s="27" t="str">
        <f t="shared" si="110"/>
        <v>Medium</v>
      </c>
      <c r="AV397" s="27" t="str">
        <f t="shared" si="111"/>
        <v>Warning</v>
      </c>
      <c r="AW397" s="27"/>
    </row>
    <row r="398" spans="1:49" x14ac:dyDescent="0.25">
      <c r="A398" s="27">
        <v>397</v>
      </c>
      <c r="B398" s="28">
        <v>46031</v>
      </c>
      <c r="C398" s="28" t="str">
        <f t="shared" si="96"/>
        <v>January</v>
      </c>
      <c r="D398" s="27" t="s">
        <v>67</v>
      </c>
      <c r="E398" s="27" t="s">
        <v>61</v>
      </c>
      <c r="F398" s="27" t="s">
        <v>88</v>
      </c>
      <c r="G398" s="27" t="s">
        <v>50</v>
      </c>
      <c r="H398" s="27" t="s">
        <v>79</v>
      </c>
      <c r="I398" s="27" t="s">
        <v>521</v>
      </c>
      <c r="J398" s="27" t="s">
        <v>90</v>
      </c>
      <c r="K398" s="27">
        <v>678</v>
      </c>
      <c r="L398" s="27">
        <v>623</v>
      </c>
      <c r="M398" s="27">
        <v>607</v>
      </c>
      <c r="N398" s="27">
        <v>16</v>
      </c>
      <c r="O398" s="27">
        <v>4</v>
      </c>
      <c r="P398" s="27">
        <v>21</v>
      </c>
      <c r="Q398" s="27" t="s">
        <v>97</v>
      </c>
      <c r="R398" s="27">
        <v>49</v>
      </c>
      <c r="S398" s="27">
        <v>53</v>
      </c>
      <c r="T398" s="29">
        <v>76.8</v>
      </c>
      <c r="U398" s="29">
        <v>1.82</v>
      </c>
      <c r="V398" s="29">
        <v>20.23</v>
      </c>
      <c r="W398" s="30">
        <v>14330.35</v>
      </c>
      <c r="X398" s="27">
        <v>7.42</v>
      </c>
      <c r="Y398" s="27" t="s">
        <v>66</v>
      </c>
      <c r="Z398" s="29">
        <v>17</v>
      </c>
      <c r="AA398" s="30">
        <v>23474.46</v>
      </c>
      <c r="AB398" s="29">
        <v>0.97431781701444597</v>
      </c>
      <c r="AC398" s="30">
        <v>17851.419999999998</v>
      </c>
      <c r="AD398" s="30">
        <v>92.008667736757602</v>
      </c>
      <c r="AE398" s="27">
        <v>553.70000000000005</v>
      </c>
      <c r="AF398" s="29">
        <v>0.96207332490518305</v>
      </c>
      <c r="AG398" s="30">
        <v>5531.0313322632401</v>
      </c>
      <c r="AH398" s="31">
        <f t="shared" si="97"/>
        <v>0.91887905604719766</v>
      </c>
      <c r="AI398" s="31">
        <f t="shared" si="98"/>
        <v>2.5682182985553772E-2</v>
      </c>
      <c r="AJ398" s="31">
        <f t="shared" si="99"/>
        <v>6.420545746388443E-3</v>
      </c>
      <c r="AK398" s="31">
        <f t="shared" si="100"/>
        <v>0.9743178170144462</v>
      </c>
      <c r="AL398" s="29">
        <f t="shared" si="101"/>
        <v>0.35</v>
      </c>
      <c r="AM398" s="29">
        <f t="shared" si="102"/>
        <v>532.70000000000005</v>
      </c>
      <c r="AN398" s="29">
        <f t="shared" si="103"/>
        <v>1.169513797634691</v>
      </c>
      <c r="AO398" s="29">
        <f t="shared" si="104"/>
        <v>1.2244897959183674</v>
      </c>
      <c r="AP398" s="31">
        <f t="shared" si="105"/>
        <v>0.95510293473499763</v>
      </c>
      <c r="AQ398" s="31">
        <f t="shared" si="106"/>
        <v>0.9743178170144462</v>
      </c>
      <c r="AR398" s="31">
        <f t="shared" si="107"/>
        <v>0.89528023598820017</v>
      </c>
      <c r="AS398" s="29">
        <f t="shared" si="108"/>
        <v>28.653964686998393</v>
      </c>
      <c r="AT398" s="29">
        <f t="shared" si="109"/>
        <v>8.8780599233759876</v>
      </c>
      <c r="AU398" s="27" t="str">
        <f t="shared" si="110"/>
        <v>Low</v>
      </c>
      <c r="AV398" s="27" t="str">
        <f t="shared" si="111"/>
        <v>Normal</v>
      </c>
      <c r="AW398" s="27"/>
    </row>
    <row r="399" spans="1:49" x14ac:dyDescent="0.25">
      <c r="A399" s="27">
        <v>398</v>
      </c>
      <c r="B399" s="28">
        <v>46129</v>
      </c>
      <c r="C399" s="28" t="str">
        <f t="shared" si="96"/>
        <v>April</v>
      </c>
      <c r="D399" s="27" t="s">
        <v>47</v>
      </c>
      <c r="E399" s="27" t="s">
        <v>48</v>
      </c>
      <c r="F399" s="27" t="s">
        <v>56</v>
      </c>
      <c r="G399" s="27" t="s">
        <v>50</v>
      </c>
      <c r="H399" s="27" t="s">
        <v>51</v>
      </c>
      <c r="I399" s="27" t="s">
        <v>522</v>
      </c>
      <c r="J399" s="27" t="s">
        <v>155</v>
      </c>
      <c r="K399" s="27">
        <v>882</v>
      </c>
      <c r="L399" s="27">
        <v>768</v>
      </c>
      <c r="M399" s="27">
        <v>721</v>
      </c>
      <c r="N399" s="27">
        <v>47</v>
      </c>
      <c r="O399" s="27">
        <v>17</v>
      </c>
      <c r="P399" s="27">
        <v>70</v>
      </c>
      <c r="Q399" s="27" t="s">
        <v>75</v>
      </c>
      <c r="R399" s="27">
        <v>42</v>
      </c>
      <c r="S399" s="27">
        <v>46</v>
      </c>
      <c r="T399" s="29">
        <v>74.5</v>
      </c>
      <c r="U399" s="29">
        <v>2.68</v>
      </c>
      <c r="V399" s="29">
        <v>30.08</v>
      </c>
      <c r="W399" s="30">
        <v>14440.34</v>
      </c>
      <c r="X399" s="27">
        <v>9.08</v>
      </c>
      <c r="Y399" s="27" t="s">
        <v>55</v>
      </c>
      <c r="Z399" s="29">
        <v>5</v>
      </c>
      <c r="AA399" s="30">
        <v>23631.5</v>
      </c>
      <c r="AB399" s="29">
        <v>0.93880208333333304</v>
      </c>
      <c r="AC399" s="30">
        <v>18797.060000000001</v>
      </c>
      <c r="AD399" s="30">
        <v>319.64294270833301</v>
      </c>
      <c r="AE399" s="27">
        <v>617.4</v>
      </c>
      <c r="AF399" s="29">
        <v>0.88662131519274401</v>
      </c>
      <c r="AG399" s="30">
        <v>4514.7970572916702</v>
      </c>
      <c r="AH399" s="31">
        <f t="shared" si="97"/>
        <v>0.87074829931972786</v>
      </c>
      <c r="AI399" s="31">
        <f t="shared" si="98"/>
        <v>6.1197916666666664E-2</v>
      </c>
      <c r="AJ399" s="31">
        <f t="shared" si="99"/>
        <v>2.2135416666666668E-2</v>
      </c>
      <c r="AK399" s="31">
        <f t="shared" si="100"/>
        <v>0.93880208333333337</v>
      </c>
      <c r="AL399" s="29">
        <f t="shared" si="101"/>
        <v>1.1666666666666667</v>
      </c>
      <c r="AM399" s="29">
        <f t="shared" si="102"/>
        <v>547.4</v>
      </c>
      <c r="AN399" s="29">
        <f t="shared" si="103"/>
        <v>1.4029959810010961</v>
      </c>
      <c r="AO399" s="29">
        <f t="shared" si="104"/>
        <v>1.4285714285714286</v>
      </c>
      <c r="AP399" s="31">
        <f t="shared" si="105"/>
        <v>0.98209718670076729</v>
      </c>
      <c r="AQ399" s="31">
        <f t="shared" si="106"/>
        <v>0.93880208333333337</v>
      </c>
      <c r="AR399" s="31">
        <f t="shared" si="107"/>
        <v>0.81746031746031778</v>
      </c>
      <c r="AS399" s="29">
        <f t="shared" si="108"/>
        <v>24.47533854166667</v>
      </c>
      <c r="AT399" s="29">
        <f t="shared" si="109"/>
        <v>5.8786420016818619</v>
      </c>
      <c r="AU399" s="27" t="str">
        <f t="shared" si="110"/>
        <v>Medium</v>
      </c>
      <c r="AV399" s="27" t="str">
        <f t="shared" si="111"/>
        <v>Warning</v>
      </c>
      <c r="AW399" s="27"/>
    </row>
    <row r="400" spans="1:49" x14ac:dyDescent="0.25">
      <c r="A400" s="27">
        <v>399</v>
      </c>
      <c r="B400" s="28">
        <v>46155</v>
      </c>
      <c r="C400" s="28" t="str">
        <f t="shared" si="96"/>
        <v>May</v>
      </c>
      <c r="D400" s="27" t="s">
        <v>47</v>
      </c>
      <c r="E400" s="27" t="s">
        <v>61</v>
      </c>
      <c r="F400" s="27" t="s">
        <v>88</v>
      </c>
      <c r="G400" s="27" t="s">
        <v>50</v>
      </c>
      <c r="H400" s="27" t="s">
        <v>57</v>
      </c>
      <c r="I400" s="27" t="s">
        <v>523</v>
      </c>
      <c r="J400" s="27" t="s">
        <v>81</v>
      </c>
      <c r="K400" s="27">
        <v>740</v>
      </c>
      <c r="L400" s="27">
        <v>807</v>
      </c>
      <c r="M400" s="27">
        <v>785</v>
      </c>
      <c r="N400" s="27">
        <v>22</v>
      </c>
      <c r="O400" s="27">
        <v>6</v>
      </c>
      <c r="P400" s="27">
        <v>0</v>
      </c>
      <c r="Q400" s="27" t="s">
        <v>60</v>
      </c>
      <c r="R400" s="27">
        <v>45</v>
      </c>
      <c r="S400" s="27">
        <v>47</v>
      </c>
      <c r="T400" s="29">
        <v>78.3</v>
      </c>
      <c r="U400" s="29">
        <v>2.3199999999999998</v>
      </c>
      <c r="V400" s="29">
        <v>29.19</v>
      </c>
      <c r="W400" s="30">
        <v>15606.12</v>
      </c>
      <c r="X400" s="27">
        <v>10.4</v>
      </c>
      <c r="Y400" s="27" t="s">
        <v>71</v>
      </c>
      <c r="Z400" s="29">
        <v>28</v>
      </c>
      <c r="AA400" s="30">
        <v>26780.61</v>
      </c>
      <c r="AB400" s="29">
        <v>0.97273853779429997</v>
      </c>
      <c r="AC400" s="30">
        <v>20548.830000000002</v>
      </c>
      <c r="AD400" s="30">
        <v>116.03063197026</v>
      </c>
      <c r="AE400" s="27">
        <v>555</v>
      </c>
      <c r="AF400" s="29">
        <v>1</v>
      </c>
      <c r="AG400" s="30">
        <v>6115.7493680297403</v>
      </c>
      <c r="AH400" s="31">
        <f t="shared" si="97"/>
        <v>1.0905405405405406</v>
      </c>
      <c r="AI400" s="31">
        <f t="shared" si="98"/>
        <v>2.7261462205700124E-2</v>
      </c>
      <c r="AJ400" s="31">
        <f t="shared" si="99"/>
        <v>7.4349442379182153E-3</v>
      </c>
      <c r="AK400" s="31">
        <f t="shared" si="100"/>
        <v>0.97273853779429986</v>
      </c>
      <c r="AL400" s="29">
        <f t="shared" si="101"/>
        <v>0</v>
      </c>
      <c r="AM400" s="29">
        <f t="shared" si="102"/>
        <v>555</v>
      </c>
      <c r="AN400" s="29">
        <f t="shared" si="103"/>
        <v>1.4540540540540541</v>
      </c>
      <c r="AO400" s="29">
        <f t="shared" si="104"/>
        <v>1.3333333333333333</v>
      </c>
      <c r="AP400" s="31">
        <f t="shared" si="105"/>
        <v>1.0905405405405406</v>
      </c>
      <c r="AQ400" s="31">
        <f t="shared" si="106"/>
        <v>0.97273853779429986</v>
      </c>
      <c r="AR400" s="31">
        <f t="shared" si="107"/>
        <v>1.060810810810811</v>
      </c>
      <c r="AS400" s="29">
        <f t="shared" si="108"/>
        <v>25.463234200743496</v>
      </c>
      <c r="AT400" s="29">
        <f t="shared" si="109"/>
        <v>7.5783759207307808</v>
      </c>
      <c r="AU400" s="27" t="str">
        <f t="shared" si="110"/>
        <v>High</v>
      </c>
      <c r="AV400" s="27" t="str">
        <f t="shared" si="111"/>
        <v>Normal</v>
      </c>
      <c r="AW400" s="27"/>
    </row>
    <row r="401" spans="1:49" x14ac:dyDescent="0.25">
      <c r="A401" s="27">
        <v>400</v>
      </c>
      <c r="B401" s="28">
        <v>46120</v>
      </c>
      <c r="C401" s="28" t="str">
        <f t="shared" si="96"/>
        <v>April</v>
      </c>
      <c r="D401" s="27" t="s">
        <v>47</v>
      </c>
      <c r="E401" s="27" t="s">
        <v>98</v>
      </c>
      <c r="F401" s="27" t="s">
        <v>99</v>
      </c>
      <c r="G401" s="27" t="s">
        <v>63</v>
      </c>
      <c r="H401" s="27" t="s">
        <v>57</v>
      </c>
      <c r="I401" s="27" t="s">
        <v>524</v>
      </c>
      <c r="J401" s="27" t="s">
        <v>134</v>
      </c>
      <c r="K401" s="27">
        <v>802</v>
      </c>
      <c r="L401" s="27">
        <v>777</v>
      </c>
      <c r="M401" s="27">
        <v>746</v>
      </c>
      <c r="N401" s="27">
        <v>31</v>
      </c>
      <c r="O401" s="27">
        <v>6</v>
      </c>
      <c r="P401" s="27">
        <v>22</v>
      </c>
      <c r="Q401" s="27" t="s">
        <v>82</v>
      </c>
      <c r="R401" s="27">
        <v>45</v>
      </c>
      <c r="S401" s="27">
        <v>48</v>
      </c>
      <c r="T401" s="29">
        <v>73.7</v>
      </c>
      <c r="U401" s="29">
        <v>1.64</v>
      </c>
      <c r="V401" s="29">
        <v>23.49</v>
      </c>
      <c r="W401" s="30">
        <v>15017.02</v>
      </c>
      <c r="X401" s="27">
        <v>10.119999999999999</v>
      </c>
      <c r="Y401" s="27" t="s">
        <v>71</v>
      </c>
      <c r="Z401" s="29">
        <v>21</v>
      </c>
      <c r="AA401" s="30">
        <v>25500.49</v>
      </c>
      <c r="AB401" s="29">
        <v>0.96010296010296003</v>
      </c>
      <c r="AC401" s="30">
        <v>19782.43</v>
      </c>
      <c r="AD401" s="30">
        <v>115.961544401544</v>
      </c>
      <c r="AE401" s="27">
        <v>601.5</v>
      </c>
      <c r="AF401" s="29">
        <v>0.96342477140482097</v>
      </c>
      <c r="AG401" s="30">
        <v>5602.0984555984596</v>
      </c>
      <c r="AH401" s="31">
        <f t="shared" si="97"/>
        <v>0.96882793017456359</v>
      </c>
      <c r="AI401" s="31">
        <f t="shared" si="98"/>
        <v>3.9897039897039896E-2</v>
      </c>
      <c r="AJ401" s="31">
        <f t="shared" si="99"/>
        <v>7.7220077220077222E-3</v>
      </c>
      <c r="AK401" s="31">
        <f t="shared" si="100"/>
        <v>0.96010296010296015</v>
      </c>
      <c r="AL401" s="29">
        <f t="shared" si="101"/>
        <v>0.36666666666666664</v>
      </c>
      <c r="AM401" s="29">
        <f t="shared" si="102"/>
        <v>579.5</v>
      </c>
      <c r="AN401" s="29">
        <f t="shared" si="103"/>
        <v>1.3408110440034513</v>
      </c>
      <c r="AO401" s="29">
        <f t="shared" si="104"/>
        <v>1.3333333333333333</v>
      </c>
      <c r="AP401" s="31">
        <f t="shared" si="105"/>
        <v>1.0056082830025885</v>
      </c>
      <c r="AQ401" s="31">
        <f t="shared" si="106"/>
        <v>0.96010296010296015</v>
      </c>
      <c r="AR401" s="31">
        <f t="shared" si="107"/>
        <v>0.93017456359102224</v>
      </c>
      <c r="AS401" s="29">
        <f t="shared" si="108"/>
        <v>25.460012870012871</v>
      </c>
      <c r="AT401" s="29">
        <f t="shared" si="109"/>
        <v>7.2099079222631399</v>
      </c>
      <c r="AU401" s="27" t="str">
        <f t="shared" si="110"/>
        <v>High</v>
      </c>
      <c r="AV401" s="27" t="str">
        <f t="shared" si="111"/>
        <v>Normal</v>
      </c>
      <c r="AW401" s="27"/>
    </row>
    <row r="402" spans="1:49" x14ac:dyDescent="0.25">
      <c r="A402" s="27">
        <v>401</v>
      </c>
      <c r="B402" s="28">
        <v>46175</v>
      </c>
      <c r="C402" s="28" t="str">
        <f t="shared" si="96"/>
        <v>June</v>
      </c>
      <c r="D402" s="27" t="s">
        <v>47</v>
      </c>
      <c r="E402" s="27" t="s">
        <v>48</v>
      </c>
      <c r="F402" s="27" t="s">
        <v>72</v>
      </c>
      <c r="G402" s="27" t="s">
        <v>50</v>
      </c>
      <c r="H402" s="27" t="s">
        <v>68</v>
      </c>
      <c r="I402" s="27" t="s">
        <v>525</v>
      </c>
      <c r="J402" s="27" t="s">
        <v>140</v>
      </c>
      <c r="K402" s="27">
        <v>469</v>
      </c>
      <c r="L402" s="27">
        <v>465</v>
      </c>
      <c r="M402" s="27">
        <v>444</v>
      </c>
      <c r="N402" s="27">
        <v>21</v>
      </c>
      <c r="O402" s="27">
        <v>6</v>
      </c>
      <c r="P402" s="27">
        <v>43</v>
      </c>
      <c r="Q402" s="27" t="s">
        <v>75</v>
      </c>
      <c r="R402" s="27">
        <v>64</v>
      </c>
      <c r="S402" s="27">
        <v>66</v>
      </c>
      <c r="T402" s="29">
        <v>72.3</v>
      </c>
      <c r="U402" s="29">
        <v>2.21</v>
      </c>
      <c r="V402" s="29">
        <v>17.98</v>
      </c>
      <c r="W402" s="30">
        <v>14948.73</v>
      </c>
      <c r="X402" s="27">
        <v>7.73</v>
      </c>
      <c r="Y402" s="27" t="s">
        <v>55</v>
      </c>
      <c r="Z402" s="29">
        <v>9</v>
      </c>
      <c r="AA402" s="30">
        <v>22642.880000000001</v>
      </c>
      <c r="AB402" s="29">
        <v>0.95483870967741902</v>
      </c>
      <c r="AC402" s="30">
        <v>18589.05</v>
      </c>
      <c r="AD402" s="30">
        <v>192.88683870967699</v>
      </c>
      <c r="AE402" s="27">
        <v>500.26666666666699</v>
      </c>
      <c r="AF402" s="29">
        <v>0.91404584221748397</v>
      </c>
      <c r="AG402" s="30">
        <v>3860.9431612903199</v>
      </c>
      <c r="AH402" s="31">
        <f t="shared" si="97"/>
        <v>0.99147121535181237</v>
      </c>
      <c r="AI402" s="31">
        <f t="shared" si="98"/>
        <v>4.5161290322580643E-2</v>
      </c>
      <c r="AJ402" s="31">
        <f t="shared" si="99"/>
        <v>1.2903225806451613E-2</v>
      </c>
      <c r="AK402" s="31">
        <f t="shared" si="100"/>
        <v>0.95483870967741935</v>
      </c>
      <c r="AL402" s="29">
        <f t="shared" si="101"/>
        <v>0.71666666666666667</v>
      </c>
      <c r="AM402" s="29">
        <f t="shared" si="102"/>
        <v>457.26666666666699</v>
      </c>
      <c r="AN402" s="29">
        <f t="shared" si="103"/>
        <v>1.016912086309957</v>
      </c>
      <c r="AO402" s="29">
        <f t="shared" si="104"/>
        <v>0.9375</v>
      </c>
      <c r="AP402" s="31">
        <f t="shared" si="105"/>
        <v>1.0847062253972874</v>
      </c>
      <c r="AQ402" s="31">
        <f t="shared" si="106"/>
        <v>0.95483870967741935</v>
      </c>
      <c r="AR402" s="31">
        <f t="shared" si="107"/>
        <v>0.9466950959488265</v>
      </c>
      <c r="AS402" s="29">
        <f t="shared" si="108"/>
        <v>39.976451612903226</v>
      </c>
      <c r="AT402" s="29">
        <f t="shared" si="109"/>
        <v>8.3031035726673554</v>
      </c>
      <c r="AU402" s="27" t="str">
        <f t="shared" si="110"/>
        <v>Low</v>
      </c>
      <c r="AV402" s="27" t="str">
        <f t="shared" si="111"/>
        <v>Normal</v>
      </c>
      <c r="AW402" s="27"/>
    </row>
    <row r="403" spans="1:49" x14ac:dyDescent="0.25">
      <c r="A403" s="27">
        <v>402</v>
      </c>
      <c r="B403" s="28">
        <v>46168</v>
      </c>
      <c r="C403" s="28" t="str">
        <f t="shared" si="96"/>
        <v>May</v>
      </c>
      <c r="D403" s="27" t="s">
        <v>47</v>
      </c>
      <c r="E403" s="27" t="s">
        <v>48</v>
      </c>
      <c r="F403" s="27" t="s">
        <v>56</v>
      </c>
      <c r="G403" s="27" t="s">
        <v>78</v>
      </c>
      <c r="H403" s="27" t="s">
        <v>124</v>
      </c>
      <c r="I403" s="27" t="s">
        <v>526</v>
      </c>
      <c r="J403" s="27" t="s">
        <v>128</v>
      </c>
      <c r="K403" s="27">
        <v>521</v>
      </c>
      <c r="L403" s="27">
        <v>373</v>
      </c>
      <c r="M403" s="27">
        <v>352</v>
      </c>
      <c r="N403" s="27">
        <v>21</v>
      </c>
      <c r="O403" s="27">
        <v>8</v>
      </c>
      <c r="P403" s="27">
        <v>19</v>
      </c>
      <c r="Q403" s="27" t="s">
        <v>54</v>
      </c>
      <c r="R403" s="27">
        <v>57</v>
      </c>
      <c r="S403" s="27">
        <v>57</v>
      </c>
      <c r="T403" s="29">
        <v>77.900000000000006</v>
      </c>
      <c r="U403" s="29">
        <v>2.15</v>
      </c>
      <c r="V403" s="29">
        <v>15</v>
      </c>
      <c r="W403" s="30">
        <v>10045.219999999999</v>
      </c>
      <c r="X403" s="27">
        <v>5.67</v>
      </c>
      <c r="Y403" s="27" t="s">
        <v>110</v>
      </c>
      <c r="Z403" s="29">
        <v>22</v>
      </c>
      <c r="AA403" s="30">
        <v>16619.32</v>
      </c>
      <c r="AB403" s="29">
        <v>0.943699731903485</v>
      </c>
      <c r="AC403" s="30">
        <v>12731.72</v>
      </c>
      <c r="AD403" s="30">
        <v>215.447077747989</v>
      </c>
      <c r="AE403" s="27">
        <v>494.95</v>
      </c>
      <c r="AF403" s="29">
        <v>0.96161228406909804</v>
      </c>
      <c r="AG403" s="30">
        <v>3672.1529222520098</v>
      </c>
      <c r="AH403" s="31">
        <f t="shared" si="97"/>
        <v>0.71593090211132437</v>
      </c>
      <c r="AI403" s="31">
        <f t="shared" si="98"/>
        <v>5.6300268096514748E-2</v>
      </c>
      <c r="AJ403" s="31">
        <f t="shared" si="99"/>
        <v>2.1447721179624665E-2</v>
      </c>
      <c r="AK403" s="31">
        <f t="shared" si="100"/>
        <v>0.94369973190348522</v>
      </c>
      <c r="AL403" s="29">
        <f t="shared" si="101"/>
        <v>0.31666666666666665</v>
      </c>
      <c r="AM403" s="29">
        <f t="shared" si="102"/>
        <v>475.95</v>
      </c>
      <c r="AN403" s="29">
        <f t="shared" si="103"/>
        <v>0.78369576636201288</v>
      </c>
      <c r="AO403" s="29">
        <f t="shared" si="104"/>
        <v>1.0526315789473684</v>
      </c>
      <c r="AP403" s="31">
        <f t="shared" si="105"/>
        <v>0.74451097804391231</v>
      </c>
      <c r="AQ403" s="31">
        <f t="shared" si="106"/>
        <v>0.94369973190348522</v>
      </c>
      <c r="AR403" s="31">
        <f t="shared" si="107"/>
        <v>0.67562380038387737</v>
      </c>
      <c r="AS403" s="29">
        <f t="shared" si="108"/>
        <v>34.133297587131366</v>
      </c>
      <c r="AT403" s="29">
        <f t="shared" si="109"/>
        <v>9.8449140006756295</v>
      </c>
      <c r="AU403" s="27" t="str">
        <f t="shared" si="110"/>
        <v>High</v>
      </c>
      <c r="AV403" s="27" t="str">
        <f t="shared" si="111"/>
        <v>Critical</v>
      </c>
      <c r="AW403" s="27"/>
    </row>
    <row r="404" spans="1:49" x14ac:dyDescent="0.25">
      <c r="A404" s="27">
        <v>403</v>
      </c>
      <c r="B404" s="28">
        <v>46091</v>
      </c>
      <c r="C404" s="28" t="str">
        <f t="shared" si="96"/>
        <v>March</v>
      </c>
      <c r="D404" s="27" t="s">
        <v>67</v>
      </c>
      <c r="E404" s="27" t="s">
        <v>61</v>
      </c>
      <c r="F404" s="27" t="s">
        <v>88</v>
      </c>
      <c r="G404" s="27" t="s">
        <v>78</v>
      </c>
      <c r="H404" s="27" t="s">
        <v>79</v>
      </c>
      <c r="I404" s="27" t="s">
        <v>527</v>
      </c>
      <c r="J404" s="27" t="s">
        <v>143</v>
      </c>
      <c r="K404" s="27">
        <v>859</v>
      </c>
      <c r="L404" s="27">
        <v>837</v>
      </c>
      <c r="M404" s="27">
        <v>803</v>
      </c>
      <c r="N404" s="27">
        <v>34</v>
      </c>
      <c r="O404" s="27">
        <v>11</v>
      </c>
      <c r="P404" s="27">
        <v>20</v>
      </c>
      <c r="Q404" s="27" t="s">
        <v>75</v>
      </c>
      <c r="R404" s="27">
        <v>49</v>
      </c>
      <c r="S404" s="27">
        <v>50</v>
      </c>
      <c r="T404" s="29">
        <v>78.7</v>
      </c>
      <c r="U404" s="29">
        <v>2.31</v>
      </c>
      <c r="V404" s="29">
        <v>32.72</v>
      </c>
      <c r="W404" s="30">
        <v>19063.87</v>
      </c>
      <c r="X404" s="27">
        <v>10.08</v>
      </c>
      <c r="Y404" s="27" t="s">
        <v>55</v>
      </c>
      <c r="Z404" s="29">
        <v>9</v>
      </c>
      <c r="AA404" s="30">
        <v>31214.95</v>
      </c>
      <c r="AB404" s="29">
        <v>0.95937873357228198</v>
      </c>
      <c r="AC404" s="30">
        <v>23894.35</v>
      </c>
      <c r="AD404" s="30">
        <v>250.54070489844699</v>
      </c>
      <c r="AE404" s="27">
        <v>701.51666666666699</v>
      </c>
      <c r="AF404" s="29">
        <v>0.97149034235347198</v>
      </c>
      <c r="AG404" s="30">
        <v>7070.0592951015597</v>
      </c>
      <c r="AH404" s="31">
        <f t="shared" si="97"/>
        <v>0.97438882421420259</v>
      </c>
      <c r="AI404" s="31">
        <f t="shared" si="98"/>
        <v>4.0621266427718038E-2</v>
      </c>
      <c r="AJ404" s="31">
        <f t="shared" si="99"/>
        <v>1.3142174432497013E-2</v>
      </c>
      <c r="AK404" s="31">
        <f t="shared" si="100"/>
        <v>0.95937873357228198</v>
      </c>
      <c r="AL404" s="29">
        <f t="shared" si="101"/>
        <v>0.33333333333333331</v>
      </c>
      <c r="AM404" s="29">
        <f t="shared" si="102"/>
        <v>681.51666666666699</v>
      </c>
      <c r="AN404" s="29">
        <f t="shared" si="103"/>
        <v>1.2281431121762729</v>
      </c>
      <c r="AO404" s="29">
        <f t="shared" si="104"/>
        <v>1.2244897959183674</v>
      </c>
      <c r="AP404" s="31">
        <f t="shared" si="105"/>
        <v>1.0029835416106228</v>
      </c>
      <c r="AQ404" s="31">
        <f t="shared" si="106"/>
        <v>0.95937873357228198</v>
      </c>
      <c r="AR404" s="31">
        <f t="shared" si="107"/>
        <v>0.93480791618160575</v>
      </c>
      <c r="AS404" s="29">
        <f t="shared" si="108"/>
        <v>28.547610513739546</v>
      </c>
      <c r="AT404" s="29">
        <f t="shared" si="109"/>
        <v>8.4469047731201421</v>
      </c>
      <c r="AU404" s="27" t="str">
        <f t="shared" si="110"/>
        <v>Low</v>
      </c>
      <c r="AV404" s="27" t="str">
        <f t="shared" si="111"/>
        <v>Normal</v>
      </c>
      <c r="AW404" s="27"/>
    </row>
    <row r="405" spans="1:49" x14ac:dyDescent="0.25">
      <c r="A405" s="27">
        <v>404</v>
      </c>
      <c r="B405" s="28">
        <v>46131</v>
      </c>
      <c r="C405" s="28" t="str">
        <f t="shared" si="96"/>
        <v>April</v>
      </c>
      <c r="D405" s="27" t="s">
        <v>67</v>
      </c>
      <c r="E405" s="27" t="s">
        <v>129</v>
      </c>
      <c r="F405" s="27" t="s">
        <v>130</v>
      </c>
      <c r="G405" s="27" t="s">
        <v>50</v>
      </c>
      <c r="H405" s="27" t="s">
        <v>79</v>
      </c>
      <c r="I405" s="27" t="s">
        <v>528</v>
      </c>
      <c r="J405" s="27" t="s">
        <v>138</v>
      </c>
      <c r="K405" s="27">
        <v>800</v>
      </c>
      <c r="L405" s="27">
        <v>673</v>
      </c>
      <c r="M405" s="27">
        <v>583</v>
      </c>
      <c r="N405" s="27">
        <v>90</v>
      </c>
      <c r="O405" s="27">
        <v>25</v>
      </c>
      <c r="P405" s="27">
        <v>43</v>
      </c>
      <c r="Q405" s="27" t="s">
        <v>97</v>
      </c>
      <c r="R405" s="27">
        <v>49</v>
      </c>
      <c r="S405" s="27">
        <v>51</v>
      </c>
      <c r="T405" s="29">
        <v>73.599999999999994</v>
      </c>
      <c r="U405" s="29">
        <v>3.86</v>
      </c>
      <c r="V405" s="29">
        <v>22.74</v>
      </c>
      <c r="W405" s="30">
        <v>14680.54</v>
      </c>
      <c r="X405" s="27">
        <v>6.57</v>
      </c>
      <c r="Y405" s="27" t="s">
        <v>66</v>
      </c>
      <c r="Z405" s="29">
        <v>42</v>
      </c>
      <c r="AA405" s="30">
        <v>21775.41</v>
      </c>
      <c r="AB405" s="29">
        <v>0.866270430906389</v>
      </c>
      <c r="AC405" s="30">
        <v>17841.7</v>
      </c>
      <c r="AD405" s="30">
        <v>545.33952451708797</v>
      </c>
      <c r="AE405" s="27">
        <v>653.33333333333303</v>
      </c>
      <c r="AF405" s="29">
        <v>0.93418367346938802</v>
      </c>
      <c r="AG405" s="30">
        <v>3388.37047548291</v>
      </c>
      <c r="AH405" s="31">
        <f t="shared" si="97"/>
        <v>0.84125000000000005</v>
      </c>
      <c r="AI405" s="31">
        <f t="shared" si="98"/>
        <v>0.1337295690936107</v>
      </c>
      <c r="AJ405" s="31">
        <f t="shared" si="99"/>
        <v>3.7147102526002972E-2</v>
      </c>
      <c r="AK405" s="31">
        <f t="shared" si="100"/>
        <v>0.86627043090638933</v>
      </c>
      <c r="AL405" s="29">
        <f t="shared" si="101"/>
        <v>0.71666666666666667</v>
      </c>
      <c r="AM405" s="29">
        <f t="shared" si="102"/>
        <v>610.33333333333303</v>
      </c>
      <c r="AN405" s="29">
        <f t="shared" si="103"/>
        <v>1.1026761332605139</v>
      </c>
      <c r="AO405" s="29">
        <f t="shared" si="104"/>
        <v>1.2244897959183674</v>
      </c>
      <c r="AP405" s="31">
        <f t="shared" si="105"/>
        <v>0.90051884216275302</v>
      </c>
      <c r="AQ405" s="31">
        <f t="shared" si="106"/>
        <v>0.86627043090638933</v>
      </c>
      <c r="AR405" s="31">
        <f t="shared" si="107"/>
        <v>0.72875000000000056</v>
      </c>
      <c r="AS405" s="29">
        <f t="shared" si="108"/>
        <v>26.510698365527489</v>
      </c>
      <c r="AT405" s="29">
        <f t="shared" si="109"/>
        <v>5.0347258179538041</v>
      </c>
      <c r="AU405" s="27" t="str">
        <f t="shared" si="110"/>
        <v>High</v>
      </c>
      <c r="AV405" s="27" t="str">
        <f t="shared" si="111"/>
        <v>Critical</v>
      </c>
      <c r="AW405" s="27"/>
    </row>
    <row r="406" spans="1:49" x14ac:dyDescent="0.25">
      <c r="A406" s="27">
        <v>405</v>
      </c>
      <c r="B406" s="28">
        <v>46118</v>
      </c>
      <c r="C406" s="28" t="str">
        <f t="shared" si="96"/>
        <v>April</v>
      </c>
      <c r="D406" s="27" t="s">
        <v>67</v>
      </c>
      <c r="E406" s="27" t="s">
        <v>98</v>
      </c>
      <c r="F406" s="27" t="s">
        <v>99</v>
      </c>
      <c r="G406" s="27" t="s">
        <v>50</v>
      </c>
      <c r="H406" s="27" t="s">
        <v>79</v>
      </c>
      <c r="I406" s="27" t="s">
        <v>529</v>
      </c>
      <c r="J406" s="27" t="s">
        <v>132</v>
      </c>
      <c r="K406" s="27">
        <v>788</v>
      </c>
      <c r="L406" s="27">
        <v>727</v>
      </c>
      <c r="M406" s="27">
        <v>692</v>
      </c>
      <c r="N406" s="27">
        <v>35</v>
      </c>
      <c r="O406" s="27">
        <v>14</v>
      </c>
      <c r="P406" s="27">
        <v>15</v>
      </c>
      <c r="Q406" s="27" t="s">
        <v>54</v>
      </c>
      <c r="R406" s="27">
        <v>49</v>
      </c>
      <c r="S406" s="27">
        <v>47</v>
      </c>
      <c r="T406" s="29">
        <v>75.400000000000006</v>
      </c>
      <c r="U406" s="29">
        <v>2.17</v>
      </c>
      <c r="V406" s="29">
        <v>28.91</v>
      </c>
      <c r="W406" s="30">
        <v>16135.93</v>
      </c>
      <c r="X406" s="27">
        <v>8.61</v>
      </c>
      <c r="Y406" s="27" t="s">
        <v>66</v>
      </c>
      <c r="Z406" s="29">
        <v>14</v>
      </c>
      <c r="AA406" s="30">
        <v>26193.77</v>
      </c>
      <c r="AB406" s="29">
        <v>0.95185694635488305</v>
      </c>
      <c r="AC406" s="30">
        <v>20270.62</v>
      </c>
      <c r="AD406" s="30">
        <v>310.73317744154099</v>
      </c>
      <c r="AE406" s="27">
        <v>643.53333333333296</v>
      </c>
      <c r="AF406" s="29">
        <v>0.97669118408784805</v>
      </c>
      <c r="AG406" s="30">
        <v>5612.4168225584599</v>
      </c>
      <c r="AH406" s="31">
        <f t="shared" si="97"/>
        <v>0.92258883248730961</v>
      </c>
      <c r="AI406" s="31">
        <f t="shared" si="98"/>
        <v>4.8143053645116916E-2</v>
      </c>
      <c r="AJ406" s="31">
        <f t="shared" si="99"/>
        <v>1.9257221458046769E-2</v>
      </c>
      <c r="AK406" s="31">
        <f t="shared" si="100"/>
        <v>0.95185694635488305</v>
      </c>
      <c r="AL406" s="29">
        <f t="shared" si="101"/>
        <v>0.25</v>
      </c>
      <c r="AM406" s="29">
        <f t="shared" si="102"/>
        <v>628.53333333333296</v>
      </c>
      <c r="AN406" s="29">
        <f t="shared" si="103"/>
        <v>1.1566610097581678</v>
      </c>
      <c r="AO406" s="29">
        <f t="shared" si="104"/>
        <v>1.2244897959183674</v>
      </c>
      <c r="AP406" s="31">
        <f t="shared" si="105"/>
        <v>0.94460649130250363</v>
      </c>
      <c r="AQ406" s="31">
        <f t="shared" si="106"/>
        <v>0.95185694635488305</v>
      </c>
      <c r="AR406" s="31">
        <f t="shared" si="107"/>
        <v>0.8781725888324875</v>
      </c>
      <c r="AS406" s="29">
        <f t="shared" si="108"/>
        <v>27.882558459422281</v>
      </c>
      <c r="AT406" s="29">
        <f t="shared" si="109"/>
        <v>7.7199681190625311</v>
      </c>
      <c r="AU406" s="27" t="str">
        <f t="shared" si="110"/>
        <v>Low</v>
      </c>
      <c r="AV406" s="27" t="str">
        <f t="shared" si="111"/>
        <v>Normal</v>
      </c>
      <c r="AW406" s="27"/>
    </row>
    <row r="407" spans="1:49" x14ac:dyDescent="0.25">
      <c r="A407" s="27">
        <v>406</v>
      </c>
      <c r="B407" s="28">
        <v>46104</v>
      </c>
      <c r="C407" s="28" t="str">
        <f t="shared" si="96"/>
        <v>March</v>
      </c>
      <c r="D407" s="27" t="s">
        <v>47</v>
      </c>
      <c r="E407" s="27" t="s">
        <v>98</v>
      </c>
      <c r="F407" s="27" t="s">
        <v>105</v>
      </c>
      <c r="G407" s="27" t="s">
        <v>78</v>
      </c>
      <c r="H407" s="27" t="s">
        <v>124</v>
      </c>
      <c r="I407" s="27" t="s">
        <v>530</v>
      </c>
      <c r="J407" s="27" t="s">
        <v>109</v>
      </c>
      <c r="K407" s="27">
        <v>627</v>
      </c>
      <c r="L407" s="27">
        <v>523</v>
      </c>
      <c r="M407" s="27">
        <v>482</v>
      </c>
      <c r="N407" s="27">
        <v>41</v>
      </c>
      <c r="O407" s="27">
        <v>13</v>
      </c>
      <c r="P407" s="27">
        <v>8</v>
      </c>
      <c r="Q407" s="27" t="s">
        <v>102</v>
      </c>
      <c r="R407" s="27">
        <v>57</v>
      </c>
      <c r="S407" s="27">
        <v>58</v>
      </c>
      <c r="T407" s="29">
        <v>72.900000000000006</v>
      </c>
      <c r="U407" s="29">
        <v>2.1</v>
      </c>
      <c r="V407" s="29">
        <v>15.1</v>
      </c>
      <c r="W407" s="30">
        <v>13745.74</v>
      </c>
      <c r="X407" s="27">
        <v>8.67</v>
      </c>
      <c r="Y407" s="27" t="s">
        <v>55</v>
      </c>
      <c r="Z407" s="29">
        <v>39</v>
      </c>
      <c r="AA407" s="30">
        <v>22216.52</v>
      </c>
      <c r="AB407" s="29">
        <v>0.92160611854684504</v>
      </c>
      <c r="AC407" s="30">
        <v>17783.14</v>
      </c>
      <c r="AD407" s="30">
        <v>341.672313575526</v>
      </c>
      <c r="AE407" s="27">
        <v>595.65</v>
      </c>
      <c r="AF407" s="29">
        <v>0.98656929404851901</v>
      </c>
      <c r="AG407" s="30">
        <v>4091.70768642448</v>
      </c>
      <c r="AH407" s="31">
        <f t="shared" si="97"/>
        <v>0.8341307814992025</v>
      </c>
      <c r="AI407" s="31">
        <f t="shared" si="98"/>
        <v>7.8393881453154873E-2</v>
      </c>
      <c r="AJ407" s="31">
        <f t="shared" si="99"/>
        <v>2.4856596558317401E-2</v>
      </c>
      <c r="AK407" s="31">
        <f t="shared" si="100"/>
        <v>0.92160611854684515</v>
      </c>
      <c r="AL407" s="29">
        <f t="shared" si="101"/>
        <v>0.13333333333333333</v>
      </c>
      <c r="AM407" s="29">
        <f t="shared" si="102"/>
        <v>587.65</v>
      </c>
      <c r="AN407" s="29">
        <f t="shared" si="103"/>
        <v>0.88998553560792992</v>
      </c>
      <c r="AO407" s="29">
        <f t="shared" si="104"/>
        <v>1.0526315789473684</v>
      </c>
      <c r="AP407" s="31">
        <f t="shared" si="105"/>
        <v>0.84548625882753348</v>
      </c>
      <c r="AQ407" s="31">
        <f t="shared" si="106"/>
        <v>0.92160611854684515</v>
      </c>
      <c r="AR407" s="31">
        <f t="shared" si="107"/>
        <v>0.76874003189792728</v>
      </c>
      <c r="AS407" s="29">
        <f t="shared" si="108"/>
        <v>34.002179732313571</v>
      </c>
      <c r="AT407" s="29">
        <f t="shared" si="109"/>
        <v>7.823532861232275</v>
      </c>
      <c r="AU407" s="27" t="str">
        <f t="shared" si="110"/>
        <v>High</v>
      </c>
      <c r="AV407" s="27" t="str">
        <f t="shared" si="111"/>
        <v>Warning</v>
      </c>
      <c r="AW407" s="27"/>
    </row>
    <row r="408" spans="1:49" x14ac:dyDescent="0.25">
      <c r="A408" s="27">
        <v>407</v>
      </c>
      <c r="B408" s="28">
        <v>46158</v>
      </c>
      <c r="C408" s="28" t="str">
        <f t="shared" si="96"/>
        <v>May</v>
      </c>
      <c r="D408" s="27" t="s">
        <v>47</v>
      </c>
      <c r="E408" s="27" t="s">
        <v>129</v>
      </c>
      <c r="F408" s="27" t="s">
        <v>130</v>
      </c>
      <c r="G408" s="27" t="s">
        <v>50</v>
      </c>
      <c r="H408" s="27" t="s">
        <v>79</v>
      </c>
      <c r="I408" s="27" t="s">
        <v>531</v>
      </c>
      <c r="J408" s="27" t="s">
        <v>107</v>
      </c>
      <c r="K408" s="27">
        <v>774</v>
      </c>
      <c r="L408" s="27">
        <v>669</v>
      </c>
      <c r="M408" s="27">
        <v>549</v>
      </c>
      <c r="N408" s="27">
        <v>120</v>
      </c>
      <c r="O408" s="27">
        <v>45</v>
      </c>
      <c r="P408" s="27">
        <v>22</v>
      </c>
      <c r="Q408" s="27" t="s">
        <v>94</v>
      </c>
      <c r="R408" s="27">
        <v>49</v>
      </c>
      <c r="S408" s="27">
        <v>49</v>
      </c>
      <c r="T408" s="29">
        <v>100</v>
      </c>
      <c r="U408" s="29">
        <v>3.1</v>
      </c>
      <c r="V408" s="29">
        <v>21.58</v>
      </c>
      <c r="W408" s="30">
        <v>15356.27</v>
      </c>
      <c r="X408" s="27">
        <v>8.2899999999999991</v>
      </c>
      <c r="Y408" s="27" t="s">
        <v>66</v>
      </c>
      <c r="Z408" s="29">
        <v>46</v>
      </c>
      <c r="AA408" s="30">
        <v>20346.310000000001</v>
      </c>
      <c r="AB408" s="29">
        <v>0.820627802690583</v>
      </c>
      <c r="AC408" s="30">
        <v>19280.990000000002</v>
      </c>
      <c r="AD408" s="30">
        <v>1032.9329596412599</v>
      </c>
      <c r="AE408" s="27">
        <v>632.1</v>
      </c>
      <c r="AF408" s="29">
        <v>0.96519538047777298</v>
      </c>
      <c r="AG408" s="30">
        <v>32.387040358744102</v>
      </c>
      <c r="AH408" s="31">
        <f t="shared" si="97"/>
        <v>0.86434108527131781</v>
      </c>
      <c r="AI408" s="31">
        <f t="shared" si="98"/>
        <v>0.17937219730941703</v>
      </c>
      <c r="AJ408" s="31">
        <f t="shared" si="99"/>
        <v>6.726457399103139E-2</v>
      </c>
      <c r="AK408" s="31">
        <f t="shared" si="100"/>
        <v>0.820627802690583</v>
      </c>
      <c r="AL408" s="29">
        <f t="shared" si="101"/>
        <v>0.36666666666666664</v>
      </c>
      <c r="AM408" s="29">
        <f t="shared" si="102"/>
        <v>610.1</v>
      </c>
      <c r="AN408" s="29">
        <f t="shared" si="103"/>
        <v>1.096541550565481</v>
      </c>
      <c r="AO408" s="29">
        <f t="shared" si="104"/>
        <v>1.2244897959183674</v>
      </c>
      <c r="AP408" s="31">
        <f t="shared" si="105"/>
        <v>0.89550893296180945</v>
      </c>
      <c r="AQ408" s="31">
        <f t="shared" si="106"/>
        <v>0.820627802690583</v>
      </c>
      <c r="AR408" s="31">
        <f t="shared" si="107"/>
        <v>0.70930232558139561</v>
      </c>
      <c r="AS408" s="29">
        <f t="shared" si="108"/>
        <v>28.820612855007475</v>
      </c>
      <c r="AT408" s="29">
        <f t="shared" si="109"/>
        <v>4.8411121612472498E-2</v>
      </c>
      <c r="AU408" s="27" t="str">
        <f t="shared" si="110"/>
        <v>High</v>
      </c>
      <c r="AV408" s="27" t="str">
        <f t="shared" si="111"/>
        <v>Critical</v>
      </c>
      <c r="AW408" s="27"/>
    </row>
    <row r="409" spans="1:49" x14ac:dyDescent="0.25">
      <c r="A409" s="27">
        <v>408</v>
      </c>
      <c r="B409" s="28">
        <v>46117</v>
      </c>
      <c r="C409" s="28" t="str">
        <f t="shared" si="96"/>
        <v>April</v>
      </c>
      <c r="D409" s="27" t="s">
        <v>47</v>
      </c>
      <c r="E409" s="27" t="s">
        <v>48</v>
      </c>
      <c r="F409" s="27" t="s">
        <v>56</v>
      </c>
      <c r="G409" s="27" t="s">
        <v>78</v>
      </c>
      <c r="H409" s="27" t="s">
        <v>51</v>
      </c>
      <c r="I409" s="27" t="s">
        <v>532</v>
      </c>
      <c r="J409" s="27" t="s">
        <v>150</v>
      </c>
      <c r="K409" s="27">
        <v>875</v>
      </c>
      <c r="L409" s="27">
        <v>768</v>
      </c>
      <c r="M409" s="27">
        <v>721</v>
      </c>
      <c r="N409" s="27">
        <v>47</v>
      </c>
      <c r="O409" s="27">
        <v>10</v>
      </c>
      <c r="P409" s="27">
        <v>11</v>
      </c>
      <c r="Q409" s="27" t="s">
        <v>82</v>
      </c>
      <c r="R409" s="27">
        <v>42</v>
      </c>
      <c r="S409" s="27">
        <v>43</v>
      </c>
      <c r="T409" s="29">
        <v>73.3</v>
      </c>
      <c r="U409" s="29">
        <v>2.29</v>
      </c>
      <c r="V409" s="29">
        <v>30.83</v>
      </c>
      <c r="W409" s="30">
        <v>14869.18</v>
      </c>
      <c r="X409" s="27">
        <v>9.1199999999999992</v>
      </c>
      <c r="Y409" s="27" t="s">
        <v>66</v>
      </c>
      <c r="Z409" s="29">
        <v>24</v>
      </c>
      <c r="AA409" s="30">
        <v>22998.33</v>
      </c>
      <c r="AB409" s="29">
        <v>0.93880208333333304</v>
      </c>
      <c r="AC409" s="30">
        <v>19250.650000000001</v>
      </c>
      <c r="AD409" s="30">
        <v>193.609114583333</v>
      </c>
      <c r="AE409" s="27">
        <v>612.5</v>
      </c>
      <c r="AF409" s="29">
        <v>0.98204081632653095</v>
      </c>
      <c r="AG409" s="30">
        <v>3554.0708854166701</v>
      </c>
      <c r="AH409" s="31">
        <f t="shared" si="97"/>
        <v>0.87771428571428567</v>
      </c>
      <c r="AI409" s="31">
        <f t="shared" si="98"/>
        <v>6.1197916666666664E-2</v>
      </c>
      <c r="AJ409" s="31">
        <f t="shared" si="99"/>
        <v>1.3020833333333334E-2</v>
      </c>
      <c r="AK409" s="31">
        <f t="shared" si="100"/>
        <v>0.93880208333333337</v>
      </c>
      <c r="AL409" s="29">
        <f t="shared" si="101"/>
        <v>0.18333333333333332</v>
      </c>
      <c r="AM409" s="29">
        <f t="shared" si="102"/>
        <v>601.5</v>
      </c>
      <c r="AN409" s="29">
        <f t="shared" si="103"/>
        <v>1.2768079800498753</v>
      </c>
      <c r="AO409" s="29">
        <f t="shared" si="104"/>
        <v>1.4285714285714286</v>
      </c>
      <c r="AP409" s="31">
        <f t="shared" si="105"/>
        <v>0.89376558603491263</v>
      </c>
      <c r="AQ409" s="31">
        <f t="shared" si="106"/>
        <v>0.93880208333333337</v>
      </c>
      <c r="AR409" s="31">
        <f t="shared" si="107"/>
        <v>0.82400000000000018</v>
      </c>
      <c r="AS409" s="29">
        <f t="shared" si="108"/>
        <v>25.065950520833336</v>
      </c>
      <c r="AT409" s="29">
        <f t="shared" si="109"/>
        <v>4.6276964653862889</v>
      </c>
      <c r="AU409" s="27" t="str">
        <f t="shared" si="110"/>
        <v>Medium</v>
      </c>
      <c r="AV409" s="27" t="str">
        <f t="shared" si="111"/>
        <v>Warning</v>
      </c>
      <c r="AW409" s="27"/>
    </row>
    <row r="410" spans="1:49" x14ac:dyDescent="0.25">
      <c r="A410" s="27">
        <v>409</v>
      </c>
      <c r="B410" s="28">
        <v>46054</v>
      </c>
      <c r="C410" s="28" t="str">
        <f t="shared" si="96"/>
        <v>February</v>
      </c>
      <c r="D410" s="27" t="s">
        <v>47</v>
      </c>
      <c r="E410" s="27" t="s">
        <v>76</v>
      </c>
      <c r="F410" s="27" t="s">
        <v>119</v>
      </c>
      <c r="G410" s="27" t="s">
        <v>63</v>
      </c>
      <c r="H410" s="27" t="s">
        <v>68</v>
      </c>
      <c r="I410" s="27" t="s">
        <v>533</v>
      </c>
      <c r="J410" s="27" t="s">
        <v>70</v>
      </c>
      <c r="K410" s="27">
        <v>647</v>
      </c>
      <c r="L410" s="27">
        <v>646</v>
      </c>
      <c r="M410" s="27">
        <v>585</v>
      </c>
      <c r="N410" s="27">
        <v>61</v>
      </c>
      <c r="O410" s="27">
        <v>25</v>
      </c>
      <c r="P410" s="27">
        <v>37</v>
      </c>
      <c r="Q410" s="27" t="s">
        <v>54</v>
      </c>
      <c r="R410" s="27">
        <v>64</v>
      </c>
      <c r="S410" s="27">
        <v>69</v>
      </c>
      <c r="T410" s="29">
        <v>66.7</v>
      </c>
      <c r="U410" s="29">
        <v>2.12</v>
      </c>
      <c r="V410" s="29">
        <v>19.91</v>
      </c>
      <c r="W410" s="30">
        <v>19343.84</v>
      </c>
      <c r="X410" s="27">
        <v>9.89</v>
      </c>
      <c r="Y410" s="27" t="s">
        <v>55</v>
      </c>
      <c r="Z410" s="29">
        <v>25</v>
      </c>
      <c r="AA410" s="30">
        <v>29698.2</v>
      </c>
      <c r="AB410" s="29">
        <v>0.90557275541795701</v>
      </c>
      <c r="AC410" s="30">
        <v>23973.53</v>
      </c>
      <c r="AD410" s="30">
        <v>748.60061919504597</v>
      </c>
      <c r="AE410" s="27">
        <v>690.13333333333298</v>
      </c>
      <c r="AF410" s="29">
        <v>0.94638717156105101</v>
      </c>
      <c r="AG410" s="30">
        <v>4976.06938080496</v>
      </c>
      <c r="AH410" s="31">
        <f t="shared" si="97"/>
        <v>0.99845440494590421</v>
      </c>
      <c r="AI410" s="31">
        <f t="shared" si="98"/>
        <v>9.4427244582043338E-2</v>
      </c>
      <c r="AJ410" s="31">
        <f t="shared" si="99"/>
        <v>3.8699690402476783E-2</v>
      </c>
      <c r="AK410" s="31">
        <f t="shared" si="100"/>
        <v>0.90557275541795668</v>
      </c>
      <c r="AL410" s="29">
        <f t="shared" si="101"/>
        <v>0.6166666666666667</v>
      </c>
      <c r="AM410" s="29">
        <f t="shared" si="102"/>
        <v>653.13333333333298</v>
      </c>
      <c r="AN410" s="29">
        <f t="shared" si="103"/>
        <v>0.98907828927222674</v>
      </c>
      <c r="AO410" s="29">
        <f t="shared" si="104"/>
        <v>0.9375</v>
      </c>
      <c r="AP410" s="31">
        <f t="shared" si="105"/>
        <v>1.0550168418903751</v>
      </c>
      <c r="AQ410" s="31">
        <f t="shared" si="106"/>
        <v>0.90557275541795668</v>
      </c>
      <c r="AR410" s="31">
        <f t="shared" si="107"/>
        <v>0.90417310664605921</v>
      </c>
      <c r="AS410" s="29">
        <f t="shared" si="108"/>
        <v>37.110727554179562</v>
      </c>
      <c r="AT410" s="29">
        <f t="shared" si="109"/>
        <v>7.7028937783358513</v>
      </c>
      <c r="AU410" s="27" t="str">
        <f t="shared" si="110"/>
        <v>Medium</v>
      </c>
      <c r="AV410" s="27" t="str">
        <f t="shared" si="111"/>
        <v>Warning</v>
      </c>
      <c r="AW410" s="27"/>
    </row>
    <row r="411" spans="1:49" x14ac:dyDescent="0.25">
      <c r="A411" s="27">
        <v>410</v>
      </c>
      <c r="B411" s="28">
        <v>46076</v>
      </c>
      <c r="C411" s="28" t="str">
        <f t="shared" si="96"/>
        <v>February</v>
      </c>
      <c r="D411" s="27" t="s">
        <v>67</v>
      </c>
      <c r="E411" s="27" t="s">
        <v>129</v>
      </c>
      <c r="F411" s="27" t="s">
        <v>130</v>
      </c>
      <c r="G411" s="27" t="s">
        <v>63</v>
      </c>
      <c r="H411" s="27" t="s">
        <v>51</v>
      </c>
      <c r="I411" s="27" t="s">
        <v>534</v>
      </c>
      <c r="J411" s="27" t="s">
        <v>81</v>
      </c>
      <c r="K411" s="27">
        <v>774</v>
      </c>
      <c r="L411" s="27">
        <v>701</v>
      </c>
      <c r="M411" s="27">
        <v>607</v>
      </c>
      <c r="N411" s="27">
        <v>94</v>
      </c>
      <c r="O411" s="27">
        <v>30</v>
      </c>
      <c r="P411" s="27">
        <v>41</v>
      </c>
      <c r="Q411" s="27" t="s">
        <v>102</v>
      </c>
      <c r="R411" s="27">
        <v>42</v>
      </c>
      <c r="S411" s="27">
        <v>43</v>
      </c>
      <c r="T411" s="29">
        <v>75.599999999999994</v>
      </c>
      <c r="U411" s="29">
        <v>3.4</v>
      </c>
      <c r="V411" s="29">
        <v>22.75</v>
      </c>
      <c r="W411" s="30">
        <v>12357.18</v>
      </c>
      <c r="X411" s="27">
        <v>6.85</v>
      </c>
      <c r="Y411" s="27" t="s">
        <v>55</v>
      </c>
      <c r="Z411" s="29">
        <v>27</v>
      </c>
      <c r="AA411" s="30">
        <v>19378.37</v>
      </c>
      <c r="AB411" s="29">
        <v>0.86590584878744703</v>
      </c>
      <c r="AC411" s="30">
        <v>15644.43</v>
      </c>
      <c r="AD411" s="30">
        <v>528.83794579172604</v>
      </c>
      <c r="AE411" s="27">
        <v>541.79999999999995</v>
      </c>
      <c r="AF411" s="29">
        <v>0.92432631967515699</v>
      </c>
      <c r="AG411" s="30">
        <v>3205.1020542082701</v>
      </c>
      <c r="AH411" s="31">
        <f t="shared" si="97"/>
        <v>0.90568475452196384</v>
      </c>
      <c r="AI411" s="31">
        <f t="shared" si="98"/>
        <v>0.1340941512125535</v>
      </c>
      <c r="AJ411" s="31">
        <f t="shared" si="99"/>
        <v>4.2796005706134094E-2</v>
      </c>
      <c r="AK411" s="31">
        <f t="shared" si="100"/>
        <v>0.86590584878744647</v>
      </c>
      <c r="AL411" s="29">
        <f t="shared" si="101"/>
        <v>0.68333333333333335</v>
      </c>
      <c r="AM411" s="29">
        <f t="shared" si="102"/>
        <v>500.79999999999995</v>
      </c>
      <c r="AN411" s="29">
        <f t="shared" si="103"/>
        <v>1.3997603833865815</v>
      </c>
      <c r="AO411" s="29">
        <f t="shared" si="104"/>
        <v>1.4285714285714286</v>
      </c>
      <c r="AP411" s="31">
        <f t="shared" si="105"/>
        <v>0.979832268370607</v>
      </c>
      <c r="AQ411" s="31">
        <f t="shared" si="106"/>
        <v>0.86590584878744647</v>
      </c>
      <c r="AR411" s="31">
        <f t="shared" si="107"/>
        <v>0.78423772609819131</v>
      </c>
      <c r="AS411" s="29">
        <f t="shared" si="108"/>
        <v>22.317303851640514</v>
      </c>
      <c r="AT411" s="29">
        <f t="shared" si="109"/>
        <v>4.5721855266879743</v>
      </c>
      <c r="AU411" s="27" t="str">
        <f t="shared" si="110"/>
        <v>High</v>
      </c>
      <c r="AV411" s="27" t="str">
        <f t="shared" si="111"/>
        <v>Warning</v>
      </c>
      <c r="AW411" s="27"/>
    </row>
    <row r="412" spans="1:49" x14ac:dyDescent="0.25">
      <c r="A412" s="27">
        <v>411</v>
      </c>
      <c r="B412" s="28">
        <v>46091</v>
      </c>
      <c r="C412" s="28" t="str">
        <f t="shared" si="96"/>
        <v>March</v>
      </c>
      <c r="D412" s="27" t="s">
        <v>47</v>
      </c>
      <c r="E412" s="27" t="s">
        <v>61</v>
      </c>
      <c r="F412" s="27" t="s">
        <v>95</v>
      </c>
      <c r="G412" s="27" t="s">
        <v>63</v>
      </c>
      <c r="H412" s="27" t="s">
        <v>79</v>
      </c>
      <c r="I412" s="27" t="s">
        <v>535</v>
      </c>
      <c r="J412" s="27" t="s">
        <v>197</v>
      </c>
      <c r="K412" s="27">
        <v>663</v>
      </c>
      <c r="L412" s="27">
        <v>601</v>
      </c>
      <c r="M412" s="27">
        <v>563</v>
      </c>
      <c r="N412" s="27">
        <v>38</v>
      </c>
      <c r="O412" s="27">
        <v>9</v>
      </c>
      <c r="P412" s="27">
        <v>37</v>
      </c>
      <c r="Q412" s="27" t="s">
        <v>104</v>
      </c>
      <c r="R412" s="27">
        <v>49</v>
      </c>
      <c r="S412" s="27">
        <v>49</v>
      </c>
      <c r="T412" s="29">
        <v>73.7</v>
      </c>
      <c r="U412" s="29">
        <v>2.4900000000000002</v>
      </c>
      <c r="V412" s="29">
        <v>19.86</v>
      </c>
      <c r="W412" s="30">
        <v>12866.47</v>
      </c>
      <c r="X412" s="27">
        <v>8.34</v>
      </c>
      <c r="Y412" s="27" t="s">
        <v>66</v>
      </c>
      <c r="Z412" s="29">
        <v>26</v>
      </c>
      <c r="AA412" s="30">
        <v>20892.330000000002</v>
      </c>
      <c r="AB412" s="29">
        <v>0.93677204658901803</v>
      </c>
      <c r="AC412" s="30">
        <v>16798.21</v>
      </c>
      <c r="AD412" s="30">
        <v>192.67592346089799</v>
      </c>
      <c r="AE412" s="27">
        <v>541.45000000000005</v>
      </c>
      <c r="AF412" s="29">
        <v>0.93166497368178003</v>
      </c>
      <c r="AG412" s="30">
        <v>3901.4440765391</v>
      </c>
      <c r="AH412" s="31">
        <f t="shared" si="97"/>
        <v>0.90648567119155354</v>
      </c>
      <c r="AI412" s="31">
        <f t="shared" si="98"/>
        <v>6.3227953410981697E-2</v>
      </c>
      <c r="AJ412" s="31">
        <f t="shared" si="99"/>
        <v>1.4975041597337771E-2</v>
      </c>
      <c r="AK412" s="31">
        <f t="shared" si="100"/>
        <v>0.93677204658901825</v>
      </c>
      <c r="AL412" s="29">
        <f t="shared" si="101"/>
        <v>0.6166666666666667</v>
      </c>
      <c r="AM412" s="29">
        <f t="shared" si="102"/>
        <v>504.45000000000005</v>
      </c>
      <c r="AN412" s="29">
        <f t="shared" si="103"/>
        <v>1.191396570522351</v>
      </c>
      <c r="AO412" s="29">
        <f t="shared" si="104"/>
        <v>1.2244897959183674</v>
      </c>
      <c r="AP412" s="31">
        <f t="shared" si="105"/>
        <v>0.97297386592658663</v>
      </c>
      <c r="AQ412" s="31">
        <f t="shared" si="106"/>
        <v>0.93677204658901825</v>
      </c>
      <c r="AR412" s="31">
        <f t="shared" si="107"/>
        <v>0.84917043740573106</v>
      </c>
      <c r="AS412" s="29">
        <f t="shared" si="108"/>
        <v>27.95043261231281</v>
      </c>
      <c r="AT412" s="29">
        <f t="shared" si="109"/>
        <v>6.4915874817622292</v>
      </c>
      <c r="AU412" s="27" t="str">
        <f t="shared" si="110"/>
        <v>Medium</v>
      </c>
      <c r="AV412" s="27" t="str">
        <f t="shared" si="111"/>
        <v>Warning</v>
      </c>
      <c r="AW412" s="27"/>
    </row>
    <row r="413" spans="1:49" x14ac:dyDescent="0.25">
      <c r="A413" s="27">
        <v>412</v>
      </c>
      <c r="B413" s="28">
        <v>46035</v>
      </c>
      <c r="C413" s="28" t="str">
        <f t="shared" si="96"/>
        <v>January</v>
      </c>
      <c r="D413" s="27" t="s">
        <v>47</v>
      </c>
      <c r="E413" s="27" t="s">
        <v>48</v>
      </c>
      <c r="F413" s="27" t="s">
        <v>72</v>
      </c>
      <c r="G413" s="27" t="s">
        <v>50</v>
      </c>
      <c r="H413" s="27" t="s">
        <v>68</v>
      </c>
      <c r="I413" s="27" t="s">
        <v>536</v>
      </c>
      <c r="J413" s="27" t="s">
        <v>109</v>
      </c>
      <c r="K413" s="27">
        <v>511</v>
      </c>
      <c r="L413" s="27">
        <v>482</v>
      </c>
      <c r="M413" s="27">
        <v>459</v>
      </c>
      <c r="N413" s="27">
        <v>23</v>
      </c>
      <c r="O413" s="27">
        <v>9</v>
      </c>
      <c r="P413" s="27">
        <v>29</v>
      </c>
      <c r="Q413" s="27" t="s">
        <v>102</v>
      </c>
      <c r="R413" s="27">
        <v>64</v>
      </c>
      <c r="S413" s="27">
        <v>68</v>
      </c>
      <c r="T413" s="29">
        <v>70.2</v>
      </c>
      <c r="U413" s="29">
        <v>2.17</v>
      </c>
      <c r="V413" s="29">
        <v>16.43</v>
      </c>
      <c r="W413" s="30">
        <v>15454.32</v>
      </c>
      <c r="X413" s="27">
        <v>7.87</v>
      </c>
      <c r="Y413" s="27" t="s">
        <v>55</v>
      </c>
      <c r="Z413" s="29">
        <v>27</v>
      </c>
      <c r="AA413" s="30">
        <v>24005.93</v>
      </c>
      <c r="AB413" s="29">
        <v>0.95228215767634905</v>
      </c>
      <c r="AC413" s="30">
        <v>19143.689999999999</v>
      </c>
      <c r="AD413" s="30">
        <v>288.56614107883797</v>
      </c>
      <c r="AE413" s="27">
        <v>545.06666666666695</v>
      </c>
      <c r="AF413" s="29">
        <v>0.94679549902152604</v>
      </c>
      <c r="AG413" s="30">
        <v>4573.67385892116</v>
      </c>
      <c r="AH413" s="31">
        <f t="shared" si="97"/>
        <v>0.94324853228962813</v>
      </c>
      <c r="AI413" s="31">
        <f t="shared" si="98"/>
        <v>4.7717842323651449E-2</v>
      </c>
      <c r="AJ413" s="31">
        <f t="shared" si="99"/>
        <v>1.8672199170124481E-2</v>
      </c>
      <c r="AK413" s="31">
        <f t="shared" si="100"/>
        <v>0.9522821576763485</v>
      </c>
      <c r="AL413" s="29">
        <f t="shared" si="101"/>
        <v>0.48333333333333334</v>
      </c>
      <c r="AM413" s="29">
        <f t="shared" si="102"/>
        <v>516.06666666666695</v>
      </c>
      <c r="AN413" s="29">
        <f t="shared" si="103"/>
        <v>0.93398785686603747</v>
      </c>
      <c r="AO413" s="29">
        <f t="shared" si="104"/>
        <v>0.9375</v>
      </c>
      <c r="AP413" s="31">
        <f t="shared" si="105"/>
        <v>0.99625371399043994</v>
      </c>
      <c r="AQ413" s="31">
        <f t="shared" si="106"/>
        <v>0.9522821576763485</v>
      </c>
      <c r="AR413" s="31">
        <f t="shared" si="107"/>
        <v>0.89823874755381505</v>
      </c>
      <c r="AS413" s="29">
        <f t="shared" si="108"/>
        <v>39.717199170124481</v>
      </c>
      <c r="AT413" s="29">
        <f t="shared" si="109"/>
        <v>9.4889499147741905</v>
      </c>
      <c r="AU413" s="27" t="str">
        <f t="shared" si="110"/>
        <v>Low</v>
      </c>
      <c r="AV413" s="27" t="str">
        <f t="shared" si="111"/>
        <v>Normal</v>
      </c>
      <c r="AW413" s="27"/>
    </row>
    <row r="414" spans="1:49" x14ac:dyDescent="0.25">
      <c r="A414" s="27">
        <v>413</v>
      </c>
      <c r="B414" s="28">
        <v>46023</v>
      </c>
      <c r="C414" s="28" t="str">
        <f t="shared" si="96"/>
        <v>January</v>
      </c>
      <c r="D414" s="27" t="s">
        <v>47</v>
      </c>
      <c r="E414" s="27" t="s">
        <v>98</v>
      </c>
      <c r="F414" s="27" t="s">
        <v>126</v>
      </c>
      <c r="G414" s="27" t="s">
        <v>78</v>
      </c>
      <c r="H414" s="27" t="s">
        <v>124</v>
      </c>
      <c r="I414" s="27" t="s">
        <v>537</v>
      </c>
      <c r="J414" s="27" t="s">
        <v>121</v>
      </c>
      <c r="K414" s="27">
        <v>738</v>
      </c>
      <c r="L414" s="27">
        <v>596</v>
      </c>
      <c r="M414" s="27">
        <v>541</v>
      </c>
      <c r="N414" s="27">
        <v>55</v>
      </c>
      <c r="O414" s="27">
        <v>22</v>
      </c>
      <c r="P414" s="27">
        <v>113</v>
      </c>
      <c r="Q414" s="27" t="s">
        <v>75</v>
      </c>
      <c r="R414" s="27">
        <v>57</v>
      </c>
      <c r="S414" s="27">
        <v>60</v>
      </c>
      <c r="T414" s="29">
        <v>70.3</v>
      </c>
      <c r="U414" s="29">
        <v>2.02</v>
      </c>
      <c r="V414" s="29">
        <v>25.4</v>
      </c>
      <c r="W414" s="30">
        <v>15425.74</v>
      </c>
      <c r="X414" s="27">
        <v>6.75</v>
      </c>
      <c r="Y414" s="27" t="s">
        <v>66</v>
      </c>
      <c r="Z414" s="29">
        <v>24</v>
      </c>
      <c r="AA414" s="30">
        <v>24140.92</v>
      </c>
      <c r="AB414" s="29">
        <v>0.90771812080536896</v>
      </c>
      <c r="AC414" s="30">
        <v>18691.84</v>
      </c>
      <c r="AD414" s="30">
        <v>569.40651006711403</v>
      </c>
      <c r="AE414" s="27">
        <v>701.1</v>
      </c>
      <c r="AF414" s="29">
        <v>0.83882470403651399</v>
      </c>
      <c r="AG414" s="30">
        <v>4879.6734899328903</v>
      </c>
      <c r="AH414" s="31">
        <f t="shared" si="97"/>
        <v>0.80758807588075876</v>
      </c>
      <c r="AI414" s="31">
        <f t="shared" si="98"/>
        <v>9.2281879194630878E-2</v>
      </c>
      <c r="AJ414" s="31">
        <f t="shared" si="99"/>
        <v>3.6912751677852351E-2</v>
      </c>
      <c r="AK414" s="31">
        <f t="shared" si="100"/>
        <v>0.90771812080536918</v>
      </c>
      <c r="AL414" s="29">
        <f t="shared" si="101"/>
        <v>1.8833333333333333</v>
      </c>
      <c r="AM414" s="29">
        <f t="shared" si="102"/>
        <v>588.1</v>
      </c>
      <c r="AN414" s="29">
        <f t="shared" si="103"/>
        <v>1.0134330896106103</v>
      </c>
      <c r="AO414" s="29">
        <f t="shared" si="104"/>
        <v>1.0526315789473684</v>
      </c>
      <c r="AP414" s="31">
        <f t="shared" si="105"/>
        <v>0.96276143513007983</v>
      </c>
      <c r="AQ414" s="31">
        <f t="shared" si="106"/>
        <v>0.90771812080536918</v>
      </c>
      <c r="AR414" s="31">
        <f t="shared" si="107"/>
        <v>0.73306233062330617</v>
      </c>
      <c r="AS414" s="29">
        <f t="shared" si="108"/>
        <v>31.362147651006712</v>
      </c>
      <c r="AT414" s="29">
        <f t="shared" si="109"/>
        <v>8.187371627404179</v>
      </c>
      <c r="AU414" s="27" t="str">
        <f t="shared" si="110"/>
        <v>High</v>
      </c>
      <c r="AV414" s="27" t="str">
        <f t="shared" si="111"/>
        <v>Critical</v>
      </c>
      <c r="AW414" s="27"/>
    </row>
    <row r="415" spans="1:49" x14ac:dyDescent="0.25">
      <c r="A415" s="27">
        <v>414</v>
      </c>
      <c r="B415" s="28">
        <v>46086</v>
      </c>
      <c r="C415" s="28" t="str">
        <f t="shared" si="96"/>
        <v>March</v>
      </c>
      <c r="D415" s="27" t="s">
        <v>67</v>
      </c>
      <c r="E415" s="27" t="s">
        <v>48</v>
      </c>
      <c r="F415" s="27" t="s">
        <v>72</v>
      </c>
      <c r="G415" s="27" t="s">
        <v>78</v>
      </c>
      <c r="H415" s="27" t="s">
        <v>124</v>
      </c>
      <c r="I415" s="27" t="s">
        <v>538</v>
      </c>
      <c r="J415" s="27" t="s">
        <v>143</v>
      </c>
      <c r="K415" s="27">
        <v>733</v>
      </c>
      <c r="L415" s="27">
        <v>644</v>
      </c>
      <c r="M415" s="27">
        <v>619</v>
      </c>
      <c r="N415" s="27">
        <v>25</v>
      </c>
      <c r="O415" s="27">
        <v>7</v>
      </c>
      <c r="P415" s="27">
        <v>0</v>
      </c>
      <c r="Q415" s="27" t="s">
        <v>60</v>
      </c>
      <c r="R415" s="27">
        <v>57</v>
      </c>
      <c r="S415" s="27">
        <v>63</v>
      </c>
      <c r="T415" s="29">
        <v>79.3</v>
      </c>
      <c r="U415" s="29">
        <v>2.5099999999999998</v>
      </c>
      <c r="V415" s="29">
        <v>20.97</v>
      </c>
      <c r="W415" s="30">
        <v>18057.28</v>
      </c>
      <c r="X415" s="27">
        <v>7.06</v>
      </c>
      <c r="Y415" s="27" t="s">
        <v>66</v>
      </c>
      <c r="Z415" s="29">
        <v>25</v>
      </c>
      <c r="AA415" s="30">
        <v>29033.94</v>
      </c>
      <c r="AB415" s="29">
        <v>0.96118012422360199</v>
      </c>
      <c r="AC415" s="30">
        <v>21423.01</v>
      </c>
      <c r="AD415" s="30">
        <v>196.274782608696</v>
      </c>
      <c r="AE415" s="27">
        <v>696.35</v>
      </c>
      <c r="AF415" s="29">
        <v>1</v>
      </c>
      <c r="AG415" s="30">
        <v>7414.6552173913096</v>
      </c>
      <c r="AH415" s="31">
        <f t="shared" si="97"/>
        <v>0.87858117326057295</v>
      </c>
      <c r="AI415" s="31">
        <f t="shared" si="98"/>
        <v>3.8819875776397512E-2</v>
      </c>
      <c r="AJ415" s="31">
        <f t="shared" si="99"/>
        <v>1.0869565217391304E-2</v>
      </c>
      <c r="AK415" s="31">
        <f t="shared" si="100"/>
        <v>0.96118012422360244</v>
      </c>
      <c r="AL415" s="29">
        <f t="shared" si="101"/>
        <v>0</v>
      </c>
      <c r="AM415" s="29">
        <f t="shared" si="102"/>
        <v>696.35</v>
      </c>
      <c r="AN415" s="29">
        <f t="shared" si="103"/>
        <v>0.92482228764270835</v>
      </c>
      <c r="AO415" s="29">
        <f t="shared" si="104"/>
        <v>1.0526315789473684</v>
      </c>
      <c r="AP415" s="31">
        <f t="shared" si="105"/>
        <v>0.87858117326057295</v>
      </c>
      <c r="AQ415" s="31">
        <f t="shared" si="106"/>
        <v>0.96118012422360244</v>
      </c>
      <c r="AR415" s="31">
        <f t="shared" si="107"/>
        <v>0.84447476125511589</v>
      </c>
      <c r="AS415" s="29">
        <f t="shared" si="108"/>
        <v>33.265543478260867</v>
      </c>
      <c r="AT415" s="29">
        <f t="shared" si="109"/>
        <v>11.513439778557935</v>
      </c>
      <c r="AU415" s="27" t="str">
        <f t="shared" si="110"/>
        <v>Medium</v>
      </c>
      <c r="AV415" s="27" t="str">
        <f t="shared" si="111"/>
        <v>Warning</v>
      </c>
      <c r="AW415" s="27"/>
    </row>
    <row r="416" spans="1:49" x14ac:dyDescent="0.25">
      <c r="A416" s="27">
        <v>415</v>
      </c>
      <c r="B416" s="28">
        <v>46100</v>
      </c>
      <c r="C416" s="28" t="str">
        <f t="shared" si="96"/>
        <v>March</v>
      </c>
      <c r="D416" s="27" t="s">
        <v>67</v>
      </c>
      <c r="E416" s="27" t="s">
        <v>76</v>
      </c>
      <c r="F416" s="27" t="s">
        <v>113</v>
      </c>
      <c r="G416" s="27" t="s">
        <v>78</v>
      </c>
      <c r="H416" s="27" t="s">
        <v>68</v>
      </c>
      <c r="I416" s="27" t="s">
        <v>539</v>
      </c>
      <c r="J416" s="27" t="s">
        <v>84</v>
      </c>
      <c r="K416" s="27">
        <v>478</v>
      </c>
      <c r="L416" s="27">
        <v>417</v>
      </c>
      <c r="M416" s="27">
        <v>382</v>
      </c>
      <c r="N416" s="27">
        <v>35</v>
      </c>
      <c r="O416" s="27">
        <v>12</v>
      </c>
      <c r="P416" s="27">
        <v>18</v>
      </c>
      <c r="Q416" s="27" t="s">
        <v>54</v>
      </c>
      <c r="R416" s="27">
        <v>64</v>
      </c>
      <c r="S416" s="27">
        <v>67</v>
      </c>
      <c r="T416" s="29">
        <v>87.7</v>
      </c>
      <c r="U416" s="29">
        <v>1.98</v>
      </c>
      <c r="V416" s="29">
        <v>15</v>
      </c>
      <c r="W416" s="30">
        <v>12289.87</v>
      </c>
      <c r="X416" s="27">
        <v>8.93</v>
      </c>
      <c r="Y416" s="27" t="s">
        <v>55</v>
      </c>
      <c r="Z416" s="29">
        <v>6</v>
      </c>
      <c r="AA416" s="30">
        <v>19396.72</v>
      </c>
      <c r="AB416" s="29">
        <v>0.91606714628297403</v>
      </c>
      <c r="AC416" s="30">
        <v>16443.37</v>
      </c>
      <c r="AD416" s="30">
        <v>353.665323741007</v>
      </c>
      <c r="AE416" s="27">
        <v>509.86666666666702</v>
      </c>
      <c r="AF416" s="29">
        <v>0.96469665271966498</v>
      </c>
      <c r="AG416" s="30">
        <v>2599.6846762589898</v>
      </c>
      <c r="AH416" s="31">
        <f t="shared" si="97"/>
        <v>0.87238493723849375</v>
      </c>
      <c r="AI416" s="31">
        <f t="shared" si="98"/>
        <v>8.3932853717026384E-2</v>
      </c>
      <c r="AJ416" s="31">
        <f t="shared" si="99"/>
        <v>2.8776978417266189E-2</v>
      </c>
      <c r="AK416" s="31">
        <f t="shared" si="100"/>
        <v>0.91606714628297359</v>
      </c>
      <c r="AL416" s="29">
        <f t="shared" si="101"/>
        <v>0.3</v>
      </c>
      <c r="AM416" s="29">
        <f t="shared" si="102"/>
        <v>491.86666666666702</v>
      </c>
      <c r="AN416" s="29">
        <f t="shared" si="103"/>
        <v>0.84779072919490317</v>
      </c>
      <c r="AO416" s="29">
        <f t="shared" si="104"/>
        <v>0.9375</v>
      </c>
      <c r="AP416" s="31">
        <f t="shared" si="105"/>
        <v>0.90431011114123006</v>
      </c>
      <c r="AQ416" s="31">
        <f t="shared" si="106"/>
        <v>0.91606714628297359</v>
      </c>
      <c r="AR416" s="31">
        <f t="shared" si="107"/>
        <v>0.79916317991631713</v>
      </c>
      <c r="AS416" s="29">
        <f t="shared" si="108"/>
        <v>39.432541966426854</v>
      </c>
      <c r="AT416" s="29">
        <f t="shared" si="109"/>
        <v>6.2342558183668819</v>
      </c>
      <c r="AU416" s="27" t="str">
        <f t="shared" si="110"/>
        <v>High</v>
      </c>
      <c r="AV416" s="27" t="str">
        <f t="shared" si="111"/>
        <v>Warning</v>
      </c>
      <c r="AW416" s="27"/>
    </row>
    <row r="417" spans="1:49" x14ac:dyDescent="0.25">
      <c r="A417" s="27">
        <v>416</v>
      </c>
      <c r="B417" s="28">
        <v>46093</v>
      </c>
      <c r="C417" s="28" t="str">
        <f t="shared" si="96"/>
        <v>March</v>
      </c>
      <c r="D417" s="27" t="s">
        <v>67</v>
      </c>
      <c r="E417" s="27" t="s">
        <v>76</v>
      </c>
      <c r="F417" s="27" t="s">
        <v>77</v>
      </c>
      <c r="G417" s="27" t="s">
        <v>50</v>
      </c>
      <c r="H417" s="27" t="s">
        <v>57</v>
      </c>
      <c r="I417" s="27" t="s">
        <v>540</v>
      </c>
      <c r="J417" s="27" t="s">
        <v>226</v>
      </c>
      <c r="K417" s="27">
        <v>880</v>
      </c>
      <c r="L417" s="27">
        <v>852</v>
      </c>
      <c r="M417" s="27">
        <v>803</v>
      </c>
      <c r="N417" s="27">
        <v>49</v>
      </c>
      <c r="O417" s="27">
        <v>18</v>
      </c>
      <c r="P417" s="27">
        <v>34</v>
      </c>
      <c r="Q417" s="27" t="s">
        <v>54</v>
      </c>
      <c r="R417" s="27">
        <v>45</v>
      </c>
      <c r="S417" s="27">
        <v>47</v>
      </c>
      <c r="T417" s="29">
        <v>69.2</v>
      </c>
      <c r="U417" s="29">
        <v>1.28</v>
      </c>
      <c r="V417" s="29">
        <v>32.4</v>
      </c>
      <c r="W417" s="30">
        <v>17145.32</v>
      </c>
      <c r="X417" s="27">
        <v>7.32</v>
      </c>
      <c r="Y417" s="27" t="s">
        <v>55</v>
      </c>
      <c r="Z417" s="29">
        <v>26</v>
      </c>
      <c r="AA417" s="30">
        <v>28825.439999999999</v>
      </c>
      <c r="AB417" s="29">
        <v>0.94248826291079801</v>
      </c>
      <c r="AC417" s="30">
        <v>20730.919999999998</v>
      </c>
      <c r="AD417" s="30">
        <v>362.225070422535</v>
      </c>
      <c r="AE417" s="27">
        <v>660</v>
      </c>
      <c r="AF417" s="29">
        <v>0.94848484848484904</v>
      </c>
      <c r="AG417" s="30">
        <v>7732.2949295774697</v>
      </c>
      <c r="AH417" s="31">
        <f t="shared" si="97"/>
        <v>0.96818181818181814</v>
      </c>
      <c r="AI417" s="31">
        <f t="shared" si="98"/>
        <v>5.7511737089201875E-2</v>
      </c>
      <c r="AJ417" s="31">
        <f t="shared" si="99"/>
        <v>2.1126760563380281E-2</v>
      </c>
      <c r="AK417" s="31">
        <f t="shared" si="100"/>
        <v>0.94248826291079812</v>
      </c>
      <c r="AL417" s="29">
        <f t="shared" si="101"/>
        <v>0.56666666666666665</v>
      </c>
      <c r="AM417" s="29">
        <f t="shared" si="102"/>
        <v>626</v>
      </c>
      <c r="AN417" s="29">
        <f t="shared" si="103"/>
        <v>1.3610223642172523</v>
      </c>
      <c r="AO417" s="29">
        <f t="shared" si="104"/>
        <v>1.3333333333333333</v>
      </c>
      <c r="AP417" s="31">
        <f t="shared" si="105"/>
        <v>1.0207667731629393</v>
      </c>
      <c r="AQ417" s="31">
        <f t="shared" si="106"/>
        <v>0.94248826291079812</v>
      </c>
      <c r="AR417" s="31">
        <f t="shared" si="107"/>
        <v>0.91250000000000053</v>
      </c>
      <c r="AS417" s="29">
        <f t="shared" si="108"/>
        <v>24.332065727699529</v>
      </c>
      <c r="AT417" s="29">
        <f t="shared" si="109"/>
        <v>9.0754635323679214</v>
      </c>
      <c r="AU417" s="27" t="str">
        <f t="shared" si="110"/>
        <v>Low</v>
      </c>
      <c r="AV417" s="27" t="str">
        <f t="shared" si="111"/>
        <v>Normal</v>
      </c>
      <c r="AW417" s="27"/>
    </row>
    <row r="418" spans="1:49" x14ac:dyDescent="0.25">
      <c r="A418" s="27">
        <v>417</v>
      </c>
      <c r="B418" s="28">
        <v>46060</v>
      </c>
      <c r="C418" s="28" t="str">
        <f t="shared" si="96"/>
        <v>February</v>
      </c>
      <c r="D418" s="27" t="s">
        <v>67</v>
      </c>
      <c r="E418" s="27" t="s">
        <v>98</v>
      </c>
      <c r="F418" s="27" t="s">
        <v>126</v>
      </c>
      <c r="G418" s="27" t="s">
        <v>78</v>
      </c>
      <c r="H418" s="27" t="s">
        <v>124</v>
      </c>
      <c r="I418" s="27" t="s">
        <v>541</v>
      </c>
      <c r="J418" s="27" t="s">
        <v>65</v>
      </c>
      <c r="K418" s="27">
        <v>597</v>
      </c>
      <c r="L418" s="27">
        <v>518</v>
      </c>
      <c r="M418" s="27">
        <v>472</v>
      </c>
      <c r="N418" s="27">
        <v>46</v>
      </c>
      <c r="O418" s="27">
        <v>9</v>
      </c>
      <c r="P418" s="27">
        <v>31</v>
      </c>
      <c r="Q418" s="27" t="s">
        <v>54</v>
      </c>
      <c r="R418" s="27">
        <v>57</v>
      </c>
      <c r="S418" s="27">
        <v>63</v>
      </c>
      <c r="T418" s="29">
        <v>76.099999999999994</v>
      </c>
      <c r="U418" s="29">
        <v>2.5299999999999998</v>
      </c>
      <c r="V418" s="29">
        <v>17.61</v>
      </c>
      <c r="W418" s="30">
        <v>14732.63</v>
      </c>
      <c r="X418" s="27">
        <v>7.68</v>
      </c>
      <c r="Y418" s="27" t="s">
        <v>71</v>
      </c>
      <c r="Z418" s="29">
        <v>33</v>
      </c>
      <c r="AA418" s="30">
        <v>21791.14</v>
      </c>
      <c r="AB418" s="29">
        <v>0.91119691119691104</v>
      </c>
      <c r="AC418" s="30">
        <v>18347.12</v>
      </c>
      <c r="AD418" s="30">
        <v>255.972335907336</v>
      </c>
      <c r="AE418" s="27">
        <v>567.15</v>
      </c>
      <c r="AF418" s="29">
        <v>0.94534073878162705</v>
      </c>
      <c r="AG418" s="30">
        <v>3188.0476640926599</v>
      </c>
      <c r="AH418" s="31">
        <f t="shared" si="97"/>
        <v>0.86767169179229475</v>
      </c>
      <c r="AI418" s="31">
        <f t="shared" si="98"/>
        <v>8.8803088803088806E-2</v>
      </c>
      <c r="AJ418" s="31">
        <f t="shared" si="99"/>
        <v>1.7374517374517374E-2</v>
      </c>
      <c r="AK418" s="31">
        <f t="shared" si="100"/>
        <v>0.91119691119691115</v>
      </c>
      <c r="AL418" s="29">
        <f t="shared" si="101"/>
        <v>0.51666666666666672</v>
      </c>
      <c r="AM418" s="29">
        <f t="shared" si="102"/>
        <v>536.15</v>
      </c>
      <c r="AN418" s="29">
        <f t="shared" si="103"/>
        <v>0.9661475333395505</v>
      </c>
      <c r="AO418" s="29">
        <f t="shared" si="104"/>
        <v>1.0526315789473684</v>
      </c>
      <c r="AP418" s="31">
        <f t="shared" si="105"/>
        <v>0.91784015667257302</v>
      </c>
      <c r="AQ418" s="31">
        <f t="shared" si="106"/>
        <v>0.91119691119691115</v>
      </c>
      <c r="AR418" s="31">
        <f t="shared" si="107"/>
        <v>0.79061976549413704</v>
      </c>
      <c r="AS418" s="29">
        <f t="shared" si="108"/>
        <v>35.419150579150575</v>
      </c>
      <c r="AT418" s="29">
        <f t="shared" si="109"/>
        <v>6.1545321700630504</v>
      </c>
      <c r="AU418" s="27" t="str">
        <f t="shared" si="110"/>
        <v>High</v>
      </c>
      <c r="AV418" s="27" t="str">
        <f t="shared" si="111"/>
        <v>Warning</v>
      </c>
      <c r="AW418" s="27"/>
    </row>
    <row r="419" spans="1:49" x14ac:dyDescent="0.25">
      <c r="A419" s="27">
        <v>418</v>
      </c>
      <c r="B419" s="28">
        <v>46045</v>
      </c>
      <c r="C419" s="28" t="str">
        <f t="shared" si="96"/>
        <v>January</v>
      </c>
      <c r="D419" s="27" t="s">
        <v>67</v>
      </c>
      <c r="E419" s="27" t="s">
        <v>98</v>
      </c>
      <c r="F419" s="27" t="s">
        <v>126</v>
      </c>
      <c r="G419" s="27" t="s">
        <v>50</v>
      </c>
      <c r="H419" s="27" t="s">
        <v>124</v>
      </c>
      <c r="I419" s="27" t="s">
        <v>542</v>
      </c>
      <c r="J419" s="27" t="s">
        <v>140</v>
      </c>
      <c r="K419" s="27">
        <v>594</v>
      </c>
      <c r="L419" s="27">
        <v>563</v>
      </c>
      <c r="M419" s="27">
        <v>524</v>
      </c>
      <c r="N419" s="27">
        <v>39</v>
      </c>
      <c r="O419" s="27">
        <v>10</v>
      </c>
      <c r="P419" s="27">
        <v>8</v>
      </c>
      <c r="Q419" s="27" t="s">
        <v>102</v>
      </c>
      <c r="R419" s="27">
        <v>57</v>
      </c>
      <c r="S419" s="27">
        <v>58</v>
      </c>
      <c r="T419" s="29">
        <v>74.2</v>
      </c>
      <c r="U419" s="29">
        <v>2.0699999999999998</v>
      </c>
      <c r="V419" s="29">
        <v>18.5</v>
      </c>
      <c r="W419" s="30">
        <v>15814.92</v>
      </c>
      <c r="X419" s="27">
        <v>7.83</v>
      </c>
      <c r="Y419" s="27" t="s">
        <v>66</v>
      </c>
      <c r="Z419" s="29">
        <v>24</v>
      </c>
      <c r="AA419" s="30">
        <v>24369.13</v>
      </c>
      <c r="AB419" s="29">
        <v>0.930728241563055</v>
      </c>
      <c r="AC419" s="30">
        <v>19504.919999999998</v>
      </c>
      <c r="AD419" s="30">
        <v>280.904440497336</v>
      </c>
      <c r="AE419" s="27">
        <v>564.29999999999995</v>
      </c>
      <c r="AF419" s="29">
        <v>0.98582314371788105</v>
      </c>
      <c r="AG419" s="30">
        <v>4583.3055595026699</v>
      </c>
      <c r="AH419" s="31">
        <f t="shared" si="97"/>
        <v>0.94781144781144777</v>
      </c>
      <c r="AI419" s="31">
        <f t="shared" si="98"/>
        <v>6.9271758436944941E-2</v>
      </c>
      <c r="AJ419" s="31">
        <f t="shared" si="99"/>
        <v>1.7761989342806393E-2</v>
      </c>
      <c r="AK419" s="31">
        <f t="shared" si="100"/>
        <v>0.93072824156305511</v>
      </c>
      <c r="AL419" s="29">
        <f t="shared" si="101"/>
        <v>0.13333333333333333</v>
      </c>
      <c r="AM419" s="29">
        <f t="shared" si="102"/>
        <v>556.29999999999995</v>
      </c>
      <c r="AN419" s="29">
        <f t="shared" si="103"/>
        <v>1.0120438612259572</v>
      </c>
      <c r="AO419" s="29">
        <f t="shared" si="104"/>
        <v>1.0526315789473684</v>
      </c>
      <c r="AP419" s="31">
        <f t="shared" si="105"/>
        <v>0.96144166816465948</v>
      </c>
      <c r="AQ419" s="31">
        <f t="shared" si="106"/>
        <v>0.93072824156305511</v>
      </c>
      <c r="AR419" s="31">
        <f t="shared" si="107"/>
        <v>0.8821548821548828</v>
      </c>
      <c r="AS419" s="29">
        <f t="shared" si="108"/>
        <v>34.644618117229129</v>
      </c>
      <c r="AT419" s="29">
        <f t="shared" si="109"/>
        <v>8.1408624502711717</v>
      </c>
      <c r="AU419" s="27" t="str">
        <f t="shared" si="110"/>
        <v>Low</v>
      </c>
      <c r="AV419" s="27" t="str">
        <f t="shared" si="111"/>
        <v>Normal</v>
      </c>
      <c r="AW419" s="27"/>
    </row>
    <row r="420" spans="1:49" x14ac:dyDescent="0.25">
      <c r="A420" s="27">
        <v>419</v>
      </c>
      <c r="B420" s="28">
        <v>46074</v>
      </c>
      <c r="C420" s="28" t="str">
        <f t="shared" si="96"/>
        <v>February</v>
      </c>
      <c r="D420" s="27" t="s">
        <v>67</v>
      </c>
      <c r="E420" s="27" t="s">
        <v>98</v>
      </c>
      <c r="F420" s="27" t="s">
        <v>99</v>
      </c>
      <c r="G420" s="27" t="s">
        <v>63</v>
      </c>
      <c r="H420" s="27" t="s">
        <v>79</v>
      </c>
      <c r="I420" s="27" t="s">
        <v>543</v>
      </c>
      <c r="J420" s="27" t="s">
        <v>140</v>
      </c>
      <c r="K420" s="27">
        <v>772</v>
      </c>
      <c r="L420" s="27">
        <v>727</v>
      </c>
      <c r="M420" s="27">
        <v>689</v>
      </c>
      <c r="N420" s="27">
        <v>38</v>
      </c>
      <c r="O420" s="27">
        <v>13</v>
      </c>
      <c r="P420" s="27">
        <v>6</v>
      </c>
      <c r="Q420" s="27" t="s">
        <v>75</v>
      </c>
      <c r="R420" s="27">
        <v>49</v>
      </c>
      <c r="S420" s="27">
        <v>53</v>
      </c>
      <c r="T420" s="29">
        <v>73.099999999999994</v>
      </c>
      <c r="U420" s="29">
        <v>1.69</v>
      </c>
      <c r="V420" s="29">
        <v>25.1</v>
      </c>
      <c r="W420" s="30">
        <v>15841.43</v>
      </c>
      <c r="X420" s="27">
        <v>8.06</v>
      </c>
      <c r="Y420" s="27" t="s">
        <v>55</v>
      </c>
      <c r="Z420" s="29">
        <v>13</v>
      </c>
      <c r="AA420" s="30">
        <v>26274.54</v>
      </c>
      <c r="AB420" s="29">
        <v>0.94773039889958699</v>
      </c>
      <c r="AC420" s="30">
        <v>19694.330000000002</v>
      </c>
      <c r="AD420" s="30">
        <v>283.27178817056398</v>
      </c>
      <c r="AE420" s="27">
        <v>630.46666666666704</v>
      </c>
      <c r="AF420" s="29">
        <v>0.99048323992809595</v>
      </c>
      <c r="AG420" s="30">
        <v>6296.9382118294398</v>
      </c>
      <c r="AH420" s="31">
        <f t="shared" si="97"/>
        <v>0.94170984455958551</v>
      </c>
      <c r="AI420" s="31">
        <f t="shared" si="98"/>
        <v>5.2269601100412656E-2</v>
      </c>
      <c r="AJ420" s="31">
        <f t="shared" si="99"/>
        <v>1.7881705639614855E-2</v>
      </c>
      <c r="AK420" s="31">
        <f t="shared" si="100"/>
        <v>0.94773039889958732</v>
      </c>
      <c r="AL420" s="29">
        <f t="shared" si="101"/>
        <v>0.1</v>
      </c>
      <c r="AM420" s="29">
        <f t="shared" si="102"/>
        <v>624.46666666666704</v>
      </c>
      <c r="AN420" s="29">
        <f t="shared" si="103"/>
        <v>1.1641934450731284</v>
      </c>
      <c r="AO420" s="29">
        <f t="shared" si="104"/>
        <v>1.2244897959183674</v>
      </c>
      <c r="AP420" s="31">
        <f t="shared" si="105"/>
        <v>0.95075798014305479</v>
      </c>
      <c r="AQ420" s="31">
        <f t="shared" si="106"/>
        <v>0.94773039889958732</v>
      </c>
      <c r="AR420" s="31">
        <f t="shared" si="107"/>
        <v>0.89248704663212408</v>
      </c>
      <c r="AS420" s="29">
        <f t="shared" si="108"/>
        <v>27.08986244841816</v>
      </c>
      <c r="AT420" s="29">
        <f t="shared" si="109"/>
        <v>8.6615381180597524</v>
      </c>
      <c r="AU420" s="27" t="str">
        <f t="shared" si="110"/>
        <v>Low</v>
      </c>
      <c r="AV420" s="27" t="str">
        <f t="shared" si="111"/>
        <v>Normal</v>
      </c>
      <c r="AW420" s="27"/>
    </row>
    <row r="421" spans="1:49" x14ac:dyDescent="0.25">
      <c r="A421" s="27">
        <v>420</v>
      </c>
      <c r="B421" s="28">
        <v>46130</v>
      </c>
      <c r="C421" s="28" t="str">
        <f t="shared" si="96"/>
        <v>April</v>
      </c>
      <c r="D421" s="27" t="s">
        <v>47</v>
      </c>
      <c r="E421" s="27" t="s">
        <v>98</v>
      </c>
      <c r="F421" s="27" t="s">
        <v>126</v>
      </c>
      <c r="G421" s="27" t="s">
        <v>78</v>
      </c>
      <c r="H421" s="27" t="s">
        <v>57</v>
      </c>
      <c r="I421" s="27" t="s">
        <v>544</v>
      </c>
      <c r="J421" s="27" t="s">
        <v>81</v>
      </c>
      <c r="K421" s="27">
        <v>871</v>
      </c>
      <c r="L421" s="27">
        <v>714</v>
      </c>
      <c r="M421" s="27">
        <v>662</v>
      </c>
      <c r="N421" s="27">
        <v>52</v>
      </c>
      <c r="O421" s="27">
        <v>19</v>
      </c>
      <c r="P421" s="27">
        <v>0</v>
      </c>
      <c r="Q421" s="27" t="s">
        <v>60</v>
      </c>
      <c r="R421" s="27">
        <v>45</v>
      </c>
      <c r="S421" s="27">
        <v>49</v>
      </c>
      <c r="T421" s="29">
        <v>68</v>
      </c>
      <c r="U421" s="29">
        <v>2.39</v>
      </c>
      <c r="V421" s="29">
        <v>28.11</v>
      </c>
      <c r="W421" s="30">
        <v>13854.24</v>
      </c>
      <c r="X421" s="27">
        <v>6.05</v>
      </c>
      <c r="Y421" s="27" t="s">
        <v>110</v>
      </c>
      <c r="Z421" s="29">
        <v>27</v>
      </c>
      <c r="AA421" s="30">
        <v>23378.36</v>
      </c>
      <c r="AB421" s="29">
        <v>0.92717086834733897</v>
      </c>
      <c r="AC421" s="30">
        <v>16829.73</v>
      </c>
      <c r="AD421" s="30">
        <v>368.67025210084</v>
      </c>
      <c r="AE421" s="27">
        <v>653.25</v>
      </c>
      <c r="AF421" s="29">
        <v>1</v>
      </c>
      <c r="AG421" s="30">
        <v>6179.95974789916</v>
      </c>
      <c r="AH421" s="31">
        <f t="shared" si="97"/>
        <v>0.81974741676234208</v>
      </c>
      <c r="AI421" s="31">
        <f t="shared" si="98"/>
        <v>7.2829131652661069E-2</v>
      </c>
      <c r="AJ421" s="31">
        <f t="shared" si="99"/>
        <v>2.661064425770308E-2</v>
      </c>
      <c r="AK421" s="31">
        <f t="shared" si="100"/>
        <v>0.92717086834733897</v>
      </c>
      <c r="AL421" s="29">
        <f t="shared" si="101"/>
        <v>0</v>
      </c>
      <c r="AM421" s="29">
        <f t="shared" si="102"/>
        <v>653.25</v>
      </c>
      <c r="AN421" s="29">
        <f t="shared" si="103"/>
        <v>1.0929965556831229</v>
      </c>
      <c r="AO421" s="29">
        <f t="shared" si="104"/>
        <v>1.3333333333333333</v>
      </c>
      <c r="AP421" s="31">
        <f t="shared" si="105"/>
        <v>0.8197474167623422</v>
      </c>
      <c r="AQ421" s="31">
        <f t="shared" si="106"/>
        <v>0.92717086834733897</v>
      </c>
      <c r="AR421" s="31">
        <f t="shared" si="107"/>
        <v>0.76004592422502881</v>
      </c>
      <c r="AS421" s="29">
        <f t="shared" si="108"/>
        <v>23.571050420168067</v>
      </c>
      <c r="AT421" s="29">
        <f t="shared" si="109"/>
        <v>8.655405809382577</v>
      </c>
      <c r="AU421" s="27" t="str">
        <f t="shared" si="110"/>
        <v>High</v>
      </c>
      <c r="AV421" s="27" t="str">
        <f t="shared" si="111"/>
        <v>Warning</v>
      </c>
      <c r="AW421" s="27"/>
    </row>
    <row r="422" spans="1:49" x14ac:dyDescent="0.25">
      <c r="A422" s="27">
        <v>421</v>
      </c>
      <c r="B422" s="28">
        <v>46108</v>
      </c>
      <c r="C422" s="28" t="str">
        <f t="shared" si="96"/>
        <v>March</v>
      </c>
      <c r="D422" s="27" t="s">
        <v>47</v>
      </c>
      <c r="E422" s="27" t="s">
        <v>129</v>
      </c>
      <c r="F422" s="27" t="s">
        <v>130</v>
      </c>
      <c r="G422" s="27" t="s">
        <v>63</v>
      </c>
      <c r="H422" s="27" t="s">
        <v>79</v>
      </c>
      <c r="I422" s="27" t="s">
        <v>545</v>
      </c>
      <c r="J422" s="27" t="s">
        <v>150</v>
      </c>
      <c r="K422" s="27">
        <v>682</v>
      </c>
      <c r="L422" s="27">
        <v>591</v>
      </c>
      <c r="M422" s="27">
        <v>515</v>
      </c>
      <c r="N422" s="27">
        <v>76</v>
      </c>
      <c r="O422" s="27">
        <v>27</v>
      </c>
      <c r="P422" s="27">
        <v>0</v>
      </c>
      <c r="Q422" s="27" t="s">
        <v>60</v>
      </c>
      <c r="R422" s="27">
        <v>49</v>
      </c>
      <c r="S422" s="27">
        <v>53</v>
      </c>
      <c r="T422" s="29">
        <v>73.2</v>
      </c>
      <c r="U422" s="29">
        <v>3.44</v>
      </c>
      <c r="V422" s="29">
        <v>23.74</v>
      </c>
      <c r="W422" s="30">
        <v>13194.95</v>
      </c>
      <c r="X422" s="27">
        <v>6.81</v>
      </c>
      <c r="Y422" s="27" t="s">
        <v>55</v>
      </c>
      <c r="Z422" s="29">
        <v>21</v>
      </c>
      <c r="AA422" s="30">
        <v>19162.580000000002</v>
      </c>
      <c r="AB422" s="29">
        <v>0.87140439932318103</v>
      </c>
      <c r="AC422" s="30">
        <v>16473.11</v>
      </c>
      <c r="AD422" s="30">
        <v>602.81497461928905</v>
      </c>
      <c r="AE422" s="27">
        <v>556.96666666666704</v>
      </c>
      <c r="AF422" s="29">
        <v>1</v>
      </c>
      <c r="AG422" s="30">
        <v>2086.65502538071</v>
      </c>
      <c r="AH422" s="31">
        <f t="shared" si="97"/>
        <v>0.86656891495601174</v>
      </c>
      <c r="AI422" s="31">
        <f t="shared" si="98"/>
        <v>0.12859560067681894</v>
      </c>
      <c r="AJ422" s="31">
        <f t="shared" si="99"/>
        <v>4.5685279187817257E-2</v>
      </c>
      <c r="AK422" s="31">
        <f t="shared" si="100"/>
        <v>0.87140439932318103</v>
      </c>
      <c r="AL422" s="29">
        <f t="shared" si="101"/>
        <v>0</v>
      </c>
      <c r="AM422" s="29">
        <f t="shared" si="102"/>
        <v>556.96666666666704</v>
      </c>
      <c r="AN422" s="29">
        <f t="shared" si="103"/>
        <v>1.0611047938236871</v>
      </c>
      <c r="AO422" s="29">
        <f t="shared" si="104"/>
        <v>1.2244897959183674</v>
      </c>
      <c r="AP422" s="31">
        <f t="shared" si="105"/>
        <v>0.86656891495601107</v>
      </c>
      <c r="AQ422" s="31">
        <f t="shared" si="106"/>
        <v>0.87140439932318103</v>
      </c>
      <c r="AR422" s="31">
        <f t="shared" si="107"/>
        <v>0.7551319648093836</v>
      </c>
      <c r="AS422" s="29">
        <f t="shared" si="108"/>
        <v>27.873282571912014</v>
      </c>
      <c r="AT422" s="29">
        <f t="shared" si="109"/>
        <v>3.5307191630807275</v>
      </c>
      <c r="AU422" s="27" t="str">
        <f t="shared" si="110"/>
        <v>High</v>
      </c>
      <c r="AV422" s="27" t="str">
        <f t="shared" si="111"/>
        <v>Warning</v>
      </c>
      <c r="AW422" s="27"/>
    </row>
    <row r="423" spans="1:49" x14ac:dyDescent="0.25">
      <c r="A423" s="27">
        <v>422</v>
      </c>
      <c r="B423" s="28">
        <v>46053</v>
      </c>
      <c r="C423" s="28" t="str">
        <f t="shared" si="96"/>
        <v>January</v>
      </c>
      <c r="D423" s="27" t="s">
        <v>47</v>
      </c>
      <c r="E423" s="27" t="s">
        <v>98</v>
      </c>
      <c r="F423" s="27" t="s">
        <v>105</v>
      </c>
      <c r="G423" s="27" t="s">
        <v>50</v>
      </c>
      <c r="H423" s="27" t="s">
        <v>51</v>
      </c>
      <c r="I423" s="27" t="s">
        <v>546</v>
      </c>
      <c r="J423" s="27" t="s">
        <v>81</v>
      </c>
      <c r="K423" s="27">
        <v>947</v>
      </c>
      <c r="L423" s="27">
        <v>850</v>
      </c>
      <c r="M423" s="27">
        <v>797</v>
      </c>
      <c r="N423" s="27">
        <v>53</v>
      </c>
      <c r="O423" s="27">
        <v>17</v>
      </c>
      <c r="P423" s="27">
        <v>43</v>
      </c>
      <c r="Q423" s="27" t="s">
        <v>94</v>
      </c>
      <c r="R423" s="27">
        <v>42</v>
      </c>
      <c r="S423" s="27">
        <v>41</v>
      </c>
      <c r="T423" s="29">
        <v>72.900000000000006</v>
      </c>
      <c r="U423" s="29">
        <v>2.96</v>
      </c>
      <c r="V423" s="29">
        <v>31.29</v>
      </c>
      <c r="W423" s="30">
        <v>15013.97</v>
      </c>
      <c r="X423" s="27">
        <v>6.9</v>
      </c>
      <c r="Y423" s="27" t="s">
        <v>55</v>
      </c>
      <c r="Z423" s="29">
        <v>43</v>
      </c>
      <c r="AA423" s="30">
        <v>24955.69</v>
      </c>
      <c r="AB423" s="29">
        <v>0.93764705882352894</v>
      </c>
      <c r="AC423" s="30">
        <v>18400.580000000002</v>
      </c>
      <c r="AD423" s="30">
        <v>300.27940000000001</v>
      </c>
      <c r="AE423" s="27">
        <v>662.9</v>
      </c>
      <c r="AF423" s="29">
        <v>0.93513350429929099</v>
      </c>
      <c r="AG423" s="30">
        <v>6254.8306000000002</v>
      </c>
      <c r="AH423" s="31">
        <f t="shared" si="97"/>
        <v>0.89757127771911294</v>
      </c>
      <c r="AI423" s="31">
        <f t="shared" si="98"/>
        <v>6.235294117647059E-2</v>
      </c>
      <c r="AJ423" s="31">
        <f t="shared" si="99"/>
        <v>0.02</v>
      </c>
      <c r="AK423" s="31">
        <f t="shared" si="100"/>
        <v>0.93764705882352939</v>
      </c>
      <c r="AL423" s="29">
        <f t="shared" si="101"/>
        <v>0.71666666666666667</v>
      </c>
      <c r="AM423" s="29">
        <f t="shared" si="102"/>
        <v>619.9</v>
      </c>
      <c r="AN423" s="29">
        <f t="shared" si="103"/>
        <v>1.3711889014357155</v>
      </c>
      <c r="AO423" s="29">
        <f t="shared" si="104"/>
        <v>1.4285714285714286</v>
      </c>
      <c r="AP423" s="31">
        <f t="shared" si="105"/>
        <v>0.95983223100500081</v>
      </c>
      <c r="AQ423" s="31">
        <f t="shared" si="106"/>
        <v>0.93764705882352939</v>
      </c>
      <c r="AR423" s="31">
        <f t="shared" si="107"/>
        <v>0.84160506863780349</v>
      </c>
      <c r="AS423" s="29">
        <f t="shared" si="108"/>
        <v>21.647741176470589</v>
      </c>
      <c r="AT423" s="29">
        <f t="shared" si="109"/>
        <v>7.3586242352941182</v>
      </c>
      <c r="AU423" s="27" t="str">
        <f t="shared" si="110"/>
        <v>Medium</v>
      </c>
      <c r="AV423" s="27" t="str">
        <f t="shared" si="111"/>
        <v>Warning</v>
      </c>
      <c r="AW423" s="27"/>
    </row>
    <row r="424" spans="1:49" x14ac:dyDescent="0.25">
      <c r="A424" s="27">
        <v>423</v>
      </c>
      <c r="B424" s="28">
        <v>46191</v>
      </c>
      <c r="C424" s="28" t="str">
        <f t="shared" si="96"/>
        <v>June</v>
      </c>
      <c r="D424" s="27" t="s">
        <v>47</v>
      </c>
      <c r="E424" s="27" t="s">
        <v>98</v>
      </c>
      <c r="F424" s="27" t="s">
        <v>126</v>
      </c>
      <c r="G424" s="27" t="s">
        <v>63</v>
      </c>
      <c r="H424" s="27" t="s">
        <v>124</v>
      </c>
      <c r="I424" s="27" t="s">
        <v>547</v>
      </c>
      <c r="J424" s="27" t="s">
        <v>84</v>
      </c>
      <c r="K424" s="27">
        <v>642</v>
      </c>
      <c r="L424" s="27">
        <v>562</v>
      </c>
      <c r="M424" s="27">
        <v>521</v>
      </c>
      <c r="N424" s="27">
        <v>41</v>
      </c>
      <c r="O424" s="27">
        <v>8</v>
      </c>
      <c r="P424" s="27">
        <v>0</v>
      </c>
      <c r="Q424" s="27" t="s">
        <v>60</v>
      </c>
      <c r="R424" s="27">
        <v>57</v>
      </c>
      <c r="S424" s="27">
        <v>60</v>
      </c>
      <c r="T424" s="29">
        <v>76.900000000000006</v>
      </c>
      <c r="U424" s="29">
        <v>2.4700000000000002</v>
      </c>
      <c r="V424" s="29">
        <v>19.079999999999998</v>
      </c>
      <c r="W424" s="30">
        <v>14548.14</v>
      </c>
      <c r="X424" s="27">
        <v>7.18</v>
      </c>
      <c r="Y424" s="27" t="s">
        <v>66</v>
      </c>
      <c r="Z424" s="29">
        <v>8</v>
      </c>
      <c r="AA424" s="30">
        <v>24531.439999999999</v>
      </c>
      <c r="AB424" s="29">
        <v>0.92704626334519602</v>
      </c>
      <c r="AC424" s="30">
        <v>17950.86</v>
      </c>
      <c r="AD424" s="30">
        <v>207.090960854093</v>
      </c>
      <c r="AE424" s="27">
        <v>609.9</v>
      </c>
      <c r="AF424" s="29">
        <v>1</v>
      </c>
      <c r="AG424" s="30">
        <v>6373.4890391459103</v>
      </c>
      <c r="AH424" s="31">
        <f t="shared" si="97"/>
        <v>0.87538940809968846</v>
      </c>
      <c r="AI424" s="31">
        <f t="shared" si="98"/>
        <v>7.2953736654804271E-2</v>
      </c>
      <c r="AJ424" s="31">
        <f t="shared" si="99"/>
        <v>1.4234875444839857E-2</v>
      </c>
      <c r="AK424" s="31">
        <f t="shared" si="100"/>
        <v>0.92704626334519569</v>
      </c>
      <c r="AL424" s="29">
        <f t="shared" si="101"/>
        <v>0</v>
      </c>
      <c r="AM424" s="29">
        <f t="shared" si="102"/>
        <v>609.9</v>
      </c>
      <c r="AN424" s="29">
        <f t="shared" si="103"/>
        <v>0.92146253484177743</v>
      </c>
      <c r="AO424" s="29">
        <f t="shared" si="104"/>
        <v>1.0526315789473684</v>
      </c>
      <c r="AP424" s="31">
        <f t="shared" si="105"/>
        <v>0.87538940809968857</v>
      </c>
      <c r="AQ424" s="31">
        <f t="shared" si="106"/>
        <v>0.92704626334519569</v>
      </c>
      <c r="AR424" s="31">
        <f t="shared" si="107"/>
        <v>0.81152647975077885</v>
      </c>
      <c r="AS424" s="29">
        <f t="shared" si="108"/>
        <v>31.941032028469753</v>
      </c>
      <c r="AT424" s="29">
        <f t="shared" si="109"/>
        <v>11.340727827661762</v>
      </c>
      <c r="AU424" s="27" t="str">
        <f t="shared" si="110"/>
        <v>Medium</v>
      </c>
      <c r="AV424" s="27" t="str">
        <f t="shared" si="111"/>
        <v>Warning</v>
      </c>
      <c r="AW424" s="27"/>
    </row>
    <row r="425" spans="1:49" x14ac:dyDescent="0.25">
      <c r="A425" s="27">
        <v>424</v>
      </c>
      <c r="B425" s="28">
        <v>46181</v>
      </c>
      <c r="C425" s="28" t="str">
        <f t="shared" si="96"/>
        <v>June</v>
      </c>
      <c r="D425" s="27" t="s">
        <v>67</v>
      </c>
      <c r="E425" s="27" t="s">
        <v>48</v>
      </c>
      <c r="F425" s="27" t="s">
        <v>56</v>
      </c>
      <c r="G425" s="27" t="s">
        <v>78</v>
      </c>
      <c r="H425" s="27" t="s">
        <v>79</v>
      </c>
      <c r="I425" s="27" t="s">
        <v>548</v>
      </c>
      <c r="J425" s="27" t="s">
        <v>117</v>
      </c>
      <c r="K425" s="27">
        <v>761</v>
      </c>
      <c r="L425" s="27">
        <v>632</v>
      </c>
      <c r="M425" s="27">
        <v>592</v>
      </c>
      <c r="N425" s="27">
        <v>40</v>
      </c>
      <c r="O425" s="27">
        <v>9</v>
      </c>
      <c r="P425" s="27">
        <v>32</v>
      </c>
      <c r="Q425" s="27" t="s">
        <v>97</v>
      </c>
      <c r="R425" s="27">
        <v>49</v>
      </c>
      <c r="S425" s="27">
        <v>50</v>
      </c>
      <c r="T425" s="29">
        <v>77</v>
      </c>
      <c r="U425" s="29">
        <v>1.76</v>
      </c>
      <c r="V425" s="29">
        <v>20.9</v>
      </c>
      <c r="W425" s="30">
        <v>14009.36</v>
      </c>
      <c r="X425" s="27">
        <v>7.24</v>
      </c>
      <c r="Y425" s="27" t="s">
        <v>71</v>
      </c>
      <c r="Z425" s="29">
        <v>31</v>
      </c>
      <c r="AA425" s="30">
        <v>22010.14</v>
      </c>
      <c r="AB425" s="29">
        <v>0.936708860759494</v>
      </c>
      <c r="AC425" s="30">
        <v>17455.46</v>
      </c>
      <c r="AD425" s="30">
        <v>199.50037974683499</v>
      </c>
      <c r="AE425" s="27">
        <v>621.48333333333301</v>
      </c>
      <c r="AF425" s="29">
        <v>0.94851028453431296</v>
      </c>
      <c r="AG425" s="30">
        <v>4355.1796202531696</v>
      </c>
      <c r="AH425" s="31">
        <f t="shared" si="97"/>
        <v>0.83048620236530879</v>
      </c>
      <c r="AI425" s="31">
        <f t="shared" si="98"/>
        <v>6.3291139240506333E-2</v>
      </c>
      <c r="AJ425" s="31">
        <f t="shared" si="99"/>
        <v>1.4240506329113924E-2</v>
      </c>
      <c r="AK425" s="31">
        <f t="shared" si="100"/>
        <v>0.93670886075949367</v>
      </c>
      <c r="AL425" s="29">
        <f t="shared" si="101"/>
        <v>0.53333333333333333</v>
      </c>
      <c r="AM425" s="29">
        <f t="shared" si="102"/>
        <v>589.48333333333301</v>
      </c>
      <c r="AN425" s="29">
        <f t="shared" si="103"/>
        <v>1.0721253074726462</v>
      </c>
      <c r="AO425" s="29">
        <f t="shared" si="104"/>
        <v>1.2244897959183674</v>
      </c>
      <c r="AP425" s="31">
        <f t="shared" si="105"/>
        <v>0.87556900110266112</v>
      </c>
      <c r="AQ425" s="31">
        <f t="shared" si="106"/>
        <v>0.93670886075949367</v>
      </c>
      <c r="AR425" s="31">
        <f t="shared" si="107"/>
        <v>0.77792378449408717</v>
      </c>
      <c r="AS425" s="29">
        <f t="shared" si="108"/>
        <v>27.619398734177214</v>
      </c>
      <c r="AT425" s="29">
        <f t="shared" si="109"/>
        <v>6.8911069940714711</v>
      </c>
      <c r="AU425" s="27" t="str">
        <f t="shared" si="110"/>
        <v>High</v>
      </c>
      <c r="AV425" s="27" t="str">
        <f t="shared" si="111"/>
        <v>Warning</v>
      </c>
      <c r="AW425" s="27"/>
    </row>
    <row r="426" spans="1:49" x14ac:dyDescent="0.25">
      <c r="A426" s="27">
        <v>425</v>
      </c>
      <c r="B426" s="28">
        <v>46191</v>
      </c>
      <c r="C426" s="28" t="str">
        <f t="shared" si="96"/>
        <v>June</v>
      </c>
      <c r="D426" s="27" t="s">
        <v>67</v>
      </c>
      <c r="E426" s="27" t="s">
        <v>61</v>
      </c>
      <c r="F426" s="27" t="s">
        <v>88</v>
      </c>
      <c r="G426" s="27" t="s">
        <v>78</v>
      </c>
      <c r="H426" s="27" t="s">
        <v>124</v>
      </c>
      <c r="I426" s="27" t="s">
        <v>549</v>
      </c>
      <c r="J426" s="27" t="s">
        <v>90</v>
      </c>
      <c r="K426" s="27">
        <v>640</v>
      </c>
      <c r="L426" s="27">
        <v>568</v>
      </c>
      <c r="M426" s="27">
        <v>543</v>
      </c>
      <c r="N426" s="27">
        <v>25</v>
      </c>
      <c r="O426" s="27">
        <v>9</v>
      </c>
      <c r="P426" s="27">
        <v>43</v>
      </c>
      <c r="Q426" s="27" t="s">
        <v>94</v>
      </c>
      <c r="R426" s="27">
        <v>57</v>
      </c>
      <c r="S426" s="27">
        <v>62</v>
      </c>
      <c r="T426" s="29">
        <v>79.7</v>
      </c>
      <c r="U426" s="29">
        <v>1.53</v>
      </c>
      <c r="V426" s="29">
        <v>17.96</v>
      </c>
      <c r="W426" s="30">
        <v>16056.51</v>
      </c>
      <c r="X426" s="27">
        <v>7.07</v>
      </c>
      <c r="Y426" s="27" t="s">
        <v>110</v>
      </c>
      <c r="Z426" s="29">
        <v>31</v>
      </c>
      <c r="AA426" s="30">
        <v>24977.15</v>
      </c>
      <c r="AB426" s="29">
        <v>0.95598591549295797</v>
      </c>
      <c r="AC426" s="30">
        <v>19399.650000000001</v>
      </c>
      <c r="AD426" s="30">
        <v>254.416531690141</v>
      </c>
      <c r="AE426" s="27">
        <v>608</v>
      </c>
      <c r="AF426" s="29">
        <v>0.92927631578947401</v>
      </c>
      <c r="AG426" s="30">
        <v>5323.0834683098601</v>
      </c>
      <c r="AH426" s="31">
        <f t="shared" si="97"/>
        <v>0.88749999999999996</v>
      </c>
      <c r="AI426" s="31">
        <f t="shared" si="98"/>
        <v>4.401408450704225E-2</v>
      </c>
      <c r="AJ426" s="31">
        <f t="shared" si="99"/>
        <v>1.5845070422535211E-2</v>
      </c>
      <c r="AK426" s="31">
        <f t="shared" si="100"/>
        <v>0.95598591549295775</v>
      </c>
      <c r="AL426" s="29">
        <f t="shared" si="101"/>
        <v>0.71666666666666667</v>
      </c>
      <c r="AM426" s="29">
        <f t="shared" si="102"/>
        <v>565</v>
      </c>
      <c r="AN426" s="29">
        <f t="shared" si="103"/>
        <v>1.0053097345132744</v>
      </c>
      <c r="AO426" s="29">
        <f t="shared" si="104"/>
        <v>1.0526315789473684</v>
      </c>
      <c r="AP426" s="31">
        <f t="shared" si="105"/>
        <v>0.95504424778761077</v>
      </c>
      <c r="AQ426" s="31">
        <f t="shared" si="106"/>
        <v>0.95598591549295775</v>
      </c>
      <c r="AR426" s="31">
        <f t="shared" si="107"/>
        <v>0.8484375000000004</v>
      </c>
      <c r="AS426" s="29">
        <f t="shared" si="108"/>
        <v>34.154313380281693</v>
      </c>
      <c r="AT426" s="29">
        <f t="shared" si="109"/>
        <v>9.3716258244891897</v>
      </c>
      <c r="AU426" s="27" t="str">
        <f t="shared" si="110"/>
        <v>Medium</v>
      </c>
      <c r="AV426" s="27" t="str">
        <f t="shared" si="111"/>
        <v>Warning</v>
      </c>
      <c r="AW426" s="27"/>
    </row>
    <row r="427" spans="1:49" x14ac:dyDescent="0.25">
      <c r="A427" s="27">
        <v>426</v>
      </c>
      <c r="B427" s="28">
        <v>46196</v>
      </c>
      <c r="C427" s="28" t="str">
        <f t="shared" si="96"/>
        <v>June</v>
      </c>
      <c r="D427" s="27" t="s">
        <v>67</v>
      </c>
      <c r="E427" s="27" t="s">
        <v>129</v>
      </c>
      <c r="F427" s="27" t="s">
        <v>167</v>
      </c>
      <c r="G427" s="27" t="s">
        <v>78</v>
      </c>
      <c r="H427" s="27" t="s">
        <v>57</v>
      </c>
      <c r="I427" s="27" t="s">
        <v>550</v>
      </c>
      <c r="J427" s="27" t="s">
        <v>115</v>
      </c>
      <c r="K427" s="27">
        <v>733</v>
      </c>
      <c r="L427" s="27">
        <v>671</v>
      </c>
      <c r="M427" s="27">
        <v>614</v>
      </c>
      <c r="N427" s="27">
        <v>57</v>
      </c>
      <c r="O427" s="27">
        <v>22</v>
      </c>
      <c r="P427" s="27">
        <v>40</v>
      </c>
      <c r="Q427" s="27" t="s">
        <v>91</v>
      </c>
      <c r="R427" s="27">
        <v>45</v>
      </c>
      <c r="S427" s="27">
        <v>47</v>
      </c>
      <c r="T427" s="29">
        <v>78.3</v>
      </c>
      <c r="U427" s="29">
        <v>2.37</v>
      </c>
      <c r="V427" s="29">
        <v>22.05</v>
      </c>
      <c r="W427" s="30">
        <v>13931.35</v>
      </c>
      <c r="X427" s="27">
        <v>9.1300000000000008</v>
      </c>
      <c r="Y427" s="27" t="s">
        <v>110</v>
      </c>
      <c r="Z427" s="29">
        <v>15</v>
      </c>
      <c r="AA427" s="30">
        <v>21259.4</v>
      </c>
      <c r="AB427" s="29">
        <v>0.91505216095380004</v>
      </c>
      <c r="AC427" s="30">
        <v>18238.3</v>
      </c>
      <c r="AD427" s="30">
        <v>456.76557377049198</v>
      </c>
      <c r="AE427" s="27">
        <v>549.75</v>
      </c>
      <c r="AF427" s="29">
        <v>0.92723965438835798</v>
      </c>
      <c r="AG427" s="30">
        <v>2564.33442622951</v>
      </c>
      <c r="AH427" s="31">
        <f t="shared" si="97"/>
        <v>0.91541609822646652</v>
      </c>
      <c r="AI427" s="31">
        <f t="shared" si="98"/>
        <v>8.4947839046199708E-2</v>
      </c>
      <c r="AJ427" s="31">
        <f t="shared" si="99"/>
        <v>3.2786885245901641E-2</v>
      </c>
      <c r="AK427" s="31">
        <f t="shared" si="100"/>
        <v>0.91505216095380026</v>
      </c>
      <c r="AL427" s="29">
        <f t="shared" si="101"/>
        <v>0.66666666666666663</v>
      </c>
      <c r="AM427" s="29">
        <f t="shared" si="102"/>
        <v>509.75</v>
      </c>
      <c r="AN427" s="29">
        <f t="shared" si="103"/>
        <v>1.316331535066209</v>
      </c>
      <c r="AO427" s="29">
        <f t="shared" si="104"/>
        <v>1.3333333333333333</v>
      </c>
      <c r="AP427" s="31">
        <f t="shared" si="105"/>
        <v>0.98724865129965678</v>
      </c>
      <c r="AQ427" s="31">
        <f t="shared" si="106"/>
        <v>0.91505216095380026</v>
      </c>
      <c r="AR427" s="31">
        <f t="shared" si="107"/>
        <v>0.8376534788540243</v>
      </c>
      <c r="AS427" s="29">
        <f t="shared" si="108"/>
        <v>27.180774962742174</v>
      </c>
      <c r="AT427" s="29">
        <f t="shared" si="109"/>
        <v>3.8216608438591804</v>
      </c>
      <c r="AU427" s="27" t="str">
        <f t="shared" si="110"/>
        <v>Medium</v>
      </c>
      <c r="AV427" s="27" t="str">
        <f t="shared" si="111"/>
        <v>Warning</v>
      </c>
      <c r="AW427" s="27"/>
    </row>
    <row r="428" spans="1:49" x14ac:dyDescent="0.25">
      <c r="A428" s="27">
        <v>427</v>
      </c>
      <c r="B428" s="28">
        <v>46201</v>
      </c>
      <c r="C428" s="28" t="str">
        <f t="shared" si="96"/>
        <v>June</v>
      </c>
      <c r="D428" s="27" t="s">
        <v>67</v>
      </c>
      <c r="E428" s="27" t="s">
        <v>61</v>
      </c>
      <c r="F428" s="27" t="s">
        <v>88</v>
      </c>
      <c r="G428" s="27" t="s">
        <v>78</v>
      </c>
      <c r="H428" s="27" t="s">
        <v>124</v>
      </c>
      <c r="I428" s="27" t="s">
        <v>551</v>
      </c>
      <c r="J428" s="27" t="s">
        <v>138</v>
      </c>
      <c r="K428" s="27">
        <v>570</v>
      </c>
      <c r="L428" s="27">
        <v>516</v>
      </c>
      <c r="M428" s="27">
        <v>493</v>
      </c>
      <c r="N428" s="27">
        <v>23</v>
      </c>
      <c r="O428" s="27">
        <v>8</v>
      </c>
      <c r="P428" s="27">
        <v>24</v>
      </c>
      <c r="Q428" s="27" t="s">
        <v>54</v>
      </c>
      <c r="R428" s="27">
        <v>57</v>
      </c>
      <c r="S428" s="27">
        <v>58</v>
      </c>
      <c r="T428" s="29">
        <v>63.6</v>
      </c>
      <c r="U428" s="29">
        <v>2.25</v>
      </c>
      <c r="V428" s="29">
        <v>17.43</v>
      </c>
      <c r="W428" s="30">
        <v>14859.7</v>
      </c>
      <c r="X428" s="27">
        <v>7.59</v>
      </c>
      <c r="Y428" s="27" t="s">
        <v>55</v>
      </c>
      <c r="Z428" s="29">
        <v>14</v>
      </c>
      <c r="AA428" s="30">
        <v>22741.38</v>
      </c>
      <c r="AB428" s="29">
        <v>0.95542635658914699</v>
      </c>
      <c r="AC428" s="30">
        <v>18432.07</v>
      </c>
      <c r="AD428" s="30">
        <v>230.38294573643401</v>
      </c>
      <c r="AE428" s="27">
        <v>541.5</v>
      </c>
      <c r="AF428" s="29">
        <v>0.955678670360111</v>
      </c>
      <c r="AG428" s="30">
        <v>4078.92705426357</v>
      </c>
      <c r="AH428" s="31">
        <f t="shared" si="97"/>
        <v>0.90526315789473688</v>
      </c>
      <c r="AI428" s="31">
        <f t="shared" si="98"/>
        <v>4.4573643410852716E-2</v>
      </c>
      <c r="AJ428" s="31">
        <f t="shared" si="99"/>
        <v>1.5503875968992248E-2</v>
      </c>
      <c r="AK428" s="31">
        <f t="shared" si="100"/>
        <v>0.95542635658914732</v>
      </c>
      <c r="AL428" s="29">
        <f t="shared" si="101"/>
        <v>0.4</v>
      </c>
      <c r="AM428" s="29">
        <f t="shared" si="102"/>
        <v>517.5</v>
      </c>
      <c r="AN428" s="29">
        <f t="shared" si="103"/>
        <v>0.99710144927536237</v>
      </c>
      <c r="AO428" s="29">
        <f t="shared" si="104"/>
        <v>1.0526315789473684</v>
      </c>
      <c r="AP428" s="31">
        <f t="shared" si="105"/>
        <v>0.94724637681159429</v>
      </c>
      <c r="AQ428" s="31">
        <f t="shared" si="106"/>
        <v>0.95542635658914732</v>
      </c>
      <c r="AR428" s="31">
        <f t="shared" si="107"/>
        <v>0.86491228070175463</v>
      </c>
      <c r="AS428" s="29">
        <f t="shared" si="108"/>
        <v>35.721065891472868</v>
      </c>
      <c r="AT428" s="29">
        <f t="shared" si="109"/>
        <v>7.9048973919836625</v>
      </c>
      <c r="AU428" s="27" t="str">
        <f t="shared" si="110"/>
        <v>Low</v>
      </c>
      <c r="AV428" s="27" t="str">
        <f t="shared" si="111"/>
        <v>Normal</v>
      </c>
      <c r="AW428" s="27"/>
    </row>
    <row r="429" spans="1:49" x14ac:dyDescent="0.25">
      <c r="A429" s="27">
        <v>428</v>
      </c>
      <c r="B429" s="28">
        <v>46041</v>
      </c>
      <c r="C429" s="28" t="str">
        <f t="shared" si="96"/>
        <v>January</v>
      </c>
      <c r="D429" s="27" t="s">
        <v>67</v>
      </c>
      <c r="E429" s="27" t="s">
        <v>98</v>
      </c>
      <c r="F429" s="27" t="s">
        <v>126</v>
      </c>
      <c r="G429" s="27" t="s">
        <v>63</v>
      </c>
      <c r="H429" s="27" t="s">
        <v>68</v>
      </c>
      <c r="I429" s="27" t="s">
        <v>552</v>
      </c>
      <c r="J429" s="27" t="s">
        <v>175</v>
      </c>
      <c r="K429" s="27">
        <v>577</v>
      </c>
      <c r="L429" s="27">
        <v>542</v>
      </c>
      <c r="M429" s="27">
        <v>498</v>
      </c>
      <c r="N429" s="27">
        <v>44</v>
      </c>
      <c r="O429" s="27">
        <v>15</v>
      </c>
      <c r="P429" s="27">
        <v>37</v>
      </c>
      <c r="Q429" s="27" t="s">
        <v>75</v>
      </c>
      <c r="R429" s="27">
        <v>64</v>
      </c>
      <c r="S429" s="27">
        <v>70</v>
      </c>
      <c r="T429" s="29">
        <v>77.400000000000006</v>
      </c>
      <c r="U429" s="29">
        <v>1.46</v>
      </c>
      <c r="V429" s="29">
        <v>23.47</v>
      </c>
      <c r="W429" s="30">
        <v>16050.33</v>
      </c>
      <c r="X429" s="27">
        <v>8.3699999999999992</v>
      </c>
      <c r="Y429" s="27" t="s">
        <v>55</v>
      </c>
      <c r="Z429" s="29">
        <v>38</v>
      </c>
      <c r="AA429" s="30">
        <v>25894</v>
      </c>
      <c r="AB429" s="29">
        <v>0.91881918819188202</v>
      </c>
      <c r="AC429" s="30">
        <v>20028.060000000001</v>
      </c>
      <c r="AD429" s="30">
        <v>444.19732472324699</v>
      </c>
      <c r="AE429" s="27">
        <v>615.46666666666704</v>
      </c>
      <c r="AF429" s="29">
        <v>0.93988301559791998</v>
      </c>
      <c r="AG429" s="30">
        <v>5421.7426752767597</v>
      </c>
      <c r="AH429" s="31">
        <f t="shared" si="97"/>
        <v>0.93934142114384744</v>
      </c>
      <c r="AI429" s="31">
        <f t="shared" si="98"/>
        <v>8.1180811808118078E-2</v>
      </c>
      <c r="AJ429" s="31">
        <f t="shared" si="99"/>
        <v>2.7675276752767528E-2</v>
      </c>
      <c r="AK429" s="31">
        <f t="shared" si="100"/>
        <v>0.91881918819188191</v>
      </c>
      <c r="AL429" s="29">
        <f t="shared" si="101"/>
        <v>0.6166666666666667</v>
      </c>
      <c r="AM429" s="29">
        <f t="shared" si="102"/>
        <v>578.46666666666704</v>
      </c>
      <c r="AN429" s="29">
        <f t="shared" si="103"/>
        <v>0.93695977872536529</v>
      </c>
      <c r="AO429" s="29">
        <f t="shared" si="104"/>
        <v>0.9375</v>
      </c>
      <c r="AP429" s="31">
        <f t="shared" si="105"/>
        <v>0.99942376397372301</v>
      </c>
      <c r="AQ429" s="31">
        <f t="shared" si="106"/>
        <v>0.91881918819188191</v>
      </c>
      <c r="AR429" s="31">
        <f t="shared" si="107"/>
        <v>0.86308492201039777</v>
      </c>
      <c r="AS429" s="29">
        <f t="shared" si="108"/>
        <v>36.952140221402217</v>
      </c>
      <c r="AT429" s="29">
        <f t="shared" si="109"/>
        <v>10.003215268038302</v>
      </c>
      <c r="AU429" s="27" t="str">
        <f t="shared" si="110"/>
        <v>Medium</v>
      </c>
      <c r="AV429" s="27" t="str">
        <f t="shared" si="111"/>
        <v>Warning</v>
      </c>
      <c r="AW429" s="27"/>
    </row>
    <row r="430" spans="1:49" x14ac:dyDescent="0.25">
      <c r="A430" s="27">
        <v>429</v>
      </c>
      <c r="B430" s="28">
        <v>46036</v>
      </c>
      <c r="C430" s="28" t="str">
        <f t="shared" si="96"/>
        <v>January</v>
      </c>
      <c r="D430" s="27" t="s">
        <v>67</v>
      </c>
      <c r="E430" s="27" t="s">
        <v>48</v>
      </c>
      <c r="F430" s="27" t="s">
        <v>72</v>
      </c>
      <c r="G430" s="27" t="s">
        <v>78</v>
      </c>
      <c r="H430" s="27" t="s">
        <v>79</v>
      </c>
      <c r="I430" s="27" t="s">
        <v>553</v>
      </c>
      <c r="J430" s="27" t="s">
        <v>59</v>
      </c>
      <c r="K430" s="27">
        <v>819</v>
      </c>
      <c r="L430" s="27">
        <v>669</v>
      </c>
      <c r="M430" s="27">
        <v>625</v>
      </c>
      <c r="N430" s="27">
        <v>44</v>
      </c>
      <c r="O430" s="27">
        <v>9</v>
      </c>
      <c r="P430" s="27">
        <v>44</v>
      </c>
      <c r="Q430" s="27" t="s">
        <v>97</v>
      </c>
      <c r="R430" s="27">
        <v>49</v>
      </c>
      <c r="S430" s="27">
        <v>49</v>
      </c>
      <c r="T430" s="29">
        <v>71.5</v>
      </c>
      <c r="U430" s="29">
        <v>2.86</v>
      </c>
      <c r="V430" s="29">
        <v>25.98</v>
      </c>
      <c r="W430" s="30">
        <v>14299.51</v>
      </c>
      <c r="X430" s="27">
        <v>5.96</v>
      </c>
      <c r="Y430" s="27" t="s">
        <v>110</v>
      </c>
      <c r="Z430" s="29">
        <v>46</v>
      </c>
      <c r="AA430" s="30">
        <v>23409.26</v>
      </c>
      <c r="AB430" s="29">
        <v>0.93423019431987997</v>
      </c>
      <c r="AC430" s="30">
        <v>17215.330000000002</v>
      </c>
      <c r="AD430" s="30">
        <v>192.37008968609899</v>
      </c>
      <c r="AE430" s="27">
        <v>668.85</v>
      </c>
      <c r="AF430" s="29">
        <v>0.93421544441952598</v>
      </c>
      <c r="AG430" s="30">
        <v>6001.5599103139002</v>
      </c>
      <c r="AH430" s="31">
        <f t="shared" si="97"/>
        <v>0.81684981684981683</v>
      </c>
      <c r="AI430" s="31">
        <f t="shared" si="98"/>
        <v>6.5769805680119586E-2</v>
      </c>
      <c r="AJ430" s="31">
        <f t="shared" si="99"/>
        <v>1.3452914798206279E-2</v>
      </c>
      <c r="AK430" s="31">
        <f t="shared" si="100"/>
        <v>0.93423019431988041</v>
      </c>
      <c r="AL430" s="29">
        <f t="shared" si="101"/>
        <v>0.73333333333333328</v>
      </c>
      <c r="AM430" s="29">
        <f t="shared" si="102"/>
        <v>624.85</v>
      </c>
      <c r="AN430" s="29">
        <f t="shared" si="103"/>
        <v>1.0706569576698408</v>
      </c>
      <c r="AO430" s="29">
        <f t="shared" si="104"/>
        <v>1.2244897959183674</v>
      </c>
      <c r="AP430" s="31">
        <f t="shared" si="105"/>
        <v>0.87436984876370327</v>
      </c>
      <c r="AQ430" s="31">
        <f t="shared" si="106"/>
        <v>0.93423019431988041</v>
      </c>
      <c r="AR430" s="31">
        <f t="shared" si="107"/>
        <v>0.76312576312576297</v>
      </c>
      <c r="AS430" s="29">
        <f t="shared" si="108"/>
        <v>25.73292974588939</v>
      </c>
      <c r="AT430" s="29">
        <f t="shared" si="109"/>
        <v>8.9709415699759347</v>
      </c>
      <c r="AU430" s="27" t="str">
        <f t="shared" si="110"/>
        <v>High</v>
      </c>
      <c r="AV430" s="27" t="str">
        <f t="shared" si="111"/>
        <v>Warning</v>
      </c>
      <c r="AW430" s="27"/>
    </row>
    <row r="431" spans="1:49" x14ac:dyDescent="0.25">
      <c r="A431" s="27">
        <v>430</v>
      </c>
      <c r="B431" s="28">
        <v>46108</v>
      </c>
      <c r="C431" s="28" t="str">
        <f t="shared" si="96"/>
        <v>March</v>
      </c>
      <c r="D431" s="27" t="s">
        <v>47</v>
      </c>
      <c r="E431" s="27" t="s">
        <v>98</v>
      </c>
      <c r="F431" s="27" t="s">
        <v>105</v>
      </c>
      <c r="G431" s="27" t="s">
        <v>63</v>
      </c>
      <c r="H431" s="27" t="s">
        <v>57</v>
      </c>
      <c r="I431" s="27" t="s">
        <v>554</v>
      </c>
      <c r="J431" s="27" t="s">
        <v>150</v>
      </c>
      <c r="K431" s="27">
        <v>800</v>
      </c>
      <c r="L431" s="27">
        <v>695</v>
      </c>
      <c r="M431" s="27">
        <v>656</v>
      </c>
      <c r="N431" s="27">
        <v>39</v>
      </c>
      <c r="O431" s="27">
        <v>11</v>
      </c>
      <c r="P431" s="27">
        <v>29</v>
      </c>
      <c r="Q431" s="27" t="s">
        <v>102</v>
      </c>
      <c r="R431" s="27">
        <v>45</v>
      </c>
      <c r="S431" s="27">
        <v>48</v>
      </c>
      <c r="T431" s="29">
        <v>73.599999999999994</v>
      </c>
      <c r="U431" s="29">
        <v>1.7</v>
      </c>
      <c r="V431" s="29">
        <v>28.23</v>
      </c>
      <c r="W431" s="30">
        <v>14910.04</v>
      </c>
      <c r="X431" s="27">
        <v>7.63</v>
      </c>
      <c r="Y431" s="27" t="s">
        <v>55</v>
      </c>
      <c r="Z431" s="29">
        <v>18</v>
      </c>
      <c r="AA431" s="30">
        <v>23267.66</v>
      </c>
      <c r="AB431" s="29">
        <v>0.94388489208633097</v>
      </c>
      <c r="AC431" s="30">
        <v>18597.61</v>
      </c>
      <c r="AD431" s="30">
        <v>235.98624460431699</v>
      </c>
      <c r="AE431" s="27">
        <v>600</v>
      </c>
      <c r="AF431" s="29">
        <v>0.95166666666666699</v>
      </c>
      <c r="AG431" s="30">
        <v>4434.0637553956803</v>
      </c>
      <c r="AH431" s="31">
        <f t="shared" si="97"/>
        <v>0.86875000000000002</v>
      </c>
      <c r="AI431" s="31">
        <f t="shared" si="98"/>
        <v>5.6115107913669061E-2</v>
      </c>
      <c r="AJ431" s="31">
        <f t="shared" si="99"/>
        <v>1.5827338129496403E-2</v>
      </c>
      <c r="AK431" s="31">
        <f t="shared" si="100"/>
        <v>0.94388489208633097</v>
      </c>
      <c r="AL431" s="29">
        <f t="shared" si="101"/>
        <v>0.48333333333333334</v>
      </c>
      <c r="AM431" s="29">
        <f t="shared" si="102"/>
        <v>571</v>
      </c>
      <c r="AN431" s="29">
        <f t="shared" si="103"/>
        <v>1.2171628721541157</v>
      </c>
      <c r="AO431" s="29">
        <f t="shared" si="104"/>
        <v>1.3333333333333333</v>
      </c>
      <c r="AP431" s="31">
        <f t="shared" si="105"/>
        <v>0.91287215411558675</v>
      </c>
      <c r="AQ431" s="31">
        <f t="shared" si="106"/>
        <v>0.94388489208633097</v>
      </c>
      <c r="AR431" s="31">
        <f t="shared" si="107"/>
        <v>0.8200000000000004</v>
      </c>
      <c r="AS431" s="29">
        <f t="shared" si="108"/>
        <v>26.759151079136693</v>
      </c>
      <c r="AT431" s="29">
        <f t="shared" si="109"/>
        <v>6.3799478494901871</v>
      </c>
      <c r="AU431" s="27" t="str">
        <f t="shared" si="110"/>
        <v>Medium</v>
      </c>
      <c r="AV431" s="27" t="str">
        <f t="shared" si="111"/>
        <v>Warning</v>
      </c>
      <c r="AW431" s="27"/>
    </row>
    <row r="432" spans="1:49" x14ac:dyDescent="0.25">
      <c r="A432" s="27">
        <v>431</v>
      </c>
      <c r="B432" s="28">
        <v>46049</v>
      </c>
      <c r="C432" s="28" t="str">
        <f t="shared" si="96"/>
        <v>January</v>
      </c>
      <c r="D432" s="27" t="s">
        <v>47</v>
      </c>
      <c r="E432" s="27" t="s">
        <v>61</v>
      </c>
      <c r="F432" s="27" t="s">
        <v>95</v>
      </c>
      <c r="G432" s="27" t="s">
        <v>50</v>
      </c>
      <c r="H432" s="27" t="s">
        <v>79</v>
      </c>
      <c r="I432" s="27" t="s">
        <v>555</v>
      </c>
      <c r="J432" s="27" t="s">
        <v>84</v>
      </c>
      <c r="K432" s="27">
        <v>775</v>
      </c>
      <c r="L432" s="27">
        <v>854</v>
      </c>
      <c r="M432" s="27">
        <v>804</v>
      </c>
      <c r="N432" s="27">
        <v>50</v>
      </c>
      <c r="O432" s="27">
        <v>9</v>
      </c>
      <c r="P432" s="27">
        <v>13</v>
      </c>
      <c r="Q432" s="27" t="s">
        <v>97</v>
      </c>
      <c r="R432" s="27">
        <v>49</v>
      </c>
      <c r="S432" s="27">
        <v>47</v>
      </c>
      <c r="T432" s="29">
        <v>68.8</v>
      </c>
      <c r="U432" s="29">
        <v>1.73</v>
      </c>
      <c r="V432" s="29">
        <v>29.92</v>
      </c>
      <c r="W432" s="30">
        <v>18511.2</v>
      </c>
      <c r="X432" s="27">
        <v>8.39</v>
      </c>
      <c r="Y432" s="27" t="s">
        <v>110</v>
      </c>
      <c r="Z432" s="29">
        <v>30</v>
      </c>
      <c r="AA432" s="30">
        <v>30642.82</v>
      </c>
      <c r="AB432" s="29">
        <v>0.94145199063231899</v>
      </c>
      <c r="AC432" s="30">
        <v>22555.98</v>
      </c>
      <c r="AD432" s="30">
        <v>195.08290398126499</v>
      </c>
      <c r="AE432" s="27">
        <v>632.91666666666697</v>
      </c>
      <c r="AF432" s="29">
        <v>0.97946017116523998</v>
      </c>
      <c r="AG432" s="30">
        <v>7891.7570960187404</v>
      </c>
      <c r="AH432" s="31">
        <f t="shared" si="97"/>
        <v>1.1019354838709678</v>
      </c>
      <c r="AI432" s="31">
        <f t="shared" si="98"/>
        <v>5.8548009367681501E-2</v>
      </c>
      <c r="AJ432" s="31">
        <f t="shared" si="99"/>
        <v>1.0538641686182669E-2</v>
      </c>
      <c r="AK432" s="31">
        <f t="shared" si="100"/>
        <v>0.94145199063231855</v>
      </c>
      <c r="AL432" s="29">
        <f t="shared" si="101"/>
        <v>0.21666666666666667</v>
      </c>
      <c r="AM432" s="29">
        <f t="shared" si="102"/>
        <v>619.91666666666697</v>
      </c>
      <c r="AN432" s="29">
        <f t="shared" si="103"/>
        <v>1.3776045167361197</v>
      </c>
      <c r="AO432" s="29">
        <f t="shared" si="104"/>
        <v>1.2244897959183674</v>
      </c>
      <c r="AP432" s="31">
        <f t="shared" si="105"/>
        <v>1.125043688667831</v>
      </c>
      <c r="AQ432" s="31">
        <f t="shared" si="106"/>
        <v>0.94145199063231855</v>
      </c>
      <c r="AR432" s="31">
        <f t="shared" si="107"/>
        <v>1.0374193548387087</v>
      </c>
      <c r="AS432" s="29">
        <f t="shared" si="108"/>
        <v>26.412154566744729</v>
      </c>
      <c r="AT432" s="29">
        <f t="shared" si="109"/>
        <v>9.2409333677034429</v>
      </c>
      <c r="AU432" s="27" t="str">
        <f t="shared" si="110"/>
        <v>Medium</v>
      </c>
      <c r="AV432" s="27" t="str">
        <f t="shared" si="111"/>
        <v>Normal</v>
      </c>
      <c r="AW432" s="27"/>
    </row>
    <row r="433" spans="1:49" x14ac:dyDescent="0.25">
      <c r="A433" s="27">
        <v>432</v>
      </c>
      <c r="B433" s="28">
        <v>46052</v>
      </c>
      <c r="C433" s="28" t="str">
        <f t="shared" si="96"/>
        <v>January</v>
      </c>
      <c r="D433" s="27" t="s">
        <v>67</v>
      </c>
      <c r="E433" s="27" t="s">
        <v>48</v>
      </c>
      <c r="F433" s="27" t="s">
        <v>49</v>
      </c>
      <c r="G433" s="27" t="s">
        <v>78</v>
      </c>
      <c r="H433" s="27" t="s">
        <v>79</v>
      </c>
      <c r="I433" s="27" t="s">
        <v>556</v>
      </c>
      <c r="J433" s="27" t="s">
        <v>138</v>
      </c>
      <c r="K433" s="27">
        <v>795</v>
      </c>
      <c r="L433" s="27">
        <v>690</v>
      </c>
      <c r="M433" s="27">
        <v>650</v>
      </c>
      <c r="N433" s="27">
        <v>40</v>
      </c>
      <c r="O433" s="27">
        <v>13</v>
      </c>
      <c r="P433" s="27">
        <v>31</v>
      </c>
      <c r="Q433" s="27" t="s">
        <v>94</v>
      </c>
      <c r="R433" s="27">
        <v>49</v>
      </c>
      <c r="S433" s="27">
        <v>50</v>
      </c>
      <c r="T433" s="29">
        <v>71.8</v>
      </c>
      <c r="U433" s="29">
        <v>1.1100000000000001</v>
      </c>
      <c r="V433" s="29">
        <v>29.31</v>
      </c>
      <c r="W433" s="30">
        <v>15580.44</v>
      </c>
      <c r="X433" s="27">
        <v>8.58</v>
      </c>
      <c r="Y433" s="27" t="s">
        <v>55</v>
      </c>
      <c r="Z433" s="29">
        <v>16</v>
      </c>
      <c r="AA433" s="30">
        <v>24146.79</v>
      </c>
      <c r="AB433" s="29">
        <v>0.94202898550724601</v>
      </c>
      <c r="AC433" s="30">
        <v>19705.23</v>
      </c>
      <c r="AD433" s="30">
        <v>293.54452173913</v>
      </c>
      <c r="AE433" s="27">
        <v>649.25</v>
      </c>
      <c r="AF433" s="29">
        <v>0.95225259915286897</v>
      </c>
      <c r="AG433" s="30">
        <v>4148.0154782608697</v>
      </c>
      <c r="AH433" s="31">
        <f t="shared" si="97"/>
        <v>0.86792452830188682</v>
      </c>
      <c r="AI433" s="31">
        <f t="shared" si="98"/>
        <v>5.7971014492753624E-2</v>
      </c>
      <c r="AJ433" s="31">
        <f t="shared" si="99"/>
        <v>1.8840579710144929E-2</v>
      </c>
      <c r="AK433" s="31">
        <f t="shared" si="100"/>
        <v>0.94202898550724634</v>
      </c>
      <c r="AL433" s="29">
        <f t="shared" si="101"/>
        <v>0.51666666666666672</v>
      </c>
      <c r="AM433" s="29">
        <f t="shared" si="102"/>
        <v>618.25</v>
      </c>
      <c r="AN433" s="29">
        <f t="shared" si="103"/>
        <v>1.1160533764658309</v>
      </c>
      <c r="AO433" s="29">
        <f t="shared" si="104"/>
        <v>1.2244897959183674</v>
      </c>
      <c r="AP433" s="31">
        <f t="shared" si="105"/>
        <v>0.91144359078042858</v>
      </c>
      <c r="AQ433" s="31">
        <f t="shared" si="106"/>
        <v>0.94202898550724634</v>
      </c>
      <c r="AR433" s="31">
        <f t="shared" si="107"/>
        <v>0.81761006289308191</v>
      </c>
      <c r="AS433" s="29">
        <f t="shared" si="108"/>
        <v>28.558304347826088</v>
      </c>
      <c r="AT433" s="29">
        <f t="shared" si="109"/>
        <v>6.0116166351606806</v>
      </c>
      <c r="AU433" s="27" t="str">
        <f t="shared" si="110"/>
        <v>Medium</v>
      </c>
      <c r="AV433" s="27" t="str">
        <f t="shared" si="111"/>
        <v>Warning</v>
      </c>
      <c r="AW433" s="27"/>
    </row>
    <row r="434" spans="1:49" x14ac:dyDescent="0.25">
      <c r="A434" s="27">
        <v>433</v>
      </c>
      <c r="B434" s="28">
        <v>46069</v>
      </c>
      <c r="C434" s="28" t="str">
        <f t="shared" si="96"/>
        <v>February</v>
      </c>
      <c r="D434" s="27" t="s">
        <v>67</v>
      </c>
      <c r="E434" s="27" t="s">
        <v>48</v>
      </c>
      <c r="F434" s="27" t="s">
        <v>56</v>
      </c>
      <c r="G434" s="27" t="s">
        <v>50</v>
      </c>
      <c r="H434" s="27" t="s">
        <v>57</v>
      </c>
      <c r="I434" s="27" t="s">
        <v>557</v>
      </c>
      <c r="J434" s="27" t="s">
        <v>115</v>
      </c>
      <c r="K434" s="27">
        <v>829</v>
      </c>
      <c r="L434" s="27">
        <v>780</v>
      </c>
      <c r="M434" s="27">
        <v>732</v>
      </c>
      <c r="N434" s="27">
        <v>48</v>
      </c>
      <c r="O434" s="27">
        <v>19</v>
      </c>
      <c r="P434" s="27">
        <v>35</v>
      </c>
      <c r="Q434" s="27" t="s">
        <v>102</v>
      </c>
      <c r="R434" s="27">
        <v>45</v>
      </c>
      <c r="S434" s="27">
        <v>44</v>
      </c>
      <c r="T434" s="29">
        <v>70.7</v>
      </c>
      <c r="U434" s="29">
        <v>1.84</v>
      </c>
      <c r="V434" s="29">
        <v>27.99</v>
      </c>
      <c r="W434" s="30">
        <v>15734.67</v>
      </c>
      <c r="X434" s="27">
        <v>8.49</v>
      </c>
      <c r="Y434" s="27" t="s">
        <v>110</v>
      </c>
      <c r="Z434" s="29">
        <v>9</v>
      </c>
      <c r="AA434" s="30">
        <v>25226.79</v>
      </c>
      <c r="AB434" s="29">
        <v>0.93846153846153901</v>
      </c>
      <c r="AC434" s="30">
        <v>19807.080000000002</v>
      </c>
      <c r="AD434" s="30">
        <v>383.280423076923</v>
      </c>
      <c r="AE434" s="27">
        <v>621.75</v>
      </c>
      <c r="AF434" s="29">
        <v>0.94370727784479302</v>
      </c>
      <c r="AG434" s="30">
        <v>5036.4295769230803</v>
      </c>
      <c r="AH434" s="31">
        <f t="shared" si="97"/>
        <v>0.94089264173703258</v>
      </c>
      <c r="AI434" s="31">
        <f t="shared" si="98"/>
        <v>6.1538461538461542E-2</v>
      </c>
      <c r="AJ434" s="31">
        <f t="shared" si="99"/>
        <v>2.4358974358974359E-2</v>
      </c>
      <c r="AK434" s="31">
        <f t="shared" si="100"/>
        <v>0.93846153846153846</v>
      </c>
      <c r="AL434" s="29">
        <f t="shared" si="101"/>
        <v>0.58333333333333337</v>
      </c>
      <c r="AM434" s="29">
        <f t="shared" si="102"/>
        <v>586.75</v>
      </c>
      <c r="AN434" s="29">
        <f t="shared" si="103"/>
        <v>1.3293566254793354</v>
      </c>
      <c r="AO434" s="29">
        <f t="shared" si="104"/>
        <v>1.3333333333333333</v>
      </c>
      <c r="AP434" s="31">
        <f t="shared" si="105"/>
        <v>0.99701746910950162</v>
      </c>
      <c r="AQ434" s="31">
        <f t="shared" si="106"/>
        <v>0.93846153846153846</v>
      </c>
      <c r="AR434" s="31">
        <f t="shared" si="107"/>
        <v>0.8829915560916769</v>
      </c>
      <c r="AS434" s="29">
        <f t="shared" si="108"/>
        <v>25.393692307692309</v>
      </c>
      <c r="AT434" s="29">
        <f t="shared" si="109"/>
        <v>6.4569609960552308</v>
      </c>
      <c r="AU434" s="27" t="str">
        <f t="shared" si="110"/>
        <v>Medium</v>
      </c>
      <c r="AV434" s="27" t="str">
        <f t="shared" si="111"/>
        <v>Normal</v>
      </c>
      <c r="AW434" s="27"/>
    </row>
    <row r="435" spans="1:49" x14ac:dyDescent="0.25">
      <c r="A435" s="27">
        <v>434</v>
      </c>
      <c r="B435" s="28">
        <v>46091</v>
      </c>
      <c r="C435" s="28" t="str">
        <f t="shared" si="96"/>
        <v>March</v>
      </c>
      <c r="D435" s="27" t="s">
        <v>67</v>
      </c>
      <c r="E435" s="27" t="s">
        <v>76</v>
      </c>
      <c r="F435" s="27" t="s">
        <v>113</v>
      </c>
      <c r="G435" s="27" t="s">
        <v>50</v>
      </c>
      <c r="H435" s="27" t="s">
        <v>79</v>
      </c>
      <c r="I435" s="27" t="s">
        <v>558</v>
      </c>
      <c r="J435" s="27" t="s">
        <v>107</v>
      </c>
      <c r="K435" s="27">
        <v>868</v>
      </c>
      <c r="L435" s="27">
        <v>835</v>
      </c>
      <c r="M435" s="27">
        <v>800</v>
      </c>
      <c r="N435" s="27">
        <v>35</v>
      </c>
      <c r="O435" s="27">
        <v>13</v>
      </c>
      <c r="P435" s="27">
        <v>23</v>
      </c>
      <c r="Q435" s="27" t="s">
        <v>97</v>
      </c>
      <c r="R435" s="27">
        <v>49</v>
      </c>
      <c r="S435" s="27">
        <v>49</v>
      </c>
      <c r="T435" s="29">
        <v>71.8</v>
      </c>
      <c r="U435" s="29">
        <v>1.74</v>
      </c>
      <c r="V435" s="29">
        <v>26.63</v>
      </c>
      <c r="W435" s="30">
        <v>18807.22</v>
      </c>
      <c r="X435" s="27">
        <v>8.99</v>
      </c>
      <c r="Y435" s="27" t="s">
        <v>55</v>
      </c>
      <c r="Z435" s="29">
        <v>2</v>
      </c>
      <c r="AA435" s="30">
        <v>29696.37</v>
      </c>
      <c r="AB435" s="29">
        <v>0.95808383233532901</v>
      </c>
      <c r="AC435" s="30">
        <v>23092.39</v>
      </c>
      <c r="AD435" s="30">
        <v>292.80701796407197</v>
      </c>
      <c r="AE435" s="27">
        <v>708.86666666666702</v>
      </c>
      <c r="AF435" s="29">
        <v>0.96755384181322301</v>
      </c>
      <c r="AG435" s="30">
        <v>6311.1729820359296</v>
      </c>
      <c r="AH435" s="31">
        <f t="shared" si="97"/>
        <v>0.96198156682027647</v>
      </c>
      <c r="AI435" s="31">
        <f t="shared" si="98"/>
        <v>4.1916167664670656E-2</v>
      </c>
      <c r="AJ435" s="31">
        <f t="shared" si="99"/>
        <v>1.5568862275449102E-2</v>
      </c>
      <c r="AK435" s="31">
        <f t="shared" si="100"/>
        <v>0.95808383233532934</v>
      </c>
      <c r="AL435" s="29">
        <f t="shared" si="101"/>
        <v>0.38333333333333336</v>
      </c>
      <c r="AM435" s="29">
        <f t="shared" si="102"/>
        <v>685.86666666666702</v>
      </c>
      <c r="AN435" s="29">
        <f t="shared" si="103"/>
        <v>1.2174377916018657</v>
      </c>
      <c r="AO435" s="29">
        <f t="shared" si="104"/>
        <v>1.2244897959183674</v>
      </c>
      <c r="AP435" s="31">
        <f t="shared" si="105"/>
        <v>0.9942408631415236</v>
      </c>
      <c r="AQ435" s="31">
        <f t="shared" si="106"/>
        <v>0.95808383233532934</v>
      </c>
      <c r="AR435" s="31">
        <f t="shared" si="107"/>
        <v>0.92165898617511477</v>
      </c>
      <c r="AS435" s="29">
        <f t="shared" si="108"/>
        <v>27.655556886227544</v>
      </c>
      <c r="AT435" s="29">
        <f t="shared" si="109"/>
        <v>7.5582909964502152</v>
      </c>
      <c r="AU435" s="27" t="str">
        <f t="shared" si="110"/>
        <v>Low</v>
      </c>
      <c r="AV435" s="27" t="str">
        <f t="shared" si="111"/>
        <v>Normal</v>
      </c>
      <c r="AW435" s="27"/>
    </row>
    <row r="436" spans="1:49" x14ac:dyDescent="0.25">
      <c r="A436" s="27">
        <v>435</v>
      </c>
      <c r="B436" s="28">
        <v>46150</v>
      </c>
      <c r="C436" s="28" t="str">
        <f t="shared" si="96"/>
        <v>May</v>
      </c>
      <c r="D436" s="27" t="s">
        <v>47</v>
      </c>
      <c r="E436" s="27" t="s">
        <v>129</v>
      </c>
      <c r="F436" s="27" t="s">
        <v>151</v>
      </c>
      <c r="G436" s="27" t="s">
        <v>63</v>
      </c>
      <c r="H436" s="27" t="s">
        <v>79</v>
      </c>
      <c r="I436" s="27" t="s">
        <v>559</v>
      </c>
      <c r="J436" s="27" t="s">
        <v>140</v>
      </c>
      <c r="K436" s="27">
        <v>650</v>
      </c>
      <c r="L436" s="27">
        <v>592</v>
      </c>
      <c r="M436" s="27">
        <v>565</v>
      </c>
      <c r="N436" s="27">
        <v>27</v>
      </c>
      <c r="O436" s="27">
        <v>7</v>
      </c>
      <c r="P436" s="27">
        <v>9</v>
      </c>
      <c r="Q436" s="27" t="s">
        <v>97</v>
      </c>
      <c r="R436" s="27">
        <v>49</v>
      </c>
      <c r="S436" s="27">
        <v>50</v>
      </c>
      <c r="T436" s="29">
        <v>72.900000000000006</v>
      </c>
      <c r="U436" s="29">
        <v>2.2599999999999998</v>
      </c>
      <c r="V436" s="29">
        <v>21.18</v>
      </c>
      <c r="W436" s="30">
        <v>12283.18</v>
      </c>
      <c r="X436" s="27">
        <v>8.39</v>
      </c>
      <c r="Y436" s="27" t="s">
        <v>110</v>
      </c>
      <c r="Z436" s="29">
        <v>13</v>
      </c>
      <c r="AA436" s="30">
        <v>22014.52</v>
      </c>
      <c r="AB436" s="29">
        <v>0.954391891891892</v>
      </c>
      <c r="AC436" s="30">
        <v>16249.3</v>
      </c>
      <c r="AD436" s="30">
        <v>145.24030405405401</v>
      </c>
      <c r="AE436" s="27">
        <v>530.83333333333303</v>
      </c>
      <c r="AF436" s="29">
        <v>0.98304552590266903</v>
      </c>
      <c r="AG436" s="30">
        <v>5619.97969594595</v>
      </c>
      <c r="AH436" s="31">
        <f t="shared" si="97"/>
        <v>0.91076923076923078</v>
      </c>
      <c r="AI436" s="31">
        <f t="shared" si="98"/>
        <v>4.5608108108108107E-2</v>
      </c>
      <c r="AJ436" s="31">
        <f t="shared" si="99"/>
        <v>1.1824324324324325E-2</v>
      </c>
      <c r="AK436" s="31">
        <f t="shared" si="100"/>
        <v>0.95439189189189189</v>
      </c>
      <c r="AL436" s="29">
        <f t="shared" si="101"/>
        <v>0.15</v>
      </c>
      <c r="AM436" s="29">
        <f t="shared" si="102"/>
        <v>521.83333333333303</v>
      </c>
      <c r="AN436" s="29">
        <f t="shared" si="103"/>
        <v>1.1344618332801029</v>
      </c>
      <c r="AO436" s="29">
        <f t="shared" si="104"/>
        <v>1.2244897959183674</v>
      </c>
      <c r="AP436" s="31">
        <f t="shared" si="105"/>
        <v>0.92647716384541734</v>
      </c>
      <c r="AQ436" s="31">
        <f t="shared" si="106"/>
        <v>0.95439189189189189</v>
      </c>
      <c r="AR436" s="31">
        <f t="shared" si="107"/>
        <v>0.86923076923076992</v>
      </c>
      <c r="AS436" s="29">
        <f t="shared" si="108"/>
        <v>27.44814189189189</v>
      </c>
      <c r="AT436" s="29">
        <f t="shared" si="109"/>
        <v>9.4932089458546454</v>
      </c>
      <c r="AU436" s="27" t="str">
        <f t="shared" si="110"/>
        <v>Medium</v>
      </c>
      <c r="AV436" s="27" t="str">
        <f t="shared" si="111"/>
        <v>Normal</v>
      </c>
      <c r="AW436" s="27"/>
    </row>
    <row r="437" spans="1:49" x14ac:dyDescent="0.25">
      <c r="A437" s="27">
        <v>436</v>
      </c>
      <c r="B437" s="28">
        <v>46090</v>
      </c>
      <c r="C437" s="28" t="str">
        <f t="shared" si="96"/>
        <v>March</v>
      </c>
      <c r="D437" s="27" t="s">
        <v>47</v>
      </c>
      <c r="E437" s="27" t="s">
        <v>48</v>
      </c>
      <c r="F437" s="27" t="s">
        <v>56</v>
      </c>
      <c r="G437" s="27" t="s">
        <v>63</v>
      </c>
      <c r="H437" s="27" t="s">
        <v>124</v>
      </c>
      <c r="I437" s="27" t="s">
        <v>560</v>
      </c>
      <c r="J437" s="27" t="s">
        <v>74</v>
      </c>
      <c r="K437" s="27">
        <v>720</v>
      </c>
      <c r="L437" s="27">
        <v>708</v>
      </c>
      <c r="M437" s="27">
        <v>665</v>
      </c>
      <c r="N437" s="27">
        <v>43</v>
      </c>
      <c r="O437" s="27">
        <v>17</v>
      </c>
      <c r="P437" s="27">
        <v>24</v>
      </c>
      <c r="Q437" s="27" t="s">
        <v>54</v>
      </c>
      <c r="R437" s="27">
        <v>57</v>
      </c>
      <c r="S437" s="27">
        <v>58</v>
      </c>
      <c r="T437" s="29">
        <v>70.599999999999994</v>
      </c>
      <c r="U437" s="29">
        <v>1.41</v>
      </c>
      <c r="V437" s="29">
        <v>25.48</v>
      </c>
      <c r="W437" s="30">
        <v>19629.580000000002</v>
      </c>
      <c r="X437" s="27">
        <v>8.76</v>
      </c>
      <c r="Y437" s="27" t="s">
        <v>55</v>
      </c>
      <c r="Z437" s="29">
        <v>35</v>
      </c>
      <c r="AA437" s="30">
        <v>30372.12</v>
      </c>
      <c r="AB437" s="29">
        <v>0.93926553672316404</v>
      </c>
      <c r="AC437" s="30">
        <v>23800.9</v>
      </c>
      <c r="AD437" s="30">
        <v>471.33172316384201</v>
      </c>
      <c r="AE437" s="27">
        <v>684</v>
      </c>
      <c r="AF437" s="29">
        <v>0.96491228070175405</v>
      </c>
      <c r="AG437" s="30">
        <v>6099.88827683616</v>
      </c>
      <c r="AH437" s="31">
        <f t="shared" si="97"/>
        <v>0.98333333333333328</v>
      </c>
      <c r="AI437" s="31">
        <f t="shared" si="98"/>
        <v>6.0734463276836161E-2</v>
      </c>
      <c r="AJ437" s="31">
        <f t="shared" si="99"/>
        <v>2.4011299435028249E-2</v>
      </c>
      <c r="AK437" s="31">
        <f t="shared" si="100"/>
        <v>0.93926553672316382</v>
      </c>
      <c r="AL437" s="29">
        <f t="shared" si="101"/>
        <v>0.4</v>
      </c>
      <c r="AM437" s="29">
        <f t="shared" si="102"/>
        <v>660</v>
      </c>
      <c r="AN437" s="29">
        <f t="shared" si="103"/>
        <v>1.0727272727272728</v>
      </c>
      <c r="AO437" s="29">
        <f t="shared" si="104"/>
        <v>1.0526315789473684</v>
      </c>
      <c r="AP437" s="31">
        <f t="shared" si="105"/>
        <v>1.0190909090909093</v>
      </c>
      <c r="AQ437" s="31">
        <f t="shared" si="106"/>
        <v>0.93926553672316382</v>
      </c>
      <c r="AR437" s="31">
        <f t="shared" si="107"/>
        <v>0.92361111111111094</v>
      </c>
      <c r="AS437" s="29">
        <f t="shared" si="108"/>
        <v>33.617090395480226</v>
      </c>
      <c r="AT437" s="29">
        <f t="shared" si="109"/>
        <v>8.6156614079606779</v>
      </c>
      <c r="AU437" s="27" t="str">
        <f t="shared" si="110"/>
        <v>Medium</v>
      </c>
      <c r="AV437" s="27" t="str">
        <f t="shared" si="111"/>
        <v>Normal</v>
      </c>
      <c r="AW437" s="27"/>
    </row>
    <row r="438" spans="1:49" x14ac:dyDescent="0.25">
      <c r="A438" s="27">
        <v>437</v>
      </c>
      <c r="B438" s="28">
        <v>46083</v>
      </c>
      <c r="C438" s="28" t="str">
        <f t="shared" si="96"/>
        <v>March</v>
      </c>
      <c r="D438" s="27" t="s">
        <v>47</v>
      </c>
      <c r="E438" s="27" t="s">
        <v>48</v>
      </c>
      <c r="F438" s="27" t="s">
        <v>56</v>
      </c>
      <c r="G438" s="27" t="s">
        <v>78</v>
      </c>
      <c r="H438" s="27" t="s">
        <v>68</v>
      </c>
      <c r="I438" s="27" t="s">
        <v>561</v>
      </c>
      <c r="J438" s="27" t="s">
        <v>140</v>
      </c>
      <c r="K438" s="27">
        <v>513</v>
      </c>
      <c r="L438" s="27">
        <v>455</v>
      </c>
      <c r="M438" s="27">
        <v>427</v>
      </c>
      <c r="N438" s="27">
        <v>28</v>
      </c>
      <c r="O438" s="27">
        <v>7</v>
      </c>
      <c r="P438" s="27">
        <v>41</v>
      </c>
      <c r="Q438" s="27" t="s">
        <v>54</v>
      </c>
      <c r="R438" s="27">
        <v>64</v>
      </c>
      <c r="S438" s="27">
        <v>66</v>
      </c>
      <c r="T438" s="29">
        <v>75.8</v>
      </c>
      <c r="U438" s="29">
        <v>1.63</v>
      </c>
      <c r="V438" s="29">
        <v>19.45</v>
      </c>
      <c r="W438" s="30">
        <v>14693.34</v>
      </c>
      <c r="X438" s="27">
        <v>7.68</v>
      </c>
      <c r="Y438" s="27" t="s">
        <v>55</v>
      </c>
      <c r="Z438" s="29">
        <v>19</v>
      </c>
      <c r="AA438" s="30">
        <v>21549.7</v>
      </c>
      <c r="AB438" s="29">
        <v>0.93846153846153901</v>
      </c>
      <c r="AC438" s="30">
        <v>18324.39</v>
      </c>
      <c r="AD438" s="30">
        <v>226.05138461538499</v>
      </c>
      <c r="AE438" s="27">
        <v>547.20000000000005</v>
      </c>
      <c r="AF438" s="29">
        <v>0.92507309941520499</v>
      </c>
      <c r="AG438" s="30">
        <v>2999.25861538462</v>
      </c>
      <c r="AH438" s="31">
        <f t="shared" si="97"/>
        <v>0.88693957115009747</v>
      </c>
      <c r="AI438" s="31">
        <f t="shared" si="98"/>
        <v>6.1538461538461542E-2</v>
      </c>
      <c r="AJ438" s="31">
        <f t="shared" si="99"/>
        <v>1.5384615384615385E-2</v>
      </c>
      <c r="AK438" s="31">
        <f t="shared" si="100"/>
        <v>0.93846153846153846</v>
      </c>
      <c r="AL438" s="29">
        <f t="shared" si="101"/>
        <v>0.68333333333333335</v>
      </c>
      <c r="AM438" s="29">
        <f t="shared" si="102"/>
        <v>506.20000000000005</v>
      </c>
      <c r="AN438" s="29">
        <f t="shared" si="103"/>
        <v>0.89885420782299474</v>
      </c>
      <c r="AO438" s="29">
        <f t="shared" si="104"/>
        <v>0.9375</v>
      </c>
      <c r="AP438" s="31">
        <f t="shared" si="105"/>
        <v>0.95877782167786108</v>
      </c>
      <c r="AQ438" s="31">
        <f t="shared" si="106"/>
        <v>0.93846153846153846</v>
      </c>
      <c r="AR438" s="31">
        <f t="shared" si="107"/>
        <v>0.83235867446393785</v>
      </c>
      <c r="AS438" s="29">
        <f t="shared" si="108"/>
        <v>40.273384615384614</v>
      </c>
      <c r="AT438" s="29">
        <f t="shared" si="109"/>
        <v>6.5917771766694946</v>
      </c>
      <c r="AU438" s="27" t="str">
        <f t="shared" si="110"/>
        <v>Medium</v>
      </c>
      <c r="AV438" s="27" t="str">
        <f t="shared" si="111"/>
        <v>Warning</v>
      </c>
      <c r="AW438" s="27"/>
    </row>
    <row r="439" spans="1:49" x14ac:dyDescent="0.25">
      <c r="A439" s="27">
        <v>438</v>
      </c>
      <c r="B439" s="28">
        <v>46032</v>
      </c>
      <c r="C439" s="28" t="str">
        <f t="shared" si="96"/>
        <v>January</v>
      </c>
      <c r="D439" s="27" t="s">
        <v>67</v>
      </c>
      <c r="E439" s="27" t="s">
        <v>61</v>
      </c>
      <c r="F439" s="27" t="s">
        <v>95</v>
      </c>
      <c r="G439" s="27" t="s">
        <v>78</v>
      </c>
      <c r="H439" s="27" t="s">
        <v>51</v>
      </c>
      <c r="I439" s="27" t="s">
        <v>562</v>
      </c>
      <c r="J439" s="27" t="s">
        <v>150</v>
      </c>
      <c r="K439" s="27">
        <v>760</v>
      </c>
      <c r="L439" s="27">
        <v>665</v>
      </c>
      <c r="M439" s="27">
        <v>619</v>
      </c>
      <c r="N439" s="27">
        <v>46</v>
      </c>
      <c r="O439" s="27">
        <v>10</v>
      </c>
      <c r="P439" s="27">
        <v>11</v>
      </c>
      <c r="Q439" s="27" t="s">
        <v>54</v>
      </c>
      <c r="R439" s="27">
        <v>42</v>
      </c>
      <c r="S439" s="27">
        <v>43</v>
      </c>
      <c r="T439" s="29">
        <v>72.400000000000006</v>
      </c>
      <c r="U439" s="29">
        <v>1.71</v>
      </c>
      <c r="V439" s="29">
        <v>24.52</v>
      </c>
      <c r="W439" s="30">
        <v>12476.63</v>
      </c>
      <c r="X439" s="27">
        <v>6.44</v>
      </c>
      <c r="Y439" s="27" t="s">
        <v>55</v>
      </c>
      <c r="Z439" s="29">
        <v>7</v>
      </c>
      <c r="AA439" s="30">
        <v>19259.52</v>
      </c>
      <c r="AB439" s="29">
        <v>0.930827067669173</v>
      </c>
      <c r="AC439" s="30">
        <v>15595.31</v>
      </c>
      <c r="AD439" s="30">
        <v>187.61849624060201</v>
      </c>
      <c r="AE439" s="27">
        <v>532</v>
      </c>
      <c r="AF439" s="29">
        <v>0.97932330827067704</v>
      </c>
      <c r="AG439" s="30">
        <v>3476.5915037594</v>
      </c>
      <c r="AH439" s="31">
        <f t="shared" si="97"/>
        <v>0.875</v>
      </c>
      <c r="AI439" s="31">
        <f t="shared" si="98"/>
        <v>6.9172932330827067E-2</v>
      </c>
      <c r="AJ439" s="31">
        <f t="shared" si="99"/>
        <v>1.5037593984962405E-2</v>
      </c>
      <c r="AK439" s="31">
        <f t="shared" si="100"/>
        <v>0.93082706766917289</v>
      </c>
      <c r="AL439" s="29">
        <f t="shared" si="101"/>
        <v>0.18333333333333332</v>
      </c>
      <c r="AM439" s="29">
        <f t="shared" si="102"/>
        <v>521</v>
      </c>
      <c r="AN439" s="29">
        <f t="shared" si="103"/>
        <v>1.2763915547024951</v>
      </c>
      <c r="AO439" s="29">
        <f t="shared" si="104"/>
        <v>1.4285714285714286</v>
      </c>
      <c r="AP439" s="31">
        <f t="shared" si="105"/>
        <v>0.89347408829174657</v>
      </c>
      <c r="AQ439" s="31">
        <f t="shared" si="106"/>
        <v>0.93082706766917289</v>
      </c>
      <c r="AR439" s="31">
        <f t="shared" si="107"/>
        <v>0.81447368421052646</v>
      </c>
      <c r="AS439" s="29">
        <f t="shared" si="108"/>
        <v>23.451593984962404</v>
      </c>
      <c r="AT439" s="29">
        <f t="shared" si="109"/>
        <v>5.2279571485103755</v>
      </c>
      <c r="AU439" s="27" t="str">
        <f t="shared" si="110"/>
        <v>Medium</v>
      </c>
      <c r="AV439" s="27" t="str">
        <f t="shared" si="111"/>
        <v>Warning</v>
      </c>
      <c r="AW439" s="27"/>
    </row>
    <row r="440" spans="1:49" x14ac:dyDescent="0.25">
      <c r="A440" s="27">
        <v>439</v>
      </c>
      <c r="B440" s="28">
        <v>46198</v>
      </c>
      <c r="C440" s="28" t="str">
        <f t="shared" si="96"/>
        <v>June</v>
      </c>
      <c r="D440" s="27" t="s">
        <v>67</v>
      </c>
      <c r="E440" s="27" t="s">
        <v>76</v>
      </c>
      <c r="F440" s="27" t="s">
        <v>119</v>
      </c>
      <c r="G440" s="27" t="s">
        <v>50</v>
      </c>
      <c r="H440" s="27" t="s">
        <v>57</v>
      </c>
      <c r="I440" s="27" t="s">
        <v>563</v>
      </c>
      <c r="J440" s="27" t="s">
        <v>150</v>
      </c>
      <c r="K440" s="27">
        <v>812</v>
      </c>
      <c r="L440" s="27">
        <v>838</v>
      </c>
      <c r="M440" s="27">
        <v>743</v>
      </c>
      <c r="N440" s="27">
        <v>95</v>
      </c>
      <c r="O440" s="27">
        <v>36</v>
      </c>
      <c r="P440" s="27">
        <v>40</v>
      </c>
      <c r="Q440" s="27" t="s">
        <v>94</v>
      </c>
      <c r="R440" s="27">
        <v>45</v>
      </c>
      <c r="S440" s="27">
        <v>45</v>
      </c>
      <c r="T440" s="29">
        <v>76.8</v>
      </c>
      <c r="U440" s="29">
        <v>2.39</v>
      </c>
      <c r="V440" s="29">
        <v>32.4</v>
      </c>
      <c r="W440" s="30">
        <v>17027.43</v>
      </c>
      <c r="X440" s="27">
        <v>8.39</v>
      </c>
      <c r="Y440" s="27" t="s">
        <v>55</v>
      </c>
      <c r="Z440" s="29">
        <v>47</v>
      </c>
      <c r="AA440" s="30">
        <v>26171.9</v>
      </c>
      <c r="AB440" s="29">
        <v>0.88663484486873501</v>
      </c>
      <c r="AC440" s="30">
        <v>21094.53</v>
      </c>
      <c r="AD440" s="30">
        <v>731.488639618138</v>
      </c>
      <c r="AE440" s="27">
        <v>609</v>
      </c>
      <c r="AF440" s="29">
        <v>0.93431855500821004</v>
      </c>
      <c r="AG440" s="30">
        <v>4345.8813603818598</v>
      </c>
      <c r="AH440" s="31">
        <f t="shared" si="97"/>
        <v>1.0320197044334976</v>
      </c>
      <c r="AI440" s="31">
        <f t="shared" si="98"/>
        <v>0.11336515513126491</v>
      </c>
      <c r="AJ440" s="31">
        <f t="shared" si="99"/>
        <v>4.2959427207637228E-2</v>
      </c>
      <c r="AK440" s="31">
        <f t="shared" si="100"/>
        <v>0.88663484486873512</v>
      </c>
      <c r="AL440" s="29">
        <f t="shared" si="101"/>
        <v>0.66666666666666663</v>
      </c>
      <c r="AM440" s="29">
        <f t="shared" si="102"/>
        <v>569</v>
      </c>
      <c r="AN440" s="29">
        <f t="shared" si="103"/>
        <v>1.4727592267135325</v>
      </c>
      <c r="AO440" s="29">
        <f t="shared" si="104"/>
        <v>1.3333333333333333</v>
      </c>
      <c r="AP440" s="31">
        <f t="shared" si="105"/>
        <v>1.1045694200351495</v>
      </c>
      <c r="AQ440" s="31">
        <f t="shared" si="106"/>
        <v>0.88663484486873512</v>
      </c>
      <c r="AR440" s="31">
        <f t="shared" si="107"/>
        <v>0.915024630541872</v>
      </c>
      <c r="AS440" s="29">
        <f t="shared" si="108"/>
        <v>25.172470167064439</v>
      </c>
      <c r="AT440" s="29">
        <f t="shared" si="109"/>
        <v>5.1860159431764439</v>
      </c>
      <c r="AU440" s="27" t="str">
        <f t="shared" si="110"/>
        <v>Medium</v>
      </c>
      <c r="AV440" s="27" t="str">
        <f t="shared" si="111"/>
        <v>Warning</v>
      </c>
      <c r="AW440" s="27"/>
    </row>
    <row r="441" spans="1:49" x14ac:dyDescent="0.25">
      <c r="A441" s="27">
        <v>440</v>
      </c>
      <c r="B441" s="28">
        <v>46115</v>
      </c>
      <c r="C441" s="28" t="str">
        <f t="shared" si="96"/>
        <v>April</v>
      </c>
      <c r="D441" s="27" t="s">
        <v>67</v>
      </c>
      <c r="E441" s="27" t="s">
        <v>61</v>
      </c>
      <c r="F441" s="27" t="s">
        <v>95</v>
      </c>
      <c r="G441" s="27" t="s">
        <v>50</v>
      </c>
      <c r="H441" s="27" t="s">
        <v>68</v>
      </c>
      <c r="I441" s="27" t="s">
        <v>564</v>
      </c>
      <c r="J441" s="27" t="s">
        <v>143</v>
      </c>
      <c r="K441" s="27">
        <v>609</v>
      </c>
      <c r="L441" s="27">
        <v>608</v>
      </c>
      <c r="M441" s="27">
        <v>572</v>
      </c>
      <c r="N441" s="27">
        <v>36</v>
      </c>
      <c r="O441" s="27">
        <v>13</v>
      </c>
      <c r="P441" s="27">
        <v>12</v>
      </c>
      <c r="Q441" s="27" t="s">
        <v>54</v>
      </c>
      <c r="R441" s="27">
        <v>64</v>
      </c>
      <c r="S441" s="27">
        <v>67</v>
      </c>
      <c r="T441" s="29">
        <v>74.7</v>
      </c>
      <c r="U441" s="29">
        <v>2.2599999999999998</v>
      </c>
      <c r="V441" s="29">
        <v>23.69</v>
      </c>
      <c r="W441" s="30">
        <v>19329.39</v>
      </c>
      <c r="X441" s="27">
        <v>10.28</v>
      </c>
      <c r="Y441" s="27" t="s">
        <v>66</v>
      </c>
      <c r="Z441" s="29">
        <v>23</v>
      </c>
      <c r="AA441" s="30">
        <v>29891.57</v>
      </c>
      <c r="AB441" s="29">
        <v>0.94078947368421095</v>
      </c>
      <c r="AC441" s="30">
        <v>24168.6</v>
      </c>
      <c r="AD441" s="30">
        <v>413.292878289474</v>
      </c>
      <c r="AE441" s="27">
        <v>649.6</v>
      </c>
      <c r="AF441" s="29">
        <v>0.98152709359605905</v>
      </c>
      <c r="AG441" s="30">
        <v>5309.6771217105297</v>
      </c>
      <c r="AH441" s="31">
        <f t="shared" si="97"/>
        <v>0.99835796387520526</v>
      </c>
      <c r="AI441" s="31">
        <f t="shared" si="98"/>
        <v>5.921052631578947E-2</v>
      </c>
      <c r="AJ441" s="31">
        <f t="shared" si="99"/>
        <v>2.1381578947368422E-2</v>
      </c>
      <c r="AK441" s="31">
        <f t="shared" si="100"/>
        <v>0.94078947368421051</v>
      </c>
      <c r="AL441" s="29">
        <f t="shared" si="101"/>
        <v>0.2</v>
      </c>
      <c r="AM441" s="29">
        <f t="shared" si="102"/>
        <v>637.6</v>
      </c>
      <c r="AN441" s="29">
        <f t="shared" si="103"/>
        <v>0.95357590966122963</v>
      </c>
      <c r="AO441" s="29">
        <f t="shared" si="104"/>
        <v>0.9375</v>
      </c>
      <c r="AP441" s="31">
        <f t="shared" si="105"/>
        <v>1.0171476369719783</v>
      </c>
      <c r="AQ441" s="31">
        <f t="shared" si="106"/>
        <v>0.94078947368421051</v>
      </c>
      <c r="AR441" s="31">
        <f t="shared" si="107"/>
        <v>0.93924466338259438</v>
      </c>
      <c r="AS441" s="29">
        <f t="shared" si="108"/>
        <v>39.750986842105263</v>
      </c>
      <c r="AT441" s="29">
        <f t="shared" si="109"/>
        <v>8.7330215817607399</v>
      </c>
      <c r="AU441" s="27" t="str">
        <f t="shared" si="110"/>
        <v>Low</v>
      </c>
      <c r="AV441" s="27" t="str">
        <f t="shared" si="111"/>
        <v>Normal</v>
      </c>
      <c r="AW441" s="27"/>
    </row>
    <row r="442" spans="1:49" x14ac:dyDescent="0.25">
      <c r="A442" s="27">
        <v>441</v>
      </c>
      <c r="B442" s="28">
        <v>46191</v>
      </c>
      <c r="C442" s="28" t="str">
        <f t="shared" si="96"/>
        <v>June</v>
      </c>
      <c r="D442" s="27" t="s">
        <v>47</v>
      </c>
      <c r="E442" s="27" t="s">
        <v>61</v>
      </c>
      <c r="F442" s="27" t="s">
        <v>95</v>
      </c>
      <c r="G442" s="27" t="s">
        <v>50</v>
      </c>
      <c r="H442" s="27" t="s">
        <v>51</v>
      </c>
      <c r="I442" s="27" t="s">
        <v>565</v>
      </c>
      <c r="J442" s="27" t="s">
        <v>286</v>
      </c>
      <c r="K442" s="27">
        <v>977</v>
      </c>
      <c r="L442" s="27">
        <v>1172</v>
      </c>
      <c r="M442" s="27">
        <v>1105</v>
      </c>
      <c r="N442" s="27">
        <v>67</v>
      </c>
      <c r="O442" s="27">
        <v>20</v>
      </c>
      <c r="P442" s="27">
        <v>0</v>
      </c>
      <c r="Q442" s="27" t="s">
        <v>60</v>
      </c>
      <c r="R442" s="27">
        <v>42</v>
      </c>
      <c r="S442" s="27">
        <v>43</v>
      </c>
      <c r="T442" s="29">
        <v>79.099999999999994</v>
      </c>
      <c r="U442" s="29">
        <v>2.2599999999999998</v>
      </c>
      <c r="V442" s="29">
        <v>37.64</v>
      </c>
      <c r="W442" s="30">
        <v>21877.77</v>
      </c>
      <c r="X442" s="27">
        <v>12.24</v>
      </c>
      <c r="Y442" s="27" t="s">
        <v>55</v>
      </c>
      <c r="Z442" s="29">
        <v>10</v>
      </c>
      <c r="AA442" s="30">
        <v>35994.370000000003</v>
      </c>
      <c r="AB442" s="29">
        <v>0.94283276450511899</v>
      </c>
      <c r="AC442" s="30">
        <v>27724.53</v>
      </c>
      <c r="AD442" s="30">
        <v>373.34078498293502</v>
      </c>
      <c r="AE442" s="27">
        <v>683.9</v>
      </c>
      <c r="AF442" s="29">
        <v>1</v>
      </c>
      <c r="AG442" s="30">
        <v>7896.4992150170701</v>
      </c>
      <c r="AH442" s="31">
        <f t="shared" si="97"/>
        <v>1.1995905834186285</v>
      </c>
      <c r="AI442" s="31">
        <f t="shared" si="98"/>
        <v>5.7167235494880543E-2</v>
      </c>
      <c r="AJ442" s="31">
        <f t="shared" si="99"/>
        <v>1.7064846416382253E-2</v>
      </c>
      <c r="AK442" s="31">
        <f t="shared" si="100"/>
        <v>0.94283276450511944</v>
      </c>
      <c r="AL442" s="29">
        <f t="shared" si="101"/>
        <v>0</v>
      </c>
      <c r="AM442" s="29">
        <f t="shared" si="102"/>
        <v>683.9</v>
      </c>
      <c r="AN442" s="29">
        <f t="shared" si="103"/>
        <v>1.7137008334551835</v>
      </c>
      <c r="AO442" s="29">
        <f t="shared" si="104"/>
        <v>1.4285714285714286</v>
      </c>
      <c r="AP442" s="31">
        <f t="shared" si="105"/>
        <v>1.1995905834186285</v>
      </c>
      <c r="AQ442" s="31">
        <f t="shared" si="106"/>
        <v>0.94283276450511944</v>
      </c>
      <c r="AR442" s="31">
        <f t="shared" si="107"/>
        <v>1.1310133060388945</v>
      </c>
      <c r="AS442" s="29">
        <f t="shared" si="108"/>
        <v>23.655742320819112</v>
      </c>
      <c r="AT442" s="29">
        <f t="shared" si="109"/>
        <v>6.7376273165674663</v>
      </c>
      <c r="AU442" s="27" t="str">
        <f t="shared" si="110"/>
        <v>Low</v>
      </c>
      <c r="AV442" s="27" t="str">
        <f t="shared" si="111"/>
        <v>Normal</v>
      </c>
      <c r="AW442" s="27"/>
    </row>
    <row r="443" spans="1:49" x14ac:dyDescent="0.25">
      <c r="A443" s="27">
        <v>442</v>
      </c>
      <c r="B443" s="28">
        <v>46115</v>
      </c>
      <c r="C443" s="28" t="str">
        <f t="shared" si="96"/>
        <v>April</v>
      </c>
      <c r="D443" s="27" t="s">
        <v>47</v>
      </c>
      <c r="E443" s="27" t="s">
        <v>61</v>
      </c>
      <c r="F443" s="27" t="s">
        <v>62</v>
      </c>
      <c r="G443" s="27" t="s">
        <v>63</v>
      </c>
      <c r="H443" s="27" t="s">
        <v>51</v>
      </c>
      <c r="I443" s="27" t="s">
        <v>566</v>
      </c>
      <c r="J443" s="27" t="s">
        <v>115</v>
      </c>
      <c r="K443" s="27">
        <v>947</v>
      </c>
      <c r="L443" s="27">
        <v>945</v>
      </c>
      <c r="M443" s="27">
        <v>901</v>
      </c>
      <c r="N443" s="27">
        <v>44</v>
      </c>
      <c r="O443" s="27">
        <v>13</v>
      </c>
      <c r="P443" s="27">
        <v>31</v>
      </c>
      <c r="Q443" s="27" t="s">
        <v>75</v>
      </c>
      <c r="R443" s="27">
        <v>42</v>
      </c>
      <c r="S443" s="27">
        <v>43</v>
      </c>
      <c r="T443" s="29">
        <v>78.3</v>
      </c>
      <c r="U443" s="29">
        <v>1.72</v>
      </c>
      <c r="V443" s="29">
        <v>33.4</v>
      </c>
      <c r="W443" s="30">
        <v>18168.060000000001</v>
      </c>
      <c r="X443" s="27">
        <v>7.6</v>
      </c>
      <c r="Y443" s="27" t="s">
        <v>55</v>
      </c>
      <c r="Z443" s="29">
        <v>8</v>
      </c>
      <c r="AA443" s="30">
        <v>29310.23</v>
      </c>
      <c r="AB443" s="29">
        <v>0.95343915343915298</v>
      </c>
      <c r="AC443" s="30">
        <v>21888.66</v>
      </c>
      <c r="AD443" s="30">
        <v>249.93098412698399</v>
      </c>
      <c r="AE443" s="27">
        <v>662.9</v>
      </c>
      <c r="AF443" s="29">
        <v>0.95323578216925597</v>
      </c>
      <c r="AG443" s="30">
        <v>7171.6390158730201</v>
      </c>
      <c r="AH443" s="31">
        <f t="shared" si="97"/>
        <v>0.99788806758183735</v>
      </c>
      <c r="AI443" s="31">
        <f t="shared" si="98"/>
        <v>4.656084656084656E-2</v>
      </c>
      <c r="AJ443" s="31">
        <f t="shared" si="99"/>
        <v>1.3756613756613757E-2</v>
      </c>
      <c r="AK443" s="31">
        <f t="shared" si="100"/>
        <v>0.95343915343915342</v>
      </c>
      <c r="AL443" s="29">
        <f t="shared" si="101"/>
        <v>0.51666666666666672</v>
      </c>
      <c r="AM443" s="29">
        <f t="shared" si="102"/>
        <v>631.9</v>
      </c>
      <c r="AN443" s="29">
        <f t="shared" si="103"/>
        <v>1.4954897926887165</v>
      </c>
      <c r="AO443" s="29">
        <f t="shared" si="104"/>
        <v>1.4285714285714286</v>
      </c>
      <c r="AP443" s="31">
        <f t="shared" si="105"/>
        <v>1.0468428548821016</v>
      </c>
      <c r="AQ443" s="31">
        <f t="shared" si="106"/>
        <v>0.95343915343915342</v>
      </c>
      <c r="AR443" s="31">
        <f t="shared" si="107"/>
        <v>0.9514255543822594</v>
      </c>
      <c r="AS443" s="29">
        <f t="shared" si="108"/>
        <v>23.162603174603174</v>
      </c>
      <c r="AT443" s="29">
        <f t="shared" si="109"/>
        <v>7.589035995632825</v>
      </c>
      <c r="AU443" s="27" t="str">
        <f t="shared" si="110"/>
        <v>Low</v>
      </c>
      <c r="AV443" s="27" t="str">
        <f t="shared" si="111"/>
        <v>Normal</v>
      </c>
      <c r="AW443" s="27"/>
    </row>
    <row r="444" spans="1:49" x14ac:dyDescent="0.25">
      <c r="A444" s="27">
        <v>443</v>
      </c>
      <c r="B444" s="28">
        <v>46127</v>
      </c>
      <c r="C444" s="28" t="str">
        <f t="shared" si="96"/>
        <v>April</v>
      </c>
      <c r="D444" s="27" t="s">
        <v>47</v>
      </c>
      <c r="E444" s="27" t="s">
        <v>76</v>
      </c>
      <c r="F444" s="27" t="s">
        <v>119</v>
      </c>
      <c r="G444" s="27" t="s">
        <v>78</v>
      </c>
      <c r="H444" s="27" t="s">
        <v>79</v>
      </c>
      <c r="I444" s="27" t="s">
        <v>567</v>
      </c>
      <c r="J444" s="27" t="s">
        <v>197</v>
      </c>
      <c r="K444" s="27">
        <v>661</v>
      </c>
      <c r="L444" s="27">
        <v>573</v>
      </c>
      <c r="M444" s="27">
        <v>511</v>
      </c>
      <c r="N444" s="27">
        <v>62</v>
      </c>
      <c r="O444" s="27">
        <v>22</v>
      </c>
      <c r="P444" s="27">
        <v>25</v>
      </c>
      <c r="Q444" s="27" t="s">
        <v>97</v>
      </c>
      <c r="R444" s="27">
        <v>49</v>
      </c>
      <c r="S444" s="27">
        <v>52</v>
      </c>
      <c r="T444" s="29">
        <v>77</v>
      </c>
      <c r="U444" s="29">
        <v>2.38</v>
      </c>
      <c r="V444" s="29">
        <v>20.52</v>
      </c>
      <c r="W444" s="30">
        <v>13164.89</v>
      </c>
      <c r="X444" s="27">
        <v>8.6300000000000008</v>
      </c>
      <c r="Y444" s="27" t="s">
        <v>55</v>
      </c>
      <c r="Z444" s="29">
        <v>17</v>
      </c>
      <c r="AA444" s="30">
        <v>19029.95</v>
      </c>
      <c r="AB444" s="29">
        <v>0.89179755671902305</v>
      </c>
      <c r="AC444" s="30">
        <v>17233.07</v>
      </c>
      <c r="AD444" s="30">
        <v>505.45825479930198</v>
      </c>
      <c r="AE444" s="27">
        <v>539.81666666666695</v>
      </c>
      <c r="AF444" s="29">
        <v>0.95368798048720305</v>
      </c>
      <c r="AG444" s="30">
        <v>1291.4217452006999</v>
      </c>
      <c r="AH444" s="31">
        <f t="shared" si="97"/>
        <v>0.86686838124054466</v>
      </c>
      <c r="AI444" s="31">
        <f t="shared" si="98"/>
        <v>0.10820244328097731</v>
      </c>
      <c r="AJ444" s="31">
        <f t="shared" si="99"/>
        <v>3.8394415357766144E-2</v>
      </c>
      <c r="AK444" s="31">
        <f t="shared" si="100"/>
        <v>0.89179755671902272</v>
      </c>
      <c r="AL444" s="29">
        <f t="shared" si="101"/>
        <v>0.41666666666666669</v>
      </c>
      <c r="AM444" s="29">
        <f t="shared" si="102"/>
        <v>514.81666666666695</v>
      </c>
      <c r="AN444" s="29">
        <f t="shared" si="103"/>
        <v>1.113017579073456</v>
      </c>
      <c r="AO444" s="29">
        <f t="shared" si="104"/>
        <v>1.2244897959183674</v>
      </c>
      <c r="AP444" s="31">
        <f t="shared" si="105"/>
        <v>0.90896435624332239</v>
      </c>
      <c r="AQ444" s="31">
        <f t="shared" si="106"/>
        <v>0.89179755671902272</v>
      </c>
      <c r="AR444" s="31">
        <f t="shared" si="107"/>
        <v>0.7730711043872921</v>
      </c>
      <c r="AS444" s="29">
        <f t="shared" si="108"/>
        <v>30.075165794066319</v>
      </c>
      <c r="AT444" s="29">
        <f t="shared" si="109"/>
        <v>2.2537901312403141</v>
      </c>
      <c r="AU444" s="27" t="str">
        <f t="shared" si="110"/>
        <v>High</v>
      </c>
      <c r="AV444" s="27" t="str">
        <f t="shared" si="111"/>
        <v>Warning</v>
      </c>
      <c r="AW444" s="27"/>
    </row>
    <row r="445" spans="1:49" x14ac:dyDescent="0.25">
      <c r="A445" s="27">
        <v>444</v>
      </c>
      <c r="B445" s="28">
        <v>46041</v>
      </c>
      <c r="C445" s="28" t="str">
        <f t="shared" si="96"/>
        <v>January</v>
      </c>
      <c r="D445" s="27" t="s">
        <v>47</v>
      </c>
      <c r="E445" s="27" t="s">
        <v>76</v>
      </c>
      <c r="F445" s="27" t="s">
        <v>113</v>
      </c>
      <c r="G445" s="27" t="s">
        <v>78</v>
      </c>
      <c r="H445" s="27" t="s">
        <v>68</v>
      </c>
      <c r="I445" s="27" t="s">
        <v>568</v>
      </c>
      <c r="J445" s="27" t="s">
        <v>170</v>
      </c>
      <c r="K445" s="27">
        <v>482</v>
      </c>
      <c r="L445" s="27">
        <v>412</v>
      </c>
      <c r="M445" s="27">
        <v>386</v>
      </c>
      <c r="N445" s="27">
        <v>26</v>
      </c>
      <c r="O445" s="27">
        <v>9</v>
      </c>
      <c r="P445" s="27">
        <v>0</v>
      </c>
      <c r="Q445" s="27" t="s">
        <v>60</v>
      </c>
      <c r="R445" s="27">
        <v>64</v>
      </c>
      <c r="S445" s="27">
        <v>64</v>
      </c>
      <c r="T445" s="29">
        <v>80.5</v>
      </c>
      <c r="U445" s="29">
        <v>1.48</v>
      </c>
      <c r="V445" s="29">
        <v>16.86</v>
      </c>
      <c r="W445" s="30">
        <v>13137.92</v>
      </c>
      <c r="X445" s="27">
        <v>7.16</v>
      </c>
      <c r="Y445" s="27" t="s">
        <v>66</v>
      </c>
      <c r="Z445" s="29">
        <v>34</v>
      </c>
      <c r="AA445" s="30">
        <v>19962.259999999998</v>
      </c>
      <c r="AB445" s="29">
        <v>0.93689320388349495</v>
      </c>
      <c r="AC445" s="30">
        <v>16511.66</v>
      </c>
      <c r="AD445" s="30">
        <v>286.99339805825201</v>
      </c>
      <c r="AE445" s="27">
        <v>514.13333333333298</v>
      </c>
      <c r="AF445" s="29">
        <v>1</v>
      </c>
      <c r="AG445" s="30">
        <v>3163.6066019417499</v>
      </c>
      <c r="AH445" s="31">
        <f t="shared" si="97"/>
        <v>0.85477178423236511</v>
      </c>
      <c r="AI445" s="31">
        <f t="shared" si="98"/>
        <v>6.3106796116504854E-2</v>
      </c>
      <c r="AJ445" s="31">
        <f t="shared" si="99"/>
        <v>2.1844660194174758E-2</v>
      </c>
      <c r="AK445" s="31">
        <f t="shared" si="100"/>
        <v>0.93689320388349517</v>
      </c>
      <c r="AL445" s="29">
        <f t="shared" si="101"/>
        <v>0</v>
      </c>
      <c r="AM445" s="29">
        <f t="shared" si="102"/>
        <v>514.13333333333298</v>
      </c>
      <c r="AN445" s="29">
        <f t="shared" si="103"/>
        <v>0.80134854771784292</v>
      </c>
      <c r="AO445" s="29">
        <f t="shared" si="104"/>
        <v>0.9375</v>
      </c>
      <c r="AP445" s="31">
        <f t="shared" si="105"/>
        <v>0.85477178423236577</v>
      </c>
      <c r="AQ445" s="31">
        <f t="shared" si="106"/>
        <v>0.93689320388349517</v>
      </c>
      <c r="AR445" s="31">
        <f t="shared" si="107"/>
        <v>0.8008298755186728</v>
      </c>
      <c r="AS445" s="29">
        <f t="shared" si="108"/>
        <v>40.076844660194176</v>
      </c>
      <c r="AT445" s="29">
        <f t="shared" si="109"/>
        <v>7.67865680082949</v>
      </c>
      <c r="AU445" s="27" t="str">
        <f t="shared" si="110"/>
        <v>Medium</v>
      </c>
      <c r="AV445" s="27" t="str">
        <f t="shared" si="111"/>
        <v>Warning</v>
      </c>
      <c r="AW445" s="27"/>
    </row>
    <row r="446" spans="1:49" x14ac:dyDescent="0.25">
      <c r="A446" s="27">
        <v>445</v>
      </c>
      <c r="B446" s="28">
        <v>46138</v>
      </c>
      <c r="C446" s="28" t="str">
        <f t="shared" si="96"/>
        <v>April</v>
      </c>
      <c r="D446" s="27" t="s">
        <v>67</v>
      </c>
      <c r="E446" s="27" t="s">
        <v>129</v>
      </c>
      <c r="F446" s="27" t="s">
        <v>151</v>
      </c>
      <c r="G446" s="27" t="s">
        <v>63</v>
      </c>
      <c r="H446" s="27" t="s">
        <v>57</v>
      </c>
      <c r="I446" s="27" t="s">
        <v>569</v>
      </c>
      <c r="J446" s="27" t="s">
        <v>81</v>
      </c>
      <c r="K446" s="27">
        <v>722</v>
      </c>
      <c r="L446" s="27">
        <v>592</v>
      </c>
      <c r="M446" s="27">
        <v>557</v>
      </c>
      <c r="N446" s="27">
        <v>35</v>
      </c>
      <c r="O446" s="27">
        <v>8</v>
      </c>
      <c r="P446" s="27">
        <v>29</v>
      </c>
      <c r="Q446" s="27" t="s">
        <v>102</v>
      </c>
      <c r="R446" s="27">
        <v>45</v>
      </c>
      <c r="S446" s="27">
        <v>46</v>
      </c>
      <c r="T446" s="29">
        <v>74.8</v>
      </c>
      <c r="U446" s="29">
        <v>2.0099999999999998</v>
      </c>
      <c r="V446" s="29">
        <v>21.44</v>
      </c>
      <c r="W446" s="30">
        <v>12161.74</v>
      </c>
      <c r="X446" s="27">
        <v>7.32</v>
      </c>
      <c r="Y446" s="27" t="s">
        <v>66</v>
      </c>
      <c r="Z446" s="29">
        <v>40</v>
      </c>
      <c r="AA446" s="30">
        <v>19995.68</v>
      </c>
      <c r="AB446" s="29">
        <v>0.94087837837837796</v>
      </c>
      <c r="AC446" s="30">
        <v>15648.7</v>
      </c>
      <c r="AD446" s="30">
        <v>164.347837837838</v>
      </c>
      <c r="AE446" s="27">
        <v>541.5</v>
      </c>
      <c r="AF446" s="29">
        <v>0.94644506001846695</v>
      </c>
      <c r="AG446" s="30">
        <v>4182.6321621621601</v>
      </c>
      <c r="AH446" s="31">
        <f t="shared" si="97"/>
        <v>0.81994459833795019</v>
      </c>
      <c r="AI446" s="31">
        <f t="shared" si="98"/>
        <v>5.9121621621621621E-2</v>
      </c>
      <c r="AJ446" s="31">
        <f t="shared" si="99"/>
        <v>1.3513513513513514E-2</v>
      </c>
      <c r="AK446" s="31">
        <f t="shared" si="100"/>
        <v>0.9408783783783784</v>
      </c>
      <c r="AL446" s="29">
        <f t="shared" si="101"/>
        <v>0.48333333333333334</v>
      </c>
      <c r="AM446" s="29">
        <f t="shared" si="102"/>
        <v>512.5</v>
      </c>
      <c r="AN446" s="29">
        <f t="shared" si="103"/>
        <v>1.1551219512195121</v>
      </c>
      <c r="AO446" s="29">
        <f t="shared" si="104"/>
        <v>1.3333333333333333</v>
      </c>
      <c r="AP446" s="31">
        <f t="shared" si="105"/>
        <v>0.86634146341463414</v>
      </c>
      <c r="AQ446" s="31">
        <f t="shared" si="106"/>
        <v>0.9408783783783784</v>
      </c>
      <c r="AR446" s="31">
        <f t="shared" si="107"/>
        <v>0.77146814404432107</v>
      </c>
      <c r="AS446" s="29">
        <f t="shared" si="108"/>
        <v>26.433614864864865</v>
      </c>
      <c r="AT446" s="29">
        <f t="shared" si="109"/>
        <v>7.0652570306793248</v>
      </c>
      <c r="AU446" s="27" t="str">
        <f t="shared" si="110"/>
        <v>High</v>
      </c>
      <c r="AV446" s="27" t="str">
        <f t="shared" si="111"/>
        <v>Warning</v>
      </c>
      <c r="AW446" s="27"/>
    </row>
    <row r="447" spans="1:49" x14ac:dyDescent="0.25">
      <c r="A447" s="27">
        <v>446</v>
      </c>
      <c r="B447" s="28">
        <v>46096</v>
      </c>
      <c r="C447" s="28" t="str">
        <f t="shared" si="96"/>
        <v>March</v>
      </c>
      <c r="D447" s="27" t="s">
        <v>67</v>
      </c>
      <c r="E447" s="27" t="s">
        <v>61</v>
      </c>
      <c r="F447" s="27" t="s">
        <v>62</v>
      </c>
      <c r="G447" s="27" t="s">
        <v>63</v>
      </c>
      <c r="H447" s="27" t="s">
        <v>68</v>
      </c>
      <c r="I447" s="27" t="s">
        <v>570</v>
      </c>
      <c r="J447" s="27" t="s">
        <v>86</v>
      </c>
      <c r="K447" s="27">
        <v>658</v>
      </c>
      <c r="L447" s="27">
        <v>652</v>
      </c>
      <c r="M447" s="27">
        <v>620</v>
      </c>
      <c r="N447" s="27">
        <v>32</v>
      </c>
      <c r="O447" s="27">
        <v>7</v>
      </c>
      <c r="P447" s="27">
        <v>40</v>
      </c>
      <c r="Q447" s="27" t="s">
        <v>104</v>
      </c>
      <c r="R447" s="27">
        <v>64</v>
      </c>
      <c r="S447" s="27">
        <v>64</v>
      </c>
      <c r="T447" s="29">
        <v>75.2</v>
      </c>
      <c r="U447" s="29">
        <v>1.79</v>
      </c>
      <c r="V447" s="29">
        <v>22.87</v>
      </c>
      <c r="W447" s="30">
        <v>19541.689999999999</v>
      </c>
      <c r="X447" s="27">
        <v>7.69</v>
      </c>
      <c r="Y447" s="27" t="s">
        <v>110</v>
      </c>
      <c r="Z447" s="29">
        <v>14</v>
      </c>
      <c r="AA447" s="30">
        <v>31774.639999999999</v>
      </c>
      <c r="AB447" s="29">
        <v>0.95092024539877296</v>
      </c>
      <c r="AC447" s="30">
        <v>23208.02</v>
      </c>
      <c r="AD447" s="30">
        <v>209.803420245399</v>
      </c>
      <c r="AE447" s="27">
        <v>701.86666666666702</v>
      </c>
      <c r="AF447" s="29">
        <v>0.94300911854103298</v>
      </c>
      <c r="AG447" s="30">
        <v>8356.8165797546008</v>
      </c>
      <c r="AH447" s="31">
        <f t="shared" si="97"/>
        <v>0.99088145896656532</v>
      </c>
      <c r="AI447" s="31">
        <f t="shared" si="98"/>
        <v>4.9079754601226995E-2</v>
      </c>
      <c r="AJ447" s="31">
        <f t="shared" si="99"/>
        <v>1.0736196319018405E-2</v>
      </c>
      <c r="AK447" s="31">
        <f t="shared" si="100"/>
        <v>0.95092024539877296</v>
      </c>
      <c r="AL447" s="29">
        <f t="shared" si="101"/>
        <v>0.66666666666666663</v>
      </c>
      <c r="AM447" s="29">
        <f t="shared" si="102"/>
        <v>661.86666666666702</v>
      </c>
      <c r="AN447" s="29">
        <f t="shared" si="103"/>
        <v>0.98509266720386734</v>
      </c>
      <c r="AO447" s="29">
        <f t="shared" si="104"/>
        <v>0.9375</v>
      </c>
      <c r="AP447" s="31">
        <f t="shared" si="105"/>
        <v>1.0507655116841252</v>
      </c>
      <c r="AQ447" s="31">
        <f t="shared" si="106"/>
        <v>0.95092024539877296</v>
      </c>
      <c r="AR447" s="31">
        <f t="shared" si="107"/>
        <v>0.94224924012157962</v>
      </c>
      <c r="AS447" s="29">
        <f t="shared" si="108"/>
        <v>35.595122699386501</v>
      </c>
      <c r="AT447" s="29">
        <f t="shared" si="109"/>
        <v>12.817203343181903</v>
      </c>
      <c r="AU447" s="27" t="str">
        <f t="shared" si="110"/>
        <v>Medium</v>
      </c>
      <c r="AV447" s="27" t="str">
        <f t="shared" si="111"/>
        <v>Normal</v>
      </c>
      <c r="AW447" s="27"/>
    </row>
    <row r="448" spans="1:49" x14ac:dyDescent="0.25">
      <c r="A448" s="27">
        <v>447</v>
      </c>
      <c r="B448" s="28">
        <v>46178</v>
      </c>
      <c r="C448" s="28" t="str">
        <f t="shared" si="96"/>
        <v>June</v>
      </c>
      <c r="D448" s="27" t="s">
        <v>47</v>
      </c>
      <c r="E448" s="27" t="s">
        <v>98</v>
      </c>
      <c r="F448" s="27" t="s">
        <v>126</v>
      </c>
      <c r="G448" s="27" t="s">
        <v>50</v>
      </c>
      <c r="H448" s="27" t="s">
        <v>51</v>
      </c>
      <c r="I448" s="27" t="s">
        <v>571</v>
      </c>
      <c r="J448" s="27" t="s">
        <v>81</v>
      </c>
      <c r="K448" s="27">
        <v>806</v>
      </c>
      <c r="L448" s="27">
        <v>731</v>
      </c>
      <c r="M448" s="27">
        <v>656</v>
      </c>
      <c r="N448" s="27">
        <v>75</v>
      </c>
      <c r="O448" s="27">
        <v>28</v>
      </c>
      <c r="P448" s="27">
        <v>12</v>
      </c>
      <c r="Q448" s="27" t="s">
        <v>82</v>
      </c>
      <c r="R448" s="27">
        <v>42</v>
      </c>
      <c r="S448" s="27">
        <v>40</v>
      </c>
      <c r="T448" s="29">
        <v>75.900000000000006</v>
      </c>
      <c r="U448" s="29">
        <v>3.31</v>
      </c>
      <c r="V448" s="29">
        <v>23.74</v>
      </c>
      <c r="W448" s="30">
        <v>13858.32</v>
      </c>
      <c r="X448" s="27">
        <v>9.06</v>
      </c>
      <c r="Y448" s="27" t="s">
        <v>110</v>
      </c>
      <c r="Z448" s="29">
        <v>48</v>
      </c>
      <c r="AA448" s="30">
        <v>20906.689999999999</v>
      </c>
      <c r="AB448" s="29">
        <v>0.89740082079343397</v>
      </c>
      <c r="AC448" s="30">
        <v>18148.98</v>
      </c>
      <c r="AD448" s="30">
        <v>530.82484268125904</v>
      </c>
      <c r="AE448" s="27">
        <v>564.20000000000005</v>
      </c>
      <c r="AF448" s="29">
        <v>0.97873094647288195</v>
      </c>
      <c r="AG448" s="30">
        <v>2226.8851573187399</v>
      </c>
      <c r="AH448" s="31">
        <f t="shared" si="97"/>
        <v>0.90694789081885852</v>
      </c>
      <c r="AI448" s="31">
        <f t="shared" si="98"/>
        <v>0.10259917920656635</v>
      </c>
      <c r="AJ448" s="31">
        <f t="shared" si="99"/>
        <v>3.8303693570451436E-2</v>
      </c>
      <c r="AK448" s="31">
        <f t="shared" si="100"/>
        <v>0.89740082079343364</v>
      </c>
      <c r="AL448" s="29">
        <f t="shared" si="101"/>
        <v>0.2</v>
      </c>
      <c r="AM448" s="29">
        <f t="shared" si="102"/>
        <v>552.20000000000005</v>
      </c>
      <c r="AN448" s="29">
        <f t="shared" si="103"/>
        <v>1.3237957261861644</v>
      </c>
      <c r="AO448" s="29">
        <f t="shared" si="104"/>
        <v>1.4285714285714286</v>
      </c>
      <c r="AP448" s="31">
        <f t="shared" si="105"/>
        <v>0.92665700833031506</v>
      </c>
      <c r="AQ448" s="31">
        <f t="shared" si="106"/>
        <v>0.89740082079343364</v>
      </c>
      <c r="AR448" s="31">
        <f t="shared" si="107"/>
        <v>0.81389578163771703</v>
      </c>
      <c r="AS448" s="29">
        <f t="shared" si="108"/>
        <v>24.827606019151848</v>
      </c>
      <c r="AT448" s="29">
        <f t="shared" si="109"/>
        <v>3.046354524375841</v>
      </c>
      <c r="AU448" s="27" t="str">
        <f t="shared" si="110"/>
        <v>Medium</v>
      </c>
      <c r="AV448" s="27" t="str">
        <f t="shared" si="111"/>
        <v>Warning</v>
      </c>
      <c r="AW448" s="27"/>
    </row>
    <row r="449" spans="1:49" x14ac:dyDescent="0.25">
      <c r="A449" s="27">
        <v>448</v>
      </c>
      <c r="B449" s="28">
        <v>46090</v>
      </c>
      <c r="C449" s="28" t="str">
        <f t="shared" si="96"/>
        <v>March</v>
      </c>
      <c r="D449" s="27" t="s">
        <v>47</v>
      </c>
      <c r="E449" s="27" t="s">
        <v>98</v>
      </c>
      <c r="F449" s="27" t="s">
        <v>99</v>
      </c>
      <c r="G449" s="27" t="s">
        <v>63</v>
      </c>
      <c r="H449" s="27" t="s">
        <v>51</v>
      </c>
      <c r="I449" s="27" t="s">
        <v>572</v>
      </c>
      <c r="J449" s="27" t="s">
        <v>170</v>
      </c>
      <c r="K449" s="27">
        <v>760</v>
      </c>
      <c r="L449" s="27">
        <v>723</v>
      </c>
      <c r="M449" s="27">
        <v>675</v>
      </c>
      <c r="N449" s="27">
        <v>48</v>
      </c>
      <c r="O449" s="27">
        <v>19</v>
      </c>
      <c r="P449" s="27">
        <v>36</v>
      </c>
      <c r="Q449" s="27" t="s">
        <v>54</v>
      </c>
      <c r="R449" s="27">
        <v>42</v>
      </c>
      <c r="S449" s="27">
        <v>42</v>
      </c>
      <c r="T449" s="29">
        <v>69.599999999999994</v>
      </c>
      <c r="U449" s="29">
        <v>2.62</v>
      </c>
      <c r="V449" s="29">
        <v>22.01</v>
      </c>
      <c r="W449" s="30">
        <v>13704.7</v>
      </c>
      <c r="X449" s="27">
        <v>8.49</v>
      </c>
      <c r="Y449" s="27" t="s">
        <v>66</v>
      </c>
      <c r="Z449" s="29">
        <v>51</v>
      </c>
      <c r="AA449" s="30">
        <v>21675.39</v>
      </c>
      <c r="AB449" s="29">
        <v>0.93360995850622397</v>
      </c>
      <c r="AC449" s="30">
        <v>17723.29</v>
      </c>
      <c r="AD449" s="30">
        <v>360.151175656985</v>
      </c>
      <c r="AE449" s="27">
        <v>532</v>
      </c>
      <c r="AF449" s="29">
        <v>0.93233082706766901</v>
      </c>
      <c r="AG449" s="30">
        <v>3591.9488243430101</v>
      </c>
      <c r="AH449" s="31">
        <f t="shared" si="97"/>
        <v>0.95131578947368423</v>
      </c>
      <c r="AI449" s="31">
        <f t="shared" si="98"/>
        <v>6.6390041493775934E-2</v>
      </c>
      <c r="AJ449" s="31">
        <f t="shared" si="99"/>
        <v>2.6279391424619641E-2</v>
      </c>
      <c r="AK449" s="31">
        <f t="shared" si="100"/>
        <v>0.93360995850622408</v>
      </c>
      <c r="AL449" s="29">
        <f t="shared" si="101"/>
        <v>0.6</v>
      </c>
      <c r="AM449" s="29">
        <f t="shared" si="102"/>
        <v>496</v>
      </c>
      <c r="AN449" s="29">
        <f t="shared" si="103"/>
        <v>1.4576612903225807</v>
      </c>
      <c r="AO449" s="29">
        <f t="shared" si="104"/>
        <v>1.4285714285714286</v>
      </c>
      <c r="AP449" s="31">
        <f t="shared" si="105"/>
        <v>1.0203629032258066</v>
      </c>
      <c r="AQ449" s="31">
        <f t="shared" si="106"/>
        <v>0.93360995850622408</v>
      </c>
      <c r="AR449" s="31">
        <f t="shared" si="107"/>
        <v>0.88815789473684204</v>
      </c>
      <c r="AS449" s="29">
        <f t="shared" si="108"/>
        <v>24.513540802213004</v>
      </c>
      <c r="AT449" s="29">
        <f t="shared" si="109"/>
        <v>4.9681173227427529</v>
      </c>
      <c r="AU449" s="27" t="str">
        <f t="shared" si="110"/>
        <v>Medium</v>
      </c>
      <c r="AV449" s="27" t="str">
        <f t="shared" si="111"/>
        <v>Normal</v>
      </c>
      <c r="AW449" s="27"/>
    </row>
    <row r="450" spans="1:49" x14ac:dyDescent="0.25">
      <c r="A450" s="27">
        <v>449</v>
      </c>
      <c r="B450" s="28">
        <v>46183</v>
      </c>
      <c r="C450" s="28" t="str">
        <f t="shared" ref="C450:C513" si="112">TEXT(B450,"mmmm")</f>
        <v>June</v>
      </c>
      <c r="D450" s="27" t="s">
        <v>47</v>
      </c>
      <c r="E450" s="27" t="s">
        <v>48</v>
      </c>
      <c r="F450" s="27" t="s">
        <v>72</v>
      </c>
      <c r="G450" s="27" t="s">
        <v>50</v>
      </c>
      <c r="H450" s="27" t="s">
        <v>79</v>
      </c>
      <c r="I450" s="27" t="s">
        <v>573</v>
      </c>
      <c r="J450" s="27" t="s">
        <v>286</v>
      </c>
      <c r="K450" s="27">
        <v>720</v>
      </c>
      <c r="L450" s="27">
        <v>682</v>
      </c>
      <c r="M450" s="27">
        <v>654</v>
      </c>
      <c r="N450" s="27">
        <v>28</v>
      </c>
      <c r="O450" s="27">
        <v>5</v>
      </c>
      <c r="P450" s="27">
        <v>47</v>
      </c>
      <c r="Q450" s="27" t="s">
        <v>91</v>
      </c>
      <c r="R450" s="27">
        <v>49</v>
      </c>
      <c r="S450" s="27">
        <v>49</v>
      </c>
      <c r="T450" s="29">
        <v>81.7</v>
      </c>
      <c r="U450" s="29">
        <v>2.88</v>
      </c>
      <c r="V450" s="29">
        <v>22.39</v>
      </c>
      <c r="W450" s="30">
        <v>14479.24</v>
      </c>
      <c r="X450" s="27">
        <v>7.38</v>
      </c>
      <c r="Y450" s="27" t="s">
        <v>66</v>
      </c>
      <c r="Z450" s="29">
        <v>36</v>
      </c>
      <c r="AA450" s="30">
        <v>24498.71</v>
      </c>
      <c r="AB450" s="29">
        <v>0.95894428152492694</v>
      </c>
      <c r="AC450" s="30">
        <v>18001.75</v>
      </c>
      <c r="AD450" s="30">
        <v>106.152785923754</v>
      </c>
      <c r="AE450" s="27">
        <v>588</v>
      </c>
      <c r="AF450" s="29">
        <v>0.92006802721088399</v>
      </c>
      <c r="AG450" s="30">
        <v>6390.8072140762497</v>
      </c>
      <c r="AH450" s="31">
        <f t="shared" ref="AH450:AH513" si="113">IFERROR(L450/K450,0)</f>
        <v>0.94722222222222219</v>
      </c>
      <c r="AI450" s="31">
        <f t="shared" ref="AI450:AI513" si="114">IFERROR(N450/L450,0)</f>
        <v>4.1055718475073312E-2</v>
      </c>
      <c r="AJ450" s="31">
        <f t="shared" ref="AJ450:AJ513" si="115">IFERROR(O450/L450,0)</f>
        <v>7.331378299120235E-3</v>
      </c>
      <c r="AK450" s="31">
        <f t="shared" ref="AK450:AK513" si="116">IFERROR(M450/L450,0)</f>
        <v>0.95894428152492672</v>
      </c>
      <c r="AL450" s="29">
        <f t="shared" ref="AL450:AL513" si="117">P450/60</f>
        <v>0.78333333333333333</v>
      </c>
      <c r="AM450" s="29">
        <f t="shared" ref="AM450:AM513" si="118">MAX(0,AE450-P450)</f>
        <v>541</v>
      </c>
      <c r="AN450" s="29">
        <f t="shared" ref="AN450:AN513" si="119">IFERROR(L450/AM450,0)</f>
        <v>1.2606284658040665</v>
      </c>
      <c r="AO450" s="29">
        <f t="shared" ref="AO450:AO513" si="120">IFERROR(60/R450,0)</f>
        <v>1.2244897959183674</v>
      </c>
      <c r="AP450" s="31">
        <f t="shared" ref="AP450:AP513" si="121">IFERROR(AN450/AO450,0)</f>
        <v>1.029513247073321</v>
      </c>
      <c r="AQ450" s="31">
        <f t="shared" ref="AQ450:AQ513" si="122">IFERROR(M450/L450,0)</f>
        <v>0.95894428152492672</v>
      </c>
      <c r="AR450" s="31">
        <f t="shared" ref="AR450:AR513" si="123">AF450*AP450*AQ450</f>
        <v>0.90833333333333299</v>
      </c>
      <c r="AS450" s="29">
        <f t="shared" ref="AS450:AS513" si="124">IFERROR(AC450/L450,0)</f>
        <v>26.395527859237536</v>
      </c>
      <c r="AT450" s="29">
        <f t="shared" ref="AT450:AT513" si="125">IFERROR(AG450/L450,0)</f>
        <v>9.3706850646279314</v>
      </c>
      <c r="AU450" s="27" t="str">
        <f t="shared" ref="AU450:AU513" si="126">IF(OR(Y450="Overdue",P450&gt;=120,T450&gt;=85,U450&gt;=4,AI450&gt;=0.12,AR450&lt;0.8),"High",IF(OR(Y450="Pending",Z450&gt;=30,P450&gt;=60,T450&gt;=80,U450&gt;=3,AI450&gt;=0.08,AR450&lt;0.85),"Medium","Low"))</f>
        <v>Medium</v>
      </c>
      <c r="AV450" s="27" t="str">
        <f t="shared" ref="AV450:AV513" si="127">IF(OR(P450&gt;=120,T450&gt;=90,U450&gt;=4.5,AI450&gt;=0.15,AR450&lt;0.75),"Critical",IF(OR(P450&gt;=60,T450&gt;=80,U450&gt;=3,AI450&gt;=0.08,AR450&lt;0.85),"Warning","Normal"))</f>
        <v>Warning</v>
      </c>
      <c r="AW450" s="27"/>
    </row>
    <row r="451" spans="1:49" x14ac:dyDescent="0.25">
      <c r="A451" s="27">
        <v>450</v>
      </c>
      <c r="B451" s="28">
        <v>46120</v>
      </c>
      <c r="C451" s="28" t="str">
        <f t="shared" si="112"/>
        <v>April</v>
      </c>
      <c r="D451" s="27" t="s">
        <v>47</v>
      </c>
      <c r="E451" s="27" t="s">
        <v>129</v>
      </c>
      <c r="F451" s="27" t="s">
        <v>151</v>
      </c>
      <c r="G451" s="27" t="s">
        <v>63</v>
      </c>
      <c r="H451" s="27" t="s">
        <v>68</v>
      </c>
      <c r="I451" s="27" t="s">
        <v>574</v>
      </c>
      <c r="J451" s="27" t="s">
        <v>121</v>
      </c>
      <c r="K451" s="27">
        <v>665</v>
      </c>
      <c r="L451" s="27">
        <v>605</v>
      </c>
      <c r="M451" s="27">
        <v>572</v>
      </c>
      <c r="N451" s="27">
        <v>33</v>
      </c>
      <c r="O451" s="27">
        <v>7</v>
      </c>
      <c r="P451" s="27">
        <v>16</v>
      </c>
      <c r="Q451" s="27" t="s">
        <v>82</v>
      </c>
      <c r="R451" s="27">
        <v>64</v>
      </c>
      <c r="S451" s="27">
        <v>65</v>
      </c>
      <c r="T451" s="29">
        <v>68.400000000000006</v>
      </c>
      <c r="U451" s="29">
        <v>2.4700000000000002</v>
      </c>
      <c r="V451" s="29">
        <v>24.91</v>
      </c>
      <c r="W451" s="30">
        <v>18276.23</v>
      </c>
      <c r="X451" s="27">
        <v>9.4600000000000009</v>
      </c>
      <c r="Y451" s="27" t="s">
        <v>55</v>
      </c>
      <c r="Z451" s="29">
        <v>16</v>
      </c>
      <c r="AA451" s="30">
        <v>30033.86</v>
      </c>
      <c r="AB451" s="29">
        <v>0.94545454545454499</v>
      </c>
      <c r="AC451" s="30">
        <v>22757.42</v>
      </c>
      <c r="AD451" s="30">
        <v>211.46051239669401</v>
      </c>
      <c r="AE451" s="27">
        <v>709.33333333333303</v>
      </c>
      <c r="AF451" s="29">
        <v>0.977443609022556</v>
      </c>
      <c r="AG451" s="30">
        <v>7064.9794876033102</v>
      </c>
      <c r="AH451" s="31">
        <f t="shared" si="113"/>
        <v>0.90977443609022557</v>
      </c>
      <c r="AI451" s="31">
        <f t="shared" si="114"/>
        <v>5.4545454545454543E-2</v>
      </c>
      <c r="AJ451" s="31">
        <f t="shared" si="115"/>
        <v>1.1570247933884297E-2</v>
      </c>
      <c r="AK451" s="31">
        <f t="shared" si="116"/>
        <v>0.94545454545454544</v>
      </c>
      <c r="AL451" s="29">
        <f t="shared" si="117"/>
        <v>0.26666666666666666</v>
      </c>
      <c r="AM451" s="29">
        <f t="shared" si="118"/>
        <v>693.33333333333303</v>
      </c>
      <c r="AN451" s="29">
        <f t="shared" si="119"/>
        <v>0.87259615384615419</v>
      </c>
      <c r="AO451" s="29">
        <f t="shared" si="120"/>
        <v>0.9375</v>
      </c>
      <c r="AP451" s="31">
        <f t="shared" si="121"/>
        <v>0.93076923076923113</v>
      </c>
      <c r="AQ451" s="31">
        <f t="shared" si="122"/>
        <v>0.94545454545454544</v>
      </c>
      <c r="AR451" s="31">
        <f t="shared" si="123"/>
        <v>0.86015037593984967</v>
      </c>
      <c r="AS451" s="29">
        <f t="shared" si="124"/>
        <v>37.615570247933881</v>
      </c>
      <c r="AT451" s="29">
        <f t="shared" si="125"/>
        <v>11.677652045625306</v>
      </c>
      <c r="AU451" s="27" t="str">
        <f t="shared" si="126"/>
        <v>Low</v>
      </c>
      <c r="AV451" s="27" t="str">
        <f t="shared" si="127"/>
        <v>Normal</v>
      </c>
      <c r="AW451" s="27"/>
    </row>
    <row r="452" spans="1:49" x14ac:dyDescent="0.25">
      <c r="A452" s="27">
        <v>451</v>
      </c>
      <c r="B452" s="28">
        <v>46052</v>
      </c>
      <c r="C452" s="28" t="str">
        <f t="shared" si="112"/>
        <v>January</v>
      </c>
      <c r="D452" s="27" t="s">
        <v>47</v>
      </c>
      <c r="E452" s="27" t="s">
        <v>61</v>
      </c>
      <c r="F452" s="27" t="s">
        <v>62</v>
      </c>
      <c r="G452" s="27" t="s">
        <v>63</v>
      </c>
      <c r="H452" s="27" t="s">
        <v>79</v>
      </c>
      <c r="I452" s="27" t="s">
        <v>575</v>
      </c>
      <c r="J452" s="27" t="s">
        <v>191</v>
      </c>
      <c r="K452" s="27">
        <v>685</v>
      </c>
      <c r="L452" s="27">
        <v>712</v>
      </c>
      <c r="M452" s="27">
        <v>676</v>
      </c>
      <c r="N452" s="27">
        <v>36</v>
      </c>
      <c r="O452" s="27">
        <v>7</v>
      </c>
      <c r="P452" s="27">
        <v>23</v>
      </c>
      <c r="Q452" s="27" t="s">
        <v>94</v>
      </c>
      <c r="R452" s="27">
        <v>49</v>
      </c>
      <c r="S452" s="27">
        <v>50</v>
      </c>
      <c r="T452" s="29">
        <v>76.099999999999994</v>
      </c>
      <c r="U452" s="29">
        <v>1.1100000000000001</v>
      </c>
      <c r="V452" s="29">
        <v>28.13</v>
      </c>
      <c r="W452" s="30">
        <v>15321.18</v>
      </c>
      <c r="X452" s="27">
        <v>8.83</v>
      </c>
      <c r="Y452" s="27" t="s">
        <v>55</v>
      </c>
      <c r="Z452" s="29">
        <v>2</v>
      </c>
      <c r="AA452" s="30">
        <v>25531.84</v>
      </c>
      <c r="AB452" s="29">
        <v>0.949438202247191</v>
      </c>
      <c r="AC452" s="30">
        <v>19547.849999999999</v>
      </c>
      <c r="AD452" s="30">
        <v>150.62957865168499</v>
      </c>
      <c r="AE452" s="27">
        <v>559.41666666666697</v>
      </c>
      <c r="AF452" s="29">
        <v>0.95888574407865301</v>
      </c>
      <c r="AG452" s="30">
        <v>5833.3604213483204</v>
      </c>
      <c r="AH452" s="31">
        <f t="shared" si="113"/>
        <v>1.0394160583941605</v>
      </c>
      <c r="AI452" s="31">
        <f t="shared" si="114"/>
        <v>5.0561797752808987E-2</v>
      </c>
      <c r="AJ452" s="31">
        <f t="shared" si="115"/>
        <v>9.8314606741573031E-3</v>
      </c>
      <c r="AK452" s="31">
        <f t="shared" si="116"/>
        <v>0.949438202247191</v>
      </c>
      <c r="AL452" s="29">
        <f t="shared" si="117"/>
        <v>0.38333333333333336</v>
      </c>
      <c r="AM452" s="29">
        <f t="shared" si="118"/>
        <v>536.41666666666697</v>
      </c>
      <c r="AN452" s="29">
        <f t="shared" si="119"/>
        <v>1.3273263942830504</v>
      </c>
      <c r="AO452" s="29">
        <f t="shared" si="120"/>
        <v>1.2244897959183674</v>
      </c>
      <c r="AP452" s="31">
        <f t="shared" si="121"/>
        <v>1.0839832219978245</v>
      </c>
      <c r="AQ452" s="31">
        <f t="shared" si="122"/>
        <v>0.949438202247191</v>
      </c>
      <c r="AR452" s="31">
        <f t="shared" si="123"/>
        <v>0.9868613138686122</v>
      </c>
      <c r="AS452" s="29">
        <f t="shared" si="124"/>
        <v>27.454845505617975</v>
      </c>
      <c r="AT452" s="29">
        <f t="shared" si="125"/>
        <v>8.192921940095955</v>
      </c>
      <c r="AU452" s="27" t="str">
        <f t="shared" si="126"/>
        <v>Low</v>
      </c>
      <c r="AV452" s="27" t="str">
        <f t="shared" si="127"/>
        <v>Normal</v>
      </c>
      <c r="AW452" s="27"/>
    </row>
    <row r="453" spans="1:49" x14ac:dyDescent="0.25">
      <c r="A453" s="27">
        <v>452</v>
      </c>
      <c r="B453" s="28">
        <v>46036</v>
      </c>
      <c r="C453" s="28" t="str">
        <f t="shared" si="112"/>
        <v>January</v>
      </c>
      <c r="D453" s="27" t="s">
        <v>67</v>
      </c>
      <c r="E453" s="27" t="s">
        <v>61</v>
      </c>
      <c r="F453" s="27" t="s">
        <v>95</v>
      </c>
      <c r="G453" s="27" t="s">
        <v>50</v>
      </c>
      <c r="H453" s="27" t="s">
        <v>124</v>
      </c>
      <c r="I453" s="27" t="s">
        <v>576</v>
      </c>
      <c r="J453" s="27" t="s">
        <v>86</v>
      </c>
      <c r="K453" s="27">
        <v>598</v>
      </c>
      <c r="L453" s="27">
        <v>665</v>
      </c>
      <c r="M453" s="27">
        <v>627</v>
      </c>
      <c r="N453" s="27">
        <v>38</v>
      </c>
      <c r="O453" s="27">
        <v>8</v>
      </c>
      <c r="P453" s="27">
        <v>27</v>
      </c>
      <c r="Q453" s="27" t="s">
        <v>94</v>
      </c>
      <c r="R453" s="27">
        <v>57</v>
      </c>
      <c r="S453" s="27">
        <v>61</v>
      </c>
      <c r="T453" s="29">
        <v>82.1</v>
      </c>
      <c r="U453" s="29">
        <v>2.83</v>
      </c>
      <c r="V453" s="29">
        <v>25.26</v>
      </c>
      <c r="W453" s="30">
        <v>17236.59</v>
      </c>
      <c r="X453" s="27">
        <v>9.4</v>
      </c>
      <c r="Y453" s="27" t="s">
        <v>110</v>
      </c>
      <c r="Z453" s="29">
        <v>22</v>
      </c>
      <c r="AA453" s="30">
        <v>28553.5</v>
      </c>
      <c r="AB453" s="29">
        <v>0.94285714285714295</v>
      </c>
      <c r="AC453" s="30">
        <v>21693.93</v>
      </c>
      <c r="AD453" s="30">
        <v>207.35747368421099</v>
      </c>
      <c r="AE453" s="27">
        <v>568.1</v>
      </c>
      <c r="AF453" s="29">
        <v>0.95247315613448302</v>
      </c>
      <c r="AG453" s="30">
        <v>6652.2125263157895</v>
      </c>
      <c r="AH453" s="31">
        <f t="shared" si="113"/>
        <v>1.1120401337792643</v>
      </c>
      <c r="AI453" s="31">
        <f t="shared" si="114"/>
        <v>5.7142857142857141E-2</v>
      </c>
      <c r="AJ453" s="31">
        <f t="shared" si="115"/>
        <v>1.2030075187969926E-2</v>
      </c>
      <c r="AK453" s="31">
        <f t="shared" si="116"/>
        <v>0.94285714285714284</v>
      </c>
      <c r="AL453" s="29">
        <f t="shared" si="117"/>
        <v>0.45</v>
      </c>
      <c r="AM453" s="29">
        <f t="shared" si="118"/>
        <v>541.1</v>
      </c>
      <c r="AN453" s="29">
        <f t="shared" si="119"/>
        <v>1.2289780077619663</v>
      </c>
      <c r="AO453" s="29">
        <f t="shared" si="120"/>
        <v>1.0526315789473684</v>
      </c>
      <c r="AP453" s="31">
        <f t="shared" si="121"/>
        <v>1.1675291073738681</v>
      </c>
      <c r="AQ453" s="31">
        <f t="shared" si="122"/>
        <v>0.94285714285714284</v>
      </c>
      <c r="AR453" s="31">
        <f t="shared" si="123"/>
        <v>1.0484949832775916</v>
      </c>
      <c r="AS453" s="29">
        <f t="shared" si="124"/>
        <v>32.622451127819552</v>
      </c>
      <c r="AT453" s="29">
        <f t="shared" si="125"/>
        <v>10.003327107241789</v>
      </c>
      <c r="AU453" s="27" t="str">
        <f t="shared" si="126"/>
        <v>Medium</v>
      </c>
      <c r="AV453" s="27" t="str">
        <f t="shared" si="127"/>
        <v>Warning</v>
      </c>
      <c r="AW453" s="27"/>
    </row>
    <row r="454" spans="1:49" x14ac:dyDescent="0.25">
      <c r="A454" s="27">
        <v>453</v>
      </c>
      <c r="B454" s="28">
        <v>46113</v>
      </c>
      <c r="C454" s="28" t="str">
        <f t="shared" si="112"/>
        <v>April</v>
      </c>
      <c r="D454" s="27" t="s">
        <v>47</v>
      </c>
      <c r="E454" s="27" t="s">
        <v>48</v>
      </c>
      <c r="F454" s="27" t="s">
        <v>49</v>
      </c>
      <c r="G454" s="27" t="s">
        <v>50</v>
      </c>
      <c r="H454" s="27" t="s">
        <v>124</v>
      </c>
      <c r="I454" s="27" t="s">
        <v>577</v>
      </c>
      <c r="J454" s="27" t="s">
        <v>65</v>
      </c>
      <c r="K454" s="27">
        <v>734</v>
      </c>
      <c r="L454" s="27">
        <v>745</v>
      </c>
      <c r="M454" s="27">
        <v>718</v>
      </c>
      <c r="N454" s="27">
        <v>27</v>
      </c>
      <c r="O454" s="27">
        <v>5</v>
      </c>
      <c r="P454" s="27">
        <v>11</v>
      </c>
      <c r="Q454" s="27" t="s">
        <v>82</v>
      </c>
      <c r="R454" s="27">
        <v>57</v>
      </c>
      <c r="S454" s="27">
        <v>62</v>
      </c>
      <c r="T454" s="29">
        <v>75</v>
      </c>
      <c r="U454" s="29">
        <v>1.94</v>
      </c>
      <c r="V454" s="29">
        <v>30.4</v>
      </c>
      <c r="W454" s="30">
        <v>20236.580000000002</v>
      </c>
      <c r="X454" s="27">
        <v>8.93</v>
      </c>
      <c r="Y454" s="27" t="s">
        <v>55</v>
      </c>
      <c r="Z454" s="29">
        <v>29</v>
      </c>
      <c r="AA454" s="30">
        <v>32634.57</v>
      </c>
      <c r="AB454" s="29">
        <v>0.96375838926174495</v>
      </c>
      <c r="AC454" s="30">
        <v>24528.68</v>
      </c>
      <c r="AD454" s="30">
        <v>135.81597315436201</v>
      </c>
      <c r="AE454" s="27">
        <v>697.3</v>
      </c>
      <c r="AF454" s="29">
        <v>0.98422486734547499</v>
      </c>
      <c r="AG454" s="30">
        <v>7970.0740268456402</v>
      </c>
      <c r="AH454" s="31">
        <f t="shared" si="113"/>
        <v>1.0149863760217983</v>
      </c>
      <c r="AI454" s="31">
        <f t="shared" si="114"/>
        <v>3.6241610738255034E-2</v>
      </c>
      <c r="AJ454" s="31">
        <f t="shared" si="115"/>
        <v>6.7114093959731542E-3</v>
      </c>
      <c r="AK454" s="31">
        <f t="shared" si="116"/>
        <v>0.96375838926174495</v>
      </c>
      <c r="AL454" s="29">
        <f t="shared" si="117"/>
        <v>0.18333333333333332</v>
      </c>
      <c r="AM454" s="29">
        <f t="shared" si="118"/>
        <v>686.3</v>
      </c>
      <c r="AN454" s="29">
        <f t="shared" si="119"/>
        <v>1.0855311088445287</v>
      </c>
      <c r="AO454" s="29">
        <f t="shared" si="120"/>
        <v>1.0526315789473684</v>
      </c>
      <c r="AP454" s="31">
        <f t="shared" si="121"/>
        <v>1.0312545534023023</v>
      </c>
      <c r="AQ454" s="31">
        <f t="shared" si="122"/>
        <v>0.96375838926174495</v>
      </c>
      <c r="AR454" s="31">
        <f t="shared" si="123"/>
        <v>0.97820163487738387</v>
      </c>
      <c r="AS454" s="29">
        <f t="shared" si="124"/>
        <v>32.924402684563759</v>
      </c>
      <c r="AT454" s="29">
        <f t="shared" si="125"/>
        <v>10.698085942074686</v>
      </c>
      <c r="AU454" s="27" t="str">
        <f t="shared" si="126"/>
        <v>Low</v>
      </c>
      <c r="AV454" s="27" t="str">
        <f t="shared" si="127"/>
        <v>Normal</v>
      </c>
      <c r="AW454" s="27"/>
    </row>
    <row r="455" spans="1:49" x14ac:dyDescent="0.25">
      <c r="A455" s="27">
        <v>454</v>
      </c>
      <c r="B455" s="28">
        <v>46081</v>
      </c>
      <c r="C455" s="28" t="str">
        <f t="shared" si="112"/>
        <v>February</v>
      </c>
      <c r="D455" s="27" t="s">
        <v>47</v>
      </c>
      <c r="E455" s="27" t="s">
        <v>48</v>
      </c>
      <c r="F455" s="27" t="s">
        <v>56</v>
      </c>
      <c r="G455" s="27" t="s">
        <v>63</v>
      </c>
      <c r="H455" s="27" t="s">
        <v>57</v>
      </c>
      <c r="I455" s="27" t="s">
        <v>578</v>
      </c>
      <c r="J455" s="27" t="s">
        <v>90</v>
      </c>
      <c r="K455" s="27">
        <v>885</v>
      </c>
      <c r="L455" s="27">
        <v>780</v>
      </c>
      <c r="M455" s="27">
        <v>739</v>
      </c>
      <c r="N455" s="27">
        <v>41</v>
      </c>
      <c r="O455" s="27">
        <v>8</v>
      </c>
      <c r="P455" s="27">
        <v>21</v>
      </c>
      <c r="Q455" s="27" t="s">
        <v>54</v>
      </c>
      <c r="R455" s="27">
        <v>45</v>
      </c>
      <c r="S455" s="27">
        <v>44</v>
      </c>
      <c r="T455" s="29">
        <v>70.5</v>
      </c>
      <c r="U455" s="29">
        <v>1.32</v>
      </c>
      <c r="V455" s="29">
        <v>31.5</v>
      </c>
      <c r="W455" s="30">
        <v>15321.97</v>
      </c>
      <c r="X455" s="27">
        <v>8.49</v>
      </c>
      <c r="Y455" s="27" t="s">
        <v>66</v>
      </c>
      <c r="Z455" s="29">
        <v>1</v>
      </c>
      <c r="AA455" s="30">
        <v>25390.560000000001</v>
      </c>
      <c r="AB455" s="29">
        <v>0.94743589743589696</v>
      </c>
      <c r="AC455" s="30">
        <v>19425.97</v>
      </c>
      <c r="AD455" s="30">
        <v>157.14841025640999</v>
      </c>
      <c r="AE455" s="27">
        <v>663.75</v>
      </c>
      <c r="AF455" s="29">
        <v>0.96836158192090405</v>
      </c>
      <c r="AG455" s="30">
        <v>5807.4415897435902</v>
      </c>
      <c r="AH455" s="31">
        <f t="shared" si="113"/>
        <v>0.88135593220338981</v>
      </c>
      <c r="AI455" s="31">
        <f t="shared" si="114"/>
        <v>5.2564102564102565E-2</v>
      </c>
      <c r="AJ455" s="31">
        <f t="shared" si="115"/>
        <v>1.0256410256410256E-2</v>
      </c>
      <c r="AK455" s="31">
        <f t="shared" si="116"/>
        <v>0.9474358974358974</v>
      </c>
      <c r="AL455" s="29">
        <f t="shared" si="117"/>
        <v>0.35</v>
      </c>
      <c r="AM455" s="29">
        <f t="shared" si="118"/>
        <v>642.75</v>
      </c>
      <c r="AN455" s="29">
        <f t="shared" si="119"/>
        <v>1.2135355892648776</v>
      </c>
      <c r="AO455" s="29">
        <f t="shared" si="120"/>
        <v>1.3333333333333333</v>
      </c>
      <c r="AP455" s="31">
        <f t="shared" si="121"/>
        <v>0.91015169194865819</v>
      </c>
      <c r="AQ455" s="31">
        <f t="shared" si="122"/>
        <v>0.9474358974358974</v>
      </c>
      <c r="AR455" s="31">
        <f t="shared" si="123"/>
        <v>0.83502824858757074</v>
      </c>
      <c r="AS455" s="29">
        <f t="shared" si="124"/>
        <v>24.905089743589745</v>
      </c>
      <c r="AT455" s="29">
        <f t="shared" si="125"/>
        <v>7.4454379355687053</v>
      </c>
      <c r="AU455" s="27" t="str">
        <f t="shared" si="126"/>
        <v>Medium</v>
      </c>
      <c r="AV455" s="27" t="str">
        <f t="shared" si="127"/>
        <v>Warning</v>
      </c>
      <c r="AW455" s="27"/>
    </row>
    <row r="456" spans="1:49" x14ac:dyDescent="0.25">
      <c r="A456" s="27">
        <v>455</v>
      </c>
      <c r="B456" s="28">
        <v>46178</v>
      </c>
      <c r="C456" s="28" t="str">
        <f t="shared" si="112"/>
        <v>June</v>
      </c>
      <c r="D456" s="27" t="s">
        <v>67</v>
      </c>
      <c r="E456" s="27" t="s">
        <v>129</v>
      </c>
      <c r="F456" s="27" t="s">
        <v>151</v>
      </c>
      <c r="G456" s="27" t="s">
        <v>63</v>
      </c>
      <c r="H456" s="27" t="s">
        <v>51</v>
      </c>
      <c r="I456" s="27" t="s">
        <v>579</v>
      </c>
      <c r="J456" s="27" t="s">
        <v>109</v>
      </c>
      <c r="K456" s="27">
        <v>954</v>
      </c>
      <c r="L456" s="27">
        <v>834</v>
      </c>
      <c r="M456" s="27">
        <v>782</v>
      </c>
      <c r="N456" s="27">
        <v>52</v>
      </c>
      <c r="O456" s="27">
        <v>16</v>
      </c>
      <c r="P456" s="27">
        <v>45</v>
      </c>
      <c r="Q456" s="27" t="s">
        <v>94</v>
      </c>
      <c r="R456" s="27">
        <v>42</v>
      </c>
      <c r="S456" s="27">
        <v>42</v>
      </c>
      <c r="T456" s="29">
        <v>79.2</v>
      </c>
      <c r="U456" s="29">
        <v>1.59</v>
      </c>
      <c r="V456" s="29">
        <v>27.61</v>
      </c>
      <c r="W456" s="30">
        <v>15423.51</v>
      </c>
      <c r="X456" s="27">
        <v>7.43</v>
      </c>
      <c r="Y456" s="27" t="s">
        <v>66</v>
      </c>
      <c r="Z456" s="29">
        <v>22</v>
      </c>
      <c r="AA456" s="30">
        <v>25093.94</v>
      </c>
      <c r="AB456" s="29">
        <v>0.93764988009592298</v>
      </c>
      <c r="AC456" s="30">
        <v>19015.5</v>
      </c>
      <c r="AD456" s="30">
        <v>295.894676258993</v>
      </c>
      <c r="AE456" s="27">
        <v>667.8</v>
      </c>
      <c r="AF456" s="29">
        <v>0.93261455525606496</v>
      </c>
      <c r="AG456" s="30">
        <v>5782.5453237410002</v>
      </c>
      <c r="AH456" s="31">
        <f t="shared" si="113"/>
        <v>0.87421383647798745</v>
      </c>
      <c r="AI456" s="31">
        <f t="shared" si="114"/>
        <v>6.235011990407674E-2</v>
      </c>
      <c r="AJ456" s="31">
        <f t="shared" si="115"/>
        <v>1.9184652278177457E-2</v>
      </c>
      <c r="AK456" s="31">
        <f t="shared" si="116"/>
        <v>0.93764988009592332</v>
      </c>
      <c r="AL456" s="29">
        <f t="shared" si="117"/>
        <v>0.75</v>
      </c>
      <c r="AM456" s="29">
        <f t="shared" si="118"/>
        <v>622.79999999999995</v>
      </c>
      <c r="AN456" s="29">
        <f t="shared" si="119"/>
        <v>1.3391136801541428</v>
      </c>
      <c r="AO456" s="29">
        <f t="shared" si="120"/>
        <v>1.4285714285714286</v>
      </c>
      <c r="AP456" s="31">
        <f t="shared" si="121"/>
        <v>0.9373795761078999</v>
      </c>
      <c r="AQ456" s="31">
        <f t="shared" si="122"/>
        <v>0.93764988009592332</v>
      </c>
      <c r="AR456" s="31">
        <f t="shared" si="123"/>
        <v>0.81970649895178238</v>
      </c>
      <c r="AS456" s="29">
        <f t="shared" si="124"/>
        <v>22.800359712230215</v>
      </c>
      <c r="AT456" s="29">
        <f t="shared" si="125"/>
        <v>6.9335075824232613</v>
      </c>
      <c r="AU456" s="27" t="str">
        <f t="shared" si="126"/>
        <v>Medium</v>
      </c>
      <c r="AV456" s="27" t="str">
        <f t="shared" si="127"/>
        <v>Warning</v>
      </c>
      <c r="AW456" s="27"/>
    </row>
    <row r="457" spans="1:49" x14ac:dyDescent="0.25">
      <c r="A457" s="27">
        <v>456</v>
      </c>
      <c r="B457" s="28">
        <v>46050</v>
      </c>
      <c r="C457" s="28" t="str">
        <f t="shared" si="112"/>
        <v>January</v>
      </c>
      <c r="D457" s="27" t="s">
        <v>67</v>
      </c>
      <c r="E457" s="27" t="s">
        <v>98</v>
      </c>
      <c r="F457" s="27" t="s">
        <v>126</v>
      </c>
      <c r="G457" s="27" t="s">
        <v>78</v>
      </c>
      <c r="H457" s="27" t="s">
        <v>79</v>
      </c>
      <c r="I457" s="27" t="s">
        <v>580</v>
      </c>
      <c r="J457" s="27" t="s">
        <v>286</v>
      </c>
      <c r="K457" s="27">
        <v>848</v>
      </c>
      <c r="L457" s="27">
        <v>718</v>
      </c>
      <c r="M457" s="27">
        <v>663</v>
      </c>
      <c r="N457" s="27">
        <v>55</v>
      </c>
      <c r="O457" s="27">
        <v>21</v>
      </c>
      <c r="P457" s="27">
        <v>0</v>
      </c>
      <c r="Q457" s="27" t="s">
        <v>60</v>
      </c>
      <c r="R457" s="27">
        <v>49</v>
      </c>
      <c r="S457" s="27">
        <v>54</v>
      </c>
      <c r="T457" s="29">
        <v>74.2</v>
      </c>
      <c r="U457" s="29">
        <v>2.08</v>
      </c>
      <c r="V457" s="29">
        <v>24.68</v>
      </c>
      <c r="W457" s="30">
        <v>15116.13</v>
      </c>
      <c r="X457" s="27">
        <v>7.82</v>
      </c>
      <c r="Y457" s="27" t="s">
        <v>55</v>
      </c>
      <c r="Z457" s="29">
        <v>18</v>
      </c>
      <c r="AA457" s="30">
        <v>25531.14</v>
      </c>
      <c r="AB457" s="29">
        <v>0.92339832869080796</v>
      </c>
      <c r="AC457" s="30">
        <v>18857.25</v>
      </c>
      <c r="AD457" s="30">
        <v>442.115222841226</v>
      </c>
      <c r="AE457" s="27">
        <v>692.53333333333296</v>
      </c>
      <c r="AF457" s="29">
        <v>1</v>
      </c>
      <c r="AG457" s="30">
        <v>6231.7747771587801</v>
      </c>
      <c r="AH457" s="31">
        <f t="shared" si="113"/>
        <v>0.84669811320754718</v>
      </c>
      <c r="AI457" s="31">
        <f t="shared" si="114"/>
        <v>7.6601671309192196E-2</v>
      </c>
      <c r="AJ457" s="31">
        <f t="shared" si="115"/>
        <v>2.9247910863509748E-2</v>
      </c>
      <c r="AK457" s="31">
        <f t="shared" si="116"/>
        <v>0.92339832869080785</v>
      </c>
      <c r="AL457" s="29">
        <f t="shared" si="117"/>
        <v>0</v>
      </c>
      <c r="AM457" s="29">
        <f t="shared" si="118"/>
        <v>692.53333333333296</v>
      </c>
      <c r="AN457" s="29">
        <f t="shared" si="119"/>
        <v>1.0367731998459766</v>
      </c>
      <c r="AO457" s="29">
        <f t="shared" si="120"/>
        <v>1.2244897959183674</v>
      </c>
      <c r="AP457" s="31">
        <f t="shared" si="121"/>
        <v>0.84669811320754751</v>
      </c>
      <c r="AQ457" s="31">
        <f t="shared" si="122"/>
        <v>0.92339832869080785</v>
      </c>
      <c r="AR457" s="31">
        <f t="shared" si="123"/>
        <v>0.78183962264150975</v>
      </c>
      <c r="AS457" s="29">
        <f t="shared" si="124"/>
        <v>26.263579387186631</v>
      </c>
      <c r="AT457" s="29">
        <f t="shared" si="125"/>
        <v>8.6793520573242056</v>
      </c>
      <c r="AU457" s="27" t="str">
        <f t="shared" si="126"/>
        <v>High</v>
      </c>
      <c r="AV457" s="27" t="str">
        <f t="shared" si="127"/>
        <v>Warning</v>
      </c>
      <c r="AW457" s="27"/>
    </row>
    <row r="458" spans="1:49" x14ac:dyDescent="0.25">
      <c r="A458" s="27">
        <v>457</v>
      </c>
      <c r="B458" s="28">
        <v>46168</v>
      </c>
      <c r="C458" s="28" t="str">
        <f t="shared" si="112"/>
        <v>May</v>
      </c>
      <c r="D458" s="27" t="s">
        <v>47</v>
      </c>
      <c r="E458" s="27" t="s">
        <v>48</v>
      </c>
      <c r="F458" s="27" t="s">
        <v>56</v>
      </c>
      <c r="G458" s="27" t="s">
        <v>50</v>
      </c>
      <c r="H458" s="27" t="s">
        <v>79</v>
      </c>
      <c r="I458" s="27" t="s">
        <v>581</v>
      </c>
      <c r="J458" s="27" t="s">
        <v>226</v>
      </c>
      <c r="K458" s="27">
        <v>697</v>
      </c>
      <c r="L458" s="27">
        <v>669</v>
      </c>
      <c r="M458" s="27">
        <v>633</v>
      </c>
      <c r="N458" s="27">
        <v>36</v>
      </c>
      <c r="O458" s="27">
        <v>15</v>
      </c>
      <c r="P458" s="27">
        <v>0</v>
      </c>
      <c r="Q458" s="27" t="s">
        <v>60</v>
      </c>
      <c r="R458" s="27">
        <v>49</v>
      </c>
      <c r="S458" s="27">
        <v>53</v>
      </c>
      <c r="T458" s="29">
        <v>75.400000000000006</v>
      </c>
      <c r="U458" s="29">
        <v>1.59</v>
      </c>
      <c r="V458" s="29">
        <v>20.78</v>
      </c>
      <c r="W458" s="30">
        <v>14687.97</v>
      </c>
      <c r="X458" s="27">
        <v>8.67</v>
      </c>
      <c r="Y458" s="27" t="s">
        <v>66</v>
      </c>
      <c r="Z458" s="29">
        <v>17</v>
      </c>
      <c r="AA458" s="30">
        <v>24390.37</v>
      </c>
      <c r="AB458" s="29">
        <v>0.94618834080717495</v>
      </c>
      <c r="AC458" s="30">
        <v>18776.490000000002</v>
      </c>
      <c r="AD458" s="30">
        <v>329.32668161434998</v>
      </c>
      <c r="AE458" s="27">
        <v>569.21666666666704</v>
      </c>
      <c r="AF458" s="29">
        <v>1</v>
      </c>
      <c r="AG458" s="30">
        <v>5284.5533183856496</v>
      </c>
      <c r="AH458" s="31">
        <f t="shared" si="113"/>
        <v>0.95982783357245338</v>
      </c>
      <c r="AI458" s="31">
        <f t="shared" si="114"/>
        <v>5.3811659192825115E-2</v>
      </c>
      <c r="AJ458" s="31">
        <f t="shared" si="115"/>
        <v>2.2421524663677129E-2</v>
      </c>
      <c r="AK458" s="31">
        <f t="shared" si="116"/>
        <v>0.94618834080717484</v>
      </c>
      <c r="AL458" s="29">
        <f t="shared" si="117"/>
        <v>0</v>
      </c>
      <c r="AM458" s="29">
        <f t="shared" si="118"/>
        <v>569.21666666666704</v>
      </c>
      <c r="AN458" s="29">
        <f t="shared" si="119"/>
        <v>1.1752993880479012</v>
      </c>
      <c r="AO458" s="29">
        <f t="shared" si="120"/>
        <v>1.2244897959183674</v>
      </c>
      <c r="AP458" s="31">
        <f t="shared" si="121"/>
        <v>0.9598278335724526</v>
      </c>
      <c r="AQ458" s="31">
        <f t="shared" si="122"/>
        <v>0.94618834080717484</v>
      </c>
      <c r="AR458" s="31">
        <f t="shared" si="123"/>
        <v>0.9081779053084641</v>
      </c>
      <c r="AS458" s="29">
        <f t="shared" si="124"/>
        <v>28.06650224215247</v>
      </c>
      <c r="AT458" s="29">
        <f t="shared" si="125"/>
        <v>7.8991828376467108</v>
      </c>
      <c r="AU458" s="27" t="str">
        <f t="shared" si="126"/>
        <v>Low</v>
      </c>
      <c r="AV458" s="27" t="str">
        <f t="shared" si="127"/>
        <v>Normal</v>
      </c>
      <c r="AW458" s="27"/>
    </row>
    <row r="459" spans="1:49" x14ac:dyDescent="0.25">
      <c r="A459" s="27">
        <v>458</v>
      </c>
      <c r="B459" s="28">
        <v>46049</v>
      </c>
      <c r="C459" s="28" t="str">
        <f t="shared" si="112"/>
        <v>January</v>
      </c>
      <c r="D459" s="27" t="s">
        <v>67</v>
      </c>
      <c r="E459" s="27" t="s">
        <v>48</v>
      </c>
      <c r="F459" s="27" t="s">
        <v>56</v>
      </c>
      <c r="G459" s="27" t="s">
        <v>50</v>
      </c>
      <c r="H459" s="27" t="s">
        <v>51</v>
      </c>
      <c r="I459" s="27" t="s">
        <v>582</v>
      </c>
      <c r="J459" s="27" t="s">
        <v>175</v>
      </c>
      <c r="K459" s="27">
        <v>782</v>
      </c>
      <c r="L459" s="27">
        <v>798</v>
      </c>
      <c r="M459" s="27">
        <v>750</v>
      </c>
      <c r="N459" s="27">
        <v>48</v>
      </c>
      <c r="O459" s="27">
        <v>14</v>
      </c>
      <c r="P459" s="27">
        <v>0</v>
      </c>
      <c r="Q459" s="27" t="s">
        <v>60</v>
      </c>
      <c r="R459" s="27">
        <v>42</v>
      </c>
      <c r="S459" s="27">
        <v>41</v>
      </c>
      <c r="T459" s="29">
        <v>69.3</v>
      </c>
      <c r="U459" s="29">
        <v>2.2000000000000002</v>
      </c>
      <c r="V459" s="29">
        <v>30.11</v>
      </c>
      <c r="W459" s="30">
        <v>14584.79</v>
      </c>
      <c r="X459" s="27">
        <v>8.35</v>
      </c>
      <c r="Y459" s="27" t="s">
        <v>55</v>
      </c>
      <c r="Z459" s="29">
        <v>18</v>
      </c>
      <c r="AA459" s="30">
        <v>23703.68</v>
      </c>
      <c r="AB459" s="29">
        <v>0.93984962406015005</v>
      </c>
      <c r="AC459" s="30">
        <v>18613.28</v>
      </c>
      <c r="AD459" s="30">
        <v>255.87350877193001</v>
      </c>
      <c r="AE459" s="27">
        <v>547.4</v>
      </c>
      <c r="AF459" s="29">
        <v>1</v>
      </c>
      <c r="AG459" s="30">
        <v>4834.52649122807</v>
      </c>
      <c r="AH459" s="31">
        <f t="shared" si="113"/>
        <v>1.0204603580562659</v>
      </c>
      <c r="AI459" s="31">
        <f t="shared" si="114"/>
        <v>6.0150375939849621E-2</v>
      </c>
      <c r="AJ459" s="31">
        <f t="shared" si="115"/>
        <v>1.7543859649122806E-2</v>
      </c>
      <c r="AK459" s="31">
        <f t="shared" si="116"/>
        <v>0.93984962406015038</v>
      </c>
      <c r="AL459" s="29">
        <f t="shared" si="117"/>
        <v>0</v>
      </c>
      <c r="AM459" s="29">
        <f t="shared" si="118"/>
        <v>547.4</v>
      </c>
      <c r="AN459" s="29">
        <f t="shared" si="119"/>
        <v>1.4578005115089514</v>
      </c>
      <c r="AO459" s="29">
        <f t="shared" si="120"/>
        <v>1.4285714285714286</v>
      </c>
      <c r="AP459" s="31">
        <f t="shared" si="121"/>
        <v>1.0204603580562659</v>
      </c>
      <c r="AQ459" s="31">
        <f t="shared" si="122"/>
        <v>0.93984962406015038</v>
      </c>
      <c r="AR459" s="31">
        <f t="shared" si="123"/>
        <v>0.95907928388746799</v>
      </c>
      <c r="AS459" s="29">
        <f t="shared" si="124"/>
        <v>23.324912280701753</v>
      </c>
      <c r="AT459" s="29">
        <f t="shared" si="125"/>
        <v>6.0583038737193862</v>
      </c>
      <c r="AU459" s="27" t="str">
        <f t="shared" si="126"/>
        <v>Low</v>
      </c>
      <c r="AV459" s="27" t="str">
        <f t="shared" si="127"/>
        <v>Normal</v>
      </c>
      <c r="AW459" s="27"/>
    </row>
    <row r="460" spans="1:49" x14ac:dyDescent="0.25">
      <c r="A460" s="27">
        <v>459</v>
      </c>
      <c r="B460" s="28">
        <v>46196</v>
      </c>
      <c r="C460" s="28" t="str">
        <f t="shared" si="112"/>
        <v>June</v>
      </c>
      <c r="D460" s="27" t="s">
        <v>67</v>
      </c>
      <c r="E460" s="27" t="s">
        <v>76</v>
      </c>
      <c r="F460" s="27" t="s">
        <v>119</v>
      </c>
      <c r="G460" s="27" t="s">
        <v>63</v>
      </c>
      <c r="H460" s="27" t="s">
        <v>79</v>
      </c>
      <c r="I460" s="27" t="s">
        <v>583</v>
      </c>
      <c r="J460" s="27" t="s">
        <v>65</v>
      </c>
      <c r="K460" s="27">
        <v>692</v>
      </c>
      <c r="L460" s="27">
        <v>630</v>
      </c>
      <c r="M460" s="27">
        <v>568</v>
      </c>
      <c r="N460" s="27">
        <v>62</v>
      </c>
      <c r="O460" s="27">
        <v>26</v>
      </c>
      <c r="P460" s="27">
        <v>0</v>
      </c>
      <c r="Q460" s="27" t="s">
        <v>60</v>
      </c>
      <c r="R460" s="27">
        <v>49</v>
      </c>
      <c r="S460" s="27">
        <v>52</v>
      </c>
      <c r="T460" s="29">
        <v>68.5</v>
      </c>
      <c r="U460" s="29">
        <v>2.2400000000000002</v>
      </c>
      <c r="V460" s="29">
        <v>25.24</v>
      </c>
      <c r="W460" s="30">
        <v>14217.72</v>
      </c>
      <c r="X460" s="27">
        <v>7.98</v>
      </c>
      <c r="Y460" s="27" t="s">
        <v>55</v>
      </c>
      <c r="Z460" s="29">
        <v>15</v>
      </c>
      <c r="AA460" s="30">
        <v>21168.58</v>
      </c>
      <c r="AB460" s="29">
        <v>0.90158730158730205</v>
      </c>
      <c r="AC460" s="30">
        <v>18035.88</v>
      </c>
      <c r="AD460" s="30">
        <v>586.76304761904805</v>
      </c>
      <c r="AE460" s="27">
        <v>565.13333333333298</v>
      </c>
      <c r="AF460" s="29">
        <v>1</v>
      </c>
      <c r="AG460" s="30">
        <v>2545.9369523809501</v>
      </c>
      <c r="AH460" s="31">
        <f t="shared" si="113"/>
        <v>0.91040462427745661</v>
      </c>
      <c r="AI460" s="31">
        <f t="shared" si="114"/>
        <v>9.841269841269841E-2</v>
      </c>
      <c r="AJ460" s="31">
        <f t="shared" si="115"/>
        <v>4.1269841269841269E-2</v>
      </c>
      <c r="AK460" s="31">
        <f t="shared" si="116"/>
        <v>0.9015873015873016</v>
      </c>
      <c r="AL460" s="29">
        <f t="shared" si="117"/>
        <v>0</v>
      </c>
      <c r="AM460" s="29">
        <f t="shared" si="118"/>
        <v>565.13333333333298</v>
      </c>
      <c r="AN460" s="29">
        <f t="shared" si="119"/>
        <v>1.1147811725846415</v>
      </c>
      <c r="AO460" s="29">
        <f t="shared" si="120"/>
        <v>1.2244897959183674</v>
      </c>
      <c r="AP460" s="31">
        <f t="shared" si="121"/>
        <v>0.91040462427745716</v>
      </c>
      <c r="AQ460" s="31">
        <f t="shared" si="122"/>
        <v>0.9015873015873016</v>
      </c>
      <c r="AR460" s="31">
        <f t="shared" si="123"/>
        <v>0.82080924855491377</v>
      </c>
      <c r="AS460" s="29">
        <f t="shared" si="124"/>
        <v>28.628380952380954</v>
      </c>
      <c r="AT460" s="29">
        <f t="shared" si="125"/>
        <v>4.0411697656840477</v>
      </c>
      <c r="AU460" s="27" t="str">
        <f t="shared" si="126"/>
        <v>Medium</v>
      </c>
      <c r="AV460" s="27" t="str">
        <f t="shared" si="127"/>
        <v>Warning</v>
      </c>
      <c r="AW460" s="27"/>
    </row>
    <row r="461" spans="1:49" x14ac:dyDescent="0.25">
      <c r="A461" s="27">
        <v>460</v>
      </c>
      <c r="B461" s="28">
        <v>46143</v>
      </c>
      <c r="C461" s="28" t="str">
        <f t="shared" si="112"/>
        <v>May</v>
      </c>
      <c r="D461" s="27" t="s">
        <v>47</v>
      </c>
      <c r="E461" s="27" t="s">
        <v>48</v>
      </c>
      <c r="F461" s="27" t="s">
        <v>56</v>
      </c>
      <c r="G461" s="27" t="s">
        <v>63</v>
      </c>
      <c r="H461" s="27" t="s">
        <v>51</v>
      </c>
      <c r="I461" s="27" t="s">
        <v>584</v>
      </c>
      <c r="J461" s="27" t="s">
        <v>53</v>
      </c>
      <c r="K461" s="27">
        <v>954</v>
      </c>
      <c r="L461" s="27">
        <v>875</v>
      </c>
      <c r="M461" s="27">
        <v>825</v>
      </c>
      <c r="N461" s="27">
        <v>50</v>
      </c>
      <c r="O461" s="27">
        <v>20</v>
      </c>
      <c r="P461" s="27">
        <v>41</v>
      </c>
      <c r="Q461" s="27" t="s">
        <v>54</v>
      </c>
      <c r="R461" s="27">
        <v>42</v>
      </c>
      <c r="S461" s="27">
        <v>42</v>
      </c>
      <c r="T461" s="29">
        <v>68.7</v>
      </c>
      <c r="U461" s="29">
        <v>1.96</v>
      </c>
      <c r="V461" s="29">
        <v>30.4</v>
      </c>
      <c r="W461" s="30">
        <v>16902.52</v>
      </c>
      <c r="X461" s="27">
        <v>8.3699999999999992</v>
      </c>
      <c r="Y461" s="27" t="s">
        <v>55</v>
      </c>
      <c r="Z461" s="29">
        <v>34</v>
      </c>
      <c r="AA461" s="30">
        <v>26597.21</v>
      </c>
      <c r="AB461" s="29">
        <v>0.94285714285714295</v>
      </c>
      <c r="AC461" s="30">
        <v>20942.62</v>
      </c>
      <c r="AD461" s="30">
        <v>386.34331428571397</v>
      </c>
      <c r="AE461" s="27">
        <v>667.8</v>
      </c>
      <c r="AF461" s="29">
        <v>0.93860437256663698</v>
      </c>
      <c r="AG461" s="30">
        <v>5268.2466857142899</v>
      </c>
      <c r="AH461" s="31">
        <f t="shared" si="113"/>
        <v>0.91719077568134177</v>
      </c>
      <c r="AI461" s="31">
        <f t="shared" si="114"/>
        <v>5.7142857142857141E-2</v>
      </c>
      <c r="AJ461" s="31">
        <f t="shared" si="115"/>
        <v>2.2857142857142857E-2</v>
      </c>
      <c r="AK461" s="31">
        <f t="shared" si="116"/>
        <v>0.94285714285714284</v>
      </c>
      <c r="AL461" s="29">
        <f t="shared" si="117"/>
        <v>0.68333333333333335</v>
      </c>
      <c r="AM461" s="29">
        <f t="shared" si="118"/>
        <v>626.79999999999995</v>
      </c>
      <c r="AN461" s="29">
        <f t="shared" si="119"/>
        <v>1.3959795788130187</v>
      </c>
      <c r="AO461" s="29">
        <f t="shared" si="120"/>
        <v>1.4285714285714286</v>
      </c>
      <c r="AP461" s="31">
        <f t="shared" si="121"/>
        <v>0.97718570516911307</v>
      </c>
      <c r="AQ461" s="31">
        <f t="shared" si="122"/>
        <v>0.94285714285714284</v>
      </c>
      <c r="AR461" s="31">
        <f t="shared" si="123"/>
        <v>0.86477987421383684</v>
      </c>
      <c r="AS461" s="29">
        <f t="shared" si="124"/>
        <v>23.934422857142856</v>
      </c>
      <c r="AT461" s="29">
        <f t="shared" si="125"/>
        <v>6.0208533551020453</v>
      </c>
      <c r="AU461" s="27" t="str">
        <f t="shared" si="126"/>
        <v>Medium</v>
      </c>
      <c r="AV461" s="27" t="str">
        <f t="shared" si="127"/>
        <v>Normal</v>
      </c>
      <c r="AW461" s="27"/>
    </row>
    <row r="462" spans="1:49" x14ac:dyDescent="0.25">
      <c r="A462" s="27">
        <v>461</v>
      </c>
      <c r="B462" s="28">
        <v>46126</v>
      </c>
      <c r="C462" s="28" t="str">
        <f t="shared" si="112"/>
        <v>April</v>
      </c>
      <c r="D462" s="27" t="s">
        <v>67</v>
      </c>
      <c r="E462" s="27" t="s">
        <v>76</v>
      </c>
      <c r="F462" s="27" t="s">
        <v>113</v>
      </c>
      <c r="G462" s="27" t="s">
        <v>63</v>
      </c>
      <c r="H462" s="27" t="s">
        <v>51</v>
      </c>
      <c r="I462" s="27" t="s">
        <v>585</v>
      </c>
      <c r="J462" s="27" t="s">
        <v>101</v>
      </c>
      <c r="K462" s="27">
        <v>772</v>
      </c>
      <c r="L462" s="27">
        <v>701</v>
      </c>
      <c r="M462" s="27">
        <v>669</v>
      </c>
      <c r="N462" s="27">
        <v>32</v>
      </c>
      <c r="O462" s="27">
        <v>8</v>
      </c>
      <c r="P462" s="27">
        <v>33</v>
      </c>
      <c r="Q462" s="27" t="s">
        <v>54</v>
      </c>
      <c r="R462" s="27">
        <v>42</v>
      </c>
      <c r="S462" s="27">
        <v>45</v>
      </c>
      <c r="T462" s="29">
        <v>67.599999999999994</v>
      </c>
      <c r="U462" s="29">
        <v>1.68</v>
      </c>
      <c r="V462" s="29">
        <v>29.29</v>
      </c>
      <c r="W462" s="30">
        <v>13230.72</v>
      </c>
      <c r="X462" s="27">
        <v>7.96</v>
      </c>
      <c r="Y462" s="27" t="s">
        <v>55</v>
      </c>
      <c r="Z462" s="29">
        <v>22</v>
      </c>
      <c r="AA462" s="30">
        <v>21771.98</v>
      </c>
      <c r="AB462" s="29">
        <v>0.95435092724679005</v>
      </c>
      <c r="AC462" s="30">
        <v>17076.330000000002</v>
      </c>
      <c r="AD462" s="30">
        <v>150.99252496433701</v>
      </c>
      <c r="AE462" s="27">
        <v>540.4</v>
      </c>
      <c r="AF462" s="29">
        <v>0.938934122871947</v>
      </c>
      <c r="AG462" s="30">
        <v>4544.6574750356604</v>
      </c>
      <c r="AH462" s="31">
        <f t="shared" si="113"/>
        <v>0.90803108808290156</v>
      </c>
      <c r="AI462" s="31">
        <f t="shared" si="114"/>
        <v>4.5649072753209702E-2</v>
      </c>
      <c r="AJ462" s="31">
        <f t="shared" si="115"/>
        <v>1.1412268188302425E-2</v>
      </c>
      <c r="AK462" s="31">
        <f t="shared" si="116"/>
        <v>0.95435092724679027</v>
      </c>
      <c r="AL462" s="29">
        <f t="shared" si="117"/>
        <v>0.55000000000000004</v>
      </c>
      <c r="AM462" s="29">
        <f t="shared" si="118"/>
        <v>507.4</v>
      </c>
      <c r="AN462" s="29">
        <f t="shared" si="119"/>
        <v>1.3815530153724873</v>
      </c>
      <c r="AO462" s="29">
        <f t="shared" si="120"/>
        <v>1.4285714285714286</v>
      </c>
      <c r="AP462" s="31">
        <f t="shared" si="121"/>
        <v>0.96708711076074105</v>
      </c>
      <c r="AQ462" s="31">
        <f t="shared" si="122"/>
        <v>0.95435092724679027</v>
      </c>
      <c r="AR462" s="31">
        <f t="shared" si="123"/>
        <v>0.86658031088082932</v>
      </c>
      <c r="AS462" s="29">
        <f t="shared" si="124"/>
        <v>24.359957203994295</v>
      </c>
      <c r="AT462" s="29">
        <f t="shared" si="125"/>
        <v>6.4831062411350358</v>
      </c>
      <c r="AU462" s="27" t="str">
        <f t="shared" si="126"/>
        <v>Low</v>
      </c>
      <c r="AV462" s="27" t="str">
        <f t="shared" si="127"/>
        <v>Normal</v>
      </c>
      <c r="AW462" s="27"/>
    </row>
    <row r="463" spans="1:49" x14ac:dyDescent="0.25">
      <c r="A463" s="27">
        <v>462</v>
      </c>
      <c r="B463" s="28">
        <v>46078</v>
      </c>
      <c r="C463" s="28" t="str">
        <f t="shared" si="112"/>
        <v>February</v>
      </c>
      <c r="D463" s="27" t="s">
        <v>47</v>
      </c>
      <c r="E463" s="27" t="s">
        <v>76</v>
      </c>
      <c r="F463" s="27" t="s">
        <v>77</v>
      </c>
      <c r="G463" s="27" t="s">
        <v>50</v>
      </c>
      <c r="H463" s="27" t="s">
        <v>124</v>
      </c>
      <c r="I463" s="27" t="s">
        <v>586</v>
      </c>
      <c r="J463" s="27" t="s">
        <v>132</v>
      </c>
      <c r="K463" s="27">
        <v>602</v>
      </c>
      <c r="L463" s="27">
        <v>530</v>
      </c>
      <c r="M463" s="27">
        <v>493</v>
      </c>
      <c r="N463" s="27">
        <v>37</v>
      </c>
      <c r="O463" s="27">
        <v>9</v>
      </c>
      <c r="P463" s="27">
        <v>39</v>
      </c>
      <c r="Q463" s="27" t="s">
        <v>82</v>
      </c>
      <c r="R463" s="27">
        <v>57</v>
      </c>
      <c r="S463" s="27">
        <v>58</v>
      </c>
      <c r="T463" s="29">
        <v>67.8</v>
      </c>
      <c r="U463" s="29">
        <v>2.16</v>
      </c>
      <c r="V463" s="29">
        <v>20.12</v>
      </c>
      <c r="W463" s="30">
        <v>14935.72</v>
      </c>
      <c r="X463" s="27">
        <v>7.37</v>
      </c>
      <c r="Y463" s="27" t="s">
        <v>71</v>
      </c>
      <c r="Z463" s="29">
        <v>42</v>
      </c>
      <c r="AA463" s="30">
        <v>22428.959999999999</v>
      </c>
      <c r="AB463" s="29">
        <v>0.93018867924528303</v>
      </c>
      <c r="AC463" s="30">
        <v>18433.3</v>
      </c>
      <c r="AD463" s="30">
        <v>253.625433962264</v>
      </c>
      <c r="AE463" s="27">
        <v>571.9</v>
      </c>
      <c r="AF463" s="29">
        <v>0.93180625983563603</v>
      </c>
      <c r="AG463" s="30">
        <v>3742.0345660377302</v>
      </c>
      <c r="AH463" s="31">
        <f t="shared" si="113"/>
        <v>0.88039867109634551</v>
      </c>
      <c r="AI463" s="31">
        <f t="shared" si="114"/>
        <v>6.981132075471698E-2</v>
      </c>
      <c r="AJ463" s="31">
        <f t="shared" si="115"/>
        <v>1.6981132075471698E-2</v>
      </c>
      <c r="AK463" s="31">
        <f t="shared" si="116"/>
        <v>0.93018867924528303</v>
      </c>
      <c r="AL463" s="29">
        <f t="shared" si="117"/>
        <v>0.65</v>
      </c>
      <c r="AM463" s="29">
        <f t="shared" si="118"/>
        <v>532.9</v>
      </c>
      <c r="AN463" s="29">
        <f t="shared" si="119"/>
        <v>0.99455807843873156</v>
      </c>
      <c r="AO463" s="29">
        <f t="shared" si="120"/>
        <v>1.0526315789473684</v>
      </c>
      <c r="AP463" s="31">
        <f t="shared" si="121"/>
        <v>0.94483017451679507</v>
      </c>
      <c r="AQ463" s="31">
        <f t="shared" si="122"/>
        <v>0.93018867924528303</v>
      </c>
      <c r="AR463" s="31">
        <f t="shared" si="123"/>
        <v>0.81893687707641249</v>
      </c>
      <c r="AS463" s="29">
        <f t="shared" si="124"/>
        <v>34.779811320754717</v>
      </c>
      <c r="AT463" s="29">
        <f t="shared" si="125"/>
        <v>7.0604425774296793</v>
      </c>
      <c r="AU463" s="27" t="str">
        <f t="shared" si="126"/>
        <v>High</v>
      </c>
      <c r="AV463" s="27" t="str">
        <f t="shared" si="127"/>
        <v>Warning</v>
      </c>
      <c r="AW463" s="27"/>
    </row>
    <row r="464" spans="1:49" x14ac:dyDescent="0.25">
      <c r="A464" s="27">
        <v>463</v>
      </c>
      <c r="B464" s="28">
        <v>46043</v>
      </c>
      <c r="C464" s="28" t="str">
        <f t="shared" si="112"/>
        <v>January</v>
      </c>
      <c r="D464" s="27" t="s">
        <v>47</v>
      </c>
      <c r="E464" s="27" t="s">
        <v>98</v>
      </c>
      <c r="F464" s="27" t="s">
        <v>126</v>
      </c>
      <c r="G464" s="27" t="s">
        <v>78</v>
      </c>
      <c r="H464" s="27" t="s">
        <v>57</v>
      </c>
      <c r="I464" s="27" t="s">
        <v>587</v>
      </c>
      <c r="J464" s="27" t="s">
        <v>74</v>
      </c>
      <c r="K464" s="27">
        <v>906</v>
      </c>
      <c r="L464" s="27">
        <v>795</v>
      </c>
      <c r="M464" s="27">
        <v>727</v>
      </c>
      <c r="N464" s="27">
        <v>68</v>
      </c>
      <c r="O464" s="27">
        <v>24</v>
      </c>
      <c r="P464" s="27">
        <v>0</v>
      </c>
      <c r="Q464" s="27" t="s">
        <v>60</v>
      </c>
      <c r="R464" s="27">
        <v>45</v>
      </c>
      <c r="S464" s="27">
        <v>47</v>
      </c>
      <c r="T464" s="29">
        <v>72.900000000000006</v>
      </c>
      <c r="U464" s="29">
        <v>1.77</v>
      </c>
      <c r="V464" s="29">
        <v>24.47</v>
      </c>
      <c r="W464" s="30">
        <v>17271.240000000002</v>
      </c>
      <c r="X464" s="27">
        <v>9.0399999999999991</v>
      </c>
      <c r="Y464" s="27" t="s">
        <v>66</v>
      </c>
      <c r="Z464" s="29">
        <v>28</v>
      </c>
      <c r="AA464" s="30">
        <v>24954.94</v>
      </c>
      <c r="AB464" s="29">
        <v>0.91446540880503202</v>
      </c>
      <c r="AC464" s="30">
        <v>21559.47</v>
      </c>
      <c r="AD464" s="30">
        <v>521.39592452830198</v>
      </c>
      <c r="AE464" s="27">
        <v>679.5</v>
      </c>
      <c r="AF464" s="29">
        <v>1</v>
      </c>
      <c r="AG464" s="30">
        <v>2874.0740754716999</v>
      </c>
      <c r="AH464" s="31">
        <f t="shared" si="113"/>
        <v>0.87748344370860931</v>
      </c>
      <c r="AI464" s="31">
        <f t="shared" si="114"/>
        <v>8.5534591194968548E-2</v>
      </c>
      <c r="AJ464" s="31">
        <f t="shared" si="115"/>
        <v>3.0188679245283019E-2</v>
      </c>
      <c r="AK464" s="31">
        <f t="shared" si="116"/>
        <v>0.91446540880503147</v>
      </c>
      <c r="AL464" s="29">
        <f t="shared" si="117"/>
        <v>0</v>
      </c>
      <c r="AM464" s="29">
        <f t="shared" si="118"/>
        <v>679.5</v>
      </c>
      <c r="AN464" s="29">
        <f t="shared" si="119"/>
        <v>1.1699779249448123</v>
      </c>
      <c r="AO464" s="29">
        <f t="shared" si="120"/>
        <v>1.3333333333333333</v>
      </c>
      <c r="AP464" s="31">
        <f t="shared" si="121"/>
        <v>0.87748344370860931</v>
      </c>
      <c r="AQ464" s="31">
        <f t="shared" si="122"/>
        <v>0.91446540880503147</v>
      </c>
      <c r="AR464" s="31">
        <f t="shared" si="123"/>
        <v>0.80242825607064028</v>
      </c>
      <c r="AS464" s="29">
        <f t="shared" si="124"/>
        <v>27.118830188679247</v>
      </c>
      <c r="AT464" s="29">
        <f t="shared" si="125"/>
        <v>3.6151875163166034</v>
      </c>
      <c r="AU464" s="27" t="str">
        <f t="shared" si="126"/>
        <v>Medium</v>
      </c>
      <c r="AV464" s="27" t="str">
        <f t="shared" si="127"/>
        <v>Warning</v>
      </c>
      <c r="AW464" s="27"/>
    </row>
    <row r="465" spans="1:49" x14ac:dyDescent="0.25">
      <c r="A465" s="27">
        <v>464</v>
      </c>
      <c r="B465" s="28">
        <v>46025</v>
      </c>
      <c r="C465" s="28" t="str">
        <f t="shared" si="112"/>
        <v>January</v>
      </c>
      <c r="D465" s="27" t="s">
        <v>47</v>
      </c>
      <c r="E465" s="27" t="s">
        <v>61</v>
      </c>
      <c r="F465" s="27" t="s">
        <v>62</v>
      </c>
      <c r="G465" s="27" t="s">
        <v>63</v>
      </c>
      <c r="H465" s="27" t="s">
        <v>51</v>
      </c>
      <c r="I465" s="27" t="s">
        <v>588</v>
      </c>
      <c r="J465" s="27" t="s">
        <v>121</v>
      </c>
      <c r="K465" s="27">
        <v>888</v>
      </c>
      <c r="L465" s="27">
        <v>849</v>
      </c>
      <c r="M465" s="27">
        <v>812</v>
      </c>
      <c r="N465" s="27">
        <v>37</v>
      </c>
      <c r="O465" s="27">
        <v>7</v>
      </c>
      <c r="P465" s="27">
        <v>15</v>
      </c>
      <c r="Q465" s="27" t="s">
        <v>97</v>
      </c>
      <c r="R465" s="27">
        <v>42</v>
      </c>
      <c r="S465" s="27">
        <v>44</v>
      </c>
      <c r="T465" s="29">
        <v>75.900000000000006</v>
      </c>
      <c r="U465" s="29">
        <v>2.13</v>
      </c>
      <c r="V465" s="29">
        <v>32.130000000000003</v>
      </c>
      <c r="W465" s="30">
        <v>15942.61</v>
      </c>
      <c r="X465" s="27">
        <v>9.9499999999999993</v>
      </c>
      <c r="Y465" s="27" t="s">
        <v>110</v>
      </c>
      <c r="Z465" s="29">
        <v>34</v>
      </c>
      <c r="AA465" s="30">
        <v>26550.22</v>
      </c>
      <c r="AB465" s="29">
        <v>0.95641931684334502</v>
      </c>
      <c r="AC465" s="30">
        <v>20709.28</v>
      </c>
      <c r="AD465" s="30">
        <v>131.44672555948199</v>
      </c>
      <c r="AE465" s="27">
        <v>621.6</v>
      </c>
      <c r="AF465" s="29">
        <v>0.97586872586872597</v>
      </c>
      <c r="AG465" s="30">
        <v>5709.4932744405196</v>
      </c>
      <c r="AH465" s="31">
        <f t="shared" si="113"/>
        <v>0.95608108108108103</v>
      </c>
      <c r="AI465" s="31">
        <f t="shared" si="114"/>
        <v>4.3580683156654886E-2</v>
      </c>
      <c r="AJ465" s="31">
        <f t="shared" si="115"/>
        <v>8.2449941107184919E-3</v>
      </c>
      <c r="AK465" s="31">
        <f t="shared" si="116"/>
        <v>0.95641931684334514</v>
      </c>
      <c r="AL465" s="29">
        <f t="shared" si="117"/>
        <v>0.25</v>
      </c>
      <c r="AM465" s="29">
        <f t="shared" si="118"/>
        <v>606.6</v>
      </c>
      <c r="AN465" s="29">
        <f t="shared" si="119"/>
        <v>1.3996043521266073</v>
      </c>
      <c r="AO465" s="29">
        <f t="shared" si="120"/>
        <v>1.4285714285714286</v>
      </c>
      <c r="AP465" s="31">
        <f t="shared" si="121"/>
        <v>0.97972304648862507</v>
      </c>
      <c r="AQ465" s="31">
        <f t="shared" si="122"/>
        <v>0.95641931684334514</v>
      </c>
      <c r="AR465" s="31">
        <f t="shared" si="123"/>
        <v>0.91441441441441451</v>
      </c>
      <c r="AS465" s="29">
        <f t="shared" si="124"/>
        <v>24.392555948174323</v>
      </c>
      <c r="AT465" s="29">
        <f t="shared" si="125"/>
        <v>6.7249626318498468</v>
      </c>
      <c r="AU465" s="27" t="str">
        <f t="shared" si="126"/>
        <v>Medium</v>
      </c>
      <c r="AV465" s="27" t="str">
        <f t="shared" si="127"/>
        <v>Normal</v>
      </c>
      <c r="AW465" s="27"/>
    </row>
    <row r="466" spans="1:49" x14ac:dyDescent="0.25">
      <c r="A466" s="27">
        <v>465</v>
      </c>
      <c r="B466" s="28">
        <v>46143</v>
      </c>
      <c r="C466" s="28" t="str">
        <f t="shared" si="112"/>
        <v>May</v>
      </c>
      <c r="D466" s="27" t="s">
        <v>67</v>
      </c>
      <c r="E466" s="27" t="s">
        <v>61</v>
      </c>
      <c r="F466" s="27" t="s">
        <v>88</v>
      </c>
      <c r="G466" s="27" t="s">
        <v>63</v>
      </c>
      <c r="H466" s="27" t="s">
        <v>68</v>
      </c>
      <c r="I466" s="27" t="s">
        <v>589</v>
      </c>
      <c r="J466" s="27" t="s">
        <v>128</v>
      </c>
      <c r="K466" s="27">
        <v>656</v>
      </c>
      <c r="L466" s="27">
        <v>618</v>
      </c>
      <c r="M466" s="27">
        <v>596</v>
      </c>
      <c r="N466" s="27">
        <v>22</v>
      </c>
      <c r="O466" s="27">
        <v>6</v>
      </c>
      <c r="P466" s="27">
        <v>36</v>
      </c>
      <c r="Q466" s="27" t="s">
        <v>91</v>
      </c>
      <c r="R466" s="27">
        <v>64</v>
      </c>
      <c r="S466" s="27">
        <v>68</v>
      </c>
      <c r="T466" s="29">
        <v>80.7</v>
      </c>
      <c r="U466" s="29">
        <v>2.78</v>
      </c>
      <c r="V466" s="29">
        <v>24.73</v>
      </c>
      <c r="W466" s="30">
        <v>19980.78</v>
      </c>
      <c r="X466" s="27">
        <v>7.65</v>
      </c>
      <c r="Y466" s="27" t="s">
        <v>110</v>
      </c>
      <c r="Z466" s="29">
        <v>12</v>
      </c>
      <c r="AA466" s="30">
        <v>31280.42</v>
      </c>
      <c r="AB466" s="29">
        <v>0.96440129449838197</v>
      </c>
      <c r="AC466" s="30">
        <v>23645.85</v>
      </c>
      <c r="AD466" s="30">
        <v>193.98815533980601</v>
      </c>
      <c r="AE466" s="27">
        <v>699.73333333333301</v>
      </c>
      <c r="AF466" s="29">
        <v>0.94855182926829296</v>
      </c>
      <c r="AG466" s="30">
        <v>7440.5818446601897</v>
      </c>
      <c r="AH466" s="31">
        <f t="shared" si="113"/>
        <v>0.94207317073170727</v>
      </c>
      <c r="AI466" s="31">
        <f t="shared" si="114"/>
        <v>3.5598705501618123E-2</v>
      </c>
      <c r="AJ466" s="31">
        <f t="shared" si="115"/>
        <v>9.7087378640776691E-3</v>
      </c>
      <c r="AK466" s="31">
        <f t="shared" si="116"/>
        <v>0.96440129449838186</v>
      </c>
      <c r="AL466" s="29">
        <f t="shared" si="117"/>
        <v>0.6</v>
      </c>
      <c r="AM466" s="29">
        <f t="shared" si="118"/>
        <v>663.73333333333301</v>
      </c>
      <c r="AN466" s="29">
        <f t="shared" si="119"/>
        <v>0.93109682603455246</v>
      </c>
      <c r="AO466" s="29">
        <f t="shared" si="120"/>
        <v>0.9375</v>
      </c>
      <c r="AP466" s="31">
        <f t="shared" si="121"/>
        <v>0.9931699477701893</v>
      </c>
      <c r="AQ466" s="31">
        <f t="shared" si="122"/>
        <v>0.96440129449838186</v>
      </c>
      <c r="AR466" s="31">
        <f t="shared" si="123"/>
        <v>0.90853658536585435</v>
      </c>
      <c r="AS466" s="29">
        <f t="shared" si="124"/>
        <v>38.261893203883496</v>
      </c>
      <c r="AT466" s="29">
        <f t="shared" si="125"/>
        <v>12.03977644767021</v>
      </c>
      <c r="AU466" s="27" t="str">
        <f t="shared" si="126"/>
        <v>Medium</v>
      </c>
      <c r="AV466" s="27" t="str">
        <f t="shared" si="127"/>
        <v>Warning</v>
      </c>
      <c r="AW466" s="27"/>
    </row>
    <row r="467" spans="1:49" x14ac:dyDescent="0.25">
      <c r="A467" s="27">
        <v>466</v>
      </c>
      <c r="B467" s="28">
        <v>46027</v>
      </c>
      <c r="C467" s="28" t="str">
        <f t="shared" si="112"/>
        <v>January</v>
      </c>
      <c r="D467" s="27" t="s">
        <v>67</v>
      </c>
      <c r="E467" s="27" t="s">
        <v>129</v>
      </c>
      <c r="F467" s="27" t="s">
        <v>130</v>
      </c>
      <c r="G467" s="27" t="s">
        <v>50</v>
      </c>
      <c r="H467" s="27" t="s">
        <v>68</v>
      </c>
      <c r="I467" s="27" t="s">
        <v>590</v>
      </c>
      <c r="J467" s="27" t="s">
        <v>155</v>
      </c>
      <c r="K467" s="27">
        <v>582</v>
      </c>
      <c r="L467" s="27">
        <v>526</v>
      </c>
      <c r="M467" s="27">
        <v>445</v>
      </c>
      <c r="N467" s="27">
        <v>81</v>
      </c>
      <c r="O467" s="27">
        <v>18</v>
      </c>
      <c r="P467" s="27">
        <v>24</v>
      </c>
      <c r="Q467" s="27" t="s">
        <v>54</v>
      </c>
      <c r="R467" s="27">
        <v>64</v>
      </c>
      <c r="S467" s="27">
        <v>71</v>
      </c>
      <c r="T467" s="29">
        <v>70.7</v>
      </c>
      <c r="U467" s="29">
        <v>3.51</v>
      </c>
      <c r="V467" s="29">
        <v>21.48</v>
      </c>
      <c r="W467" s="30">
        <v>15333.95</v>
      </c>
      <c r="X467" s="27">
        <v>7.32</v>
      </c>
      <c r="Y467" s="27" t="s">
        <v>110</v>
      </c>
      <c r="Z467" s="29">
        <v>61</v>
      </c>
      <c r="AA467" s="30">
        <v>22919.87</v>
      </c>
      <c r="AB467" s="29">
        <v>0.84600760456273805</v>
      </c>
      <c r="AC467" s="30">
        <v>18821.27</v>
      </c>
      <c r="AD467" s="30">
        <v>524.73593155893502</v>
      </c>
      <c r="AE467" s="27">
        <v>620.79999999999995</v>
      </c>
      <c r="AF467" s="29">
        <v>0.96134020618556704</v>
      </c>
      <c r="AG467" s="30">
        <v>3573.8640684410602</v>
      </c>
      <c r="AH467" s="31">
        <f t="shared" si="113"/>
        <v>0.90378006872852235</v>
      </c>
      <c r="AI467" s="31">
        <f t="shared" si="114"/>
        <v>0.15399239543726237</v>
      </c>
      <c r="AJ467" s="31">
        <f t="shared" si="115"/>
        <v>3.4220532319391636E-2</v>
      </c>
      <c r="AK467" s="31">
        <f t="shared" si="116"/>
        <v>0.8460076045627376</v>
      </c>
      <c r="AL467" s="29">
        <f t="shared" si="117"/>
        <v>0.4</v>
      </c>
      <c r="AM467" s="29">
        <f t="shared" si="118"/>
        <v>596.79999999999995</v>
      </c>
      <c r="AN467" s="29">
        <f t="shared" si="119"/>
        <v>0.88136729222520116</v>
      </c>
      <c r="AO467" s="29">
        <f t="shared" si="120"/>
        <v>0.9375</v>
      </c>
      <c r="AP467" s="31">
        <f t="shared" si="121"/>
        <v>0.94012511170688129</v>
      </c>
      <c r="AQ467" s="31">
        <f t="shared" si="122"/>
        <v>0.8460076045627376</v>
      </c>
      <c r="AR467" s="31">
        <f t="shared" si="123"/>
        <v>0.76460481099656363</v>
      </c>
      <c r="AS467" s="29">
        <f t="shared" si="124"/>
        <v>35.78188212927757</v>
      </c>
      <c r="AT467" s="29">
        <f t="shared" si="125"/>
        <v>6.7944183810666541</v>
      </c>
      <c r="AU467" s="27" t="str">
        <f t="shared" si="126"/>
        <v>High</v>
      </c>
      <c r="AV467" s="27" t="str">
        <f t="shared" si="127"/>
        <v>Critical</v>
      </c>
      <c r="AW467" s="27"/>
    </row>
    <row r="468" spans="1:49" x14ac:dyDescent="0.25">
      <c r="A468" s="27">
        <v>467</v>
      </c>
      <c r="B468" s="28">
        <v>46168</v>
      </c>
      <c r="C468" s="28" t="str">
        <f t="shared" si="112"/>
        <v>May</v>
      </c>
      <c r="D468" s="27" t="s">
        <v>47</v>
      </c>
      <c r="E468" s="27" t="s">
        <v>76</v>
      </c>
      <c r="F468" s="27" t="s">
        <v>119</v>
      </c>
      <c r="G468" s="27" t="s">
        <v>50</v>
      </c>
      <c r="H468" s="27" t="s">
        <v>68</v>
      </c>
      <c r="I468" s="27" t="s">
        <v>591</v>
      </c>
      <c r="J468" s="27" t="s">
        <v>134</v>
      </c>
      <c r="K468" s="27">
        <v>636</v>
      </c>
      <c r="L468" s="27">
        <v>480</v>
      </c>
      <c r="M468" s="27">
        <v>428</v>
      </c>
      <c r="N468" s="27">
        <v>52</v>
      </c>
      <c r="O468" s="27">
        <v>17</v>
      </c>
      <c r="P468" s="27">
        <v>111</v>
      </c>
      <c r="Q468" s="27" t="s">
        <v>82</v>
      </c>
      <c r="R468" s="27">
        <v>64</v>
      </c>
      <c r="S468" s="27">
        <v>66</v>
      </c>
      <c r="T468" s="29">
        <v>73.5</v>
      </c>
      <c r="U468" s="29">
        <v>2.09</v>
      </c>
      <c r="V468" s="29">
        <v>23.8</v>
      </c>
      <c r="W468" s="30">
        <v>15336.81</v>
      </c>
      <c r="X468" s="27">
        <v>5.76</v>
      </c>
      <c r="Y468" s="27" t="s">
        <v>55</v>
      </c>
      <c r="Z468" s="29">
        <v>17</v>
      </c>
      <c r="AA468" s="30">
        <v>22530.97</v>
      </c>
      <c r="AB468" s="29">
        <v>0.89166666666666705</v>
      </c>
      <c r="AC468" s="30">
        <v>18143.009999999998</v>
      </c>
      <c r="AD468" s="30">
        <v>543.17868750000002</v>
      </c>
      <c r="AE468" s="27">
        <v>678.4</v>
      </c>
      <c r="AF468" s="29">
        <v>0.836379716981132</v>
      </c>
      <c r="AG468" s="30">
        <v>3844.7813124999998</v>
      </c>
      <c r="AH468" s="31">
        <f t="shared" si="113"/>
        <v>0.75471698113207553</v>
      </c>
      <c r="AI468" s="31">
        <f t="shared" si="114"/>
        <v>0.10833333333333334</v>
      </c>
      <c r="AJ468" s="31">
        <f t="shared" si="115"/>
        <v>3.5416666666666666E-2</v>
      </c>
      <c r="AK468" s="31">
        <f t="shared" si="116"/>
        <v>0.89166666666666672</v>
      </c>
      <c r="AL468" s="29">
        <f t="shared" si="117"/>
        <v>1.85</v>
      </c>
      <c r="AM468" s="29">
        <f t="shared" si="118"/>
        <v>567.4</v>
      </c>
      <c r="AN468" s="29">
        <f t="shared" si="119"/>
        <v>0.8459640465280226</v>
      </c>
      <c r="AO468" s="29">
        <f t="shared" si="120"/>
        <v>0.9375</v>
      </c>
      <c r="AP468" s="31">
        <f t="shared" si="121"/>
        <v>0.90236164962989074</v>
      </c>
      <c r="AQ468" s="31">
        <f t="shared" si="122"/>
        <v>0.89166666666666672</v>
      </c>
      <c r="AR468" s="31">
        <f t="shared" si="123"/>
        <v>0.67295597484276726</v>
      </c>
      <c r="AS468" s="29">
        <f t="shared" si="124"/>
        <v>37.797937499999996</v>
      </c>
      <c r="AT468" s="29">
        <f t="shared" si="125"/>
        <v>8.0099610677083337</v>
      </c>
      <c r="AU468" s="27" t="str">
        <f t="shared" si="126"/>
        <v>High</v>
      </c>
      <c r="AV468" s="27" t="str">
        <f t="shared" si="127"/>
        <v>Critical</v>
      </c>
      <c r="AW468" s="27"/>
    </row>
    <row r="469" spans="1:49" x14ac:dyDescent="0.25">
      <c r="A469" s="27">
        <v>468</v>
      </c>
      <c r="B469" s="28">
        <v>46068</v>
      </c>
      <c r="C469" s="28" t="str">
        <f t="shared" si="112"/>
        <v>February</v>
      </c>
      <c r="D469" s="27" t="s">
        <v>67</v>
      </c>
      <c r="E469" s="27" t="s">
        <v>98</v>
      </c>
      <c r="F469" s="27" t="s">
        <v>126</v>
      </c>
      <c r="G469" s="27" t="s">
        <v>50</v>
      </c>
      <c r="H469" s="27" t="s">
        <v>51</v>
      </c>
      <c r="I469" s="27" t="s">
        <v>592</v>
      </c>
      <c r="J469" s="27" t="s">
        <v>138</v>
      </c>
      <c r="K469" s="27">
        <v>859</v>
      </c>
      <c r="L469" s="27">
        <v>890</v>
      </c>
      <c r="M469" s="27">
        <v>821</v>
      </c>
      <c r="N469" s="27">
        <v>69</v>
      </c>
      <c r="O469" s="27">
        <v>20</v>
      </c>
      <c r="P469" s="27">
        <v>29</v>
      </c>
      <c r="Q469" s="27" t="s">
        <v>75</v>
      </c>
      <c r="R469" s="27">
        <v>42</v>
      </c>
      <c r="S469" s="27">
        <v>43</v>
      </c>
      <c r="T469" s="29">
        <v>67.900000000000006</v>
      </c>
      <c r="U469" s="29">
        <v>1.91</v>
      </c>
      <c r="V469" s="29">
        <v>34.200000000000003</v>
      </c>
      <c r="W469" s="30">
        <v>15549.67</v>
      </c>
      <c r="X469" s="27">
        <v>10.31</v>
      </c>
      <c r="Y469" s="27" t="s">
        <v>55</v>
      </c>
      <c r="Z469" s="29">
        <v>15</v>
      </c>
      <c r="AA469" s="30">
        <v>26331.82</v>
      </c>
      <c r="AB469" s="29">
        <v>0.92247191011235996</v>
      </c>
      <c r="AC469" s="30">
        <v>20496.97</v>
      </c>
      <c r="AD469" s="30">
        <v>349.43078651685403</v>
      </c>
      <c r="AE469" s="27">
        <v>601.29999999999995</v>
      </c>
      <c r="AF469" s="29">
        <v>0.95177116248129101</v>
      </c>
      <c r="AG469" s="30">
        <v>5485.4192134831501</v>
      </c>
      <c r="AH469" s="31">
        <f t="shared" si="113"/>
        <v>1.0360884749708963</v>
      </c>
      <c r="AI469" s="31">
        <f t="shared" si="114"/>
        <v>7.7528089887640456E-2</v>
      </c>
      <c r="AJ469" s="31">
        <f t="shared" si="115"/>
        <v>2.247191011235955E-2</v>
      </c>
      <c r="AK469" s="31">
        <f t="shared" si="116"/>
        <v>0.92247191011235952</v>
      </c>
      <c r="AL469" s="29">
        <f t="shared" si="117"/>
        <v>0.48333333333333334</v>
      </c>
      <c r="AM469" s="29">
        <f t="shared" si="118"/>
        <v>572.29999999999995</v>
      </c>
      <c r="AN469" s="29">
        <f t="shared" si="119"/>
        <v>1.5551284291455532</v>
      </c>
      <c r="AO469" s="29">
        <f t="shared" si="120"/>
        <v>1.4285714285714286</v>
      </c>
      <c r="AP469" s="31">
        <f t="shared" si="121"/>
        <v>1.0885899004018871</v>
      </c>
      <c r="AQ469" s="31">
        <f t="shared" si="122"/>
        <v>0.92247191011235952</v>
      </c>
      <c r="AR469" s="31">
        <f t="shared" si="123"/>
        <v>0.95576251455180494</v>
      </c>
      <c r="AS469" s="29">
        <f t="shared" si="124"/>
        <v>23.03030337078652</v>
      </c>
      <c r="AT469" s="29">
        <f t="shared" si="125"/>
        <v>6.1633923747001687</v>
      </c>
      <c r="AU469" s="27" t="str">
        <f t="shared" si="126"/>
        <v>Low</v>
      </c>
      <c r="AV469" s="27" t="str">
        <f t="shared" si="127"/>
        <v>Normal</v>
      </c>
      <c r="AW469" s="27"/>
    </row>
    <row r="470" spans="1:49" x14ac:dyDescent="0.25">
      <c r="A470" s="27">
        <v>469</v>
      </c>
      <c r="B470" s="28">
        <v>46076</v>
      </c>
      <c r="C470" s="28" t="str">
        <f t="shared" si="112"/>
        <v>February</v>
      </c>
      <c r="D470" s="27" t="s">
        <v>67</v>
      </c>
      <c r="E470" s="27" t="s">
        <v>129</v>
      </c>
      <c r="F470" s="27" t="s">
        <v>130</v>
      </c>
      <c r="G470" s="27" t="s">
        <v>78</v>
      </c>
      <c r="H470" s="27" t="s">
        <v>57</v>
      </c>
      <c r="I470" s="27" t="s">
        <v>593</v>
      </c>
      <c r="J470" s="27" t="s">
        <v>161</v>
      </c>
      <c r="K470" s="27">
        <v>855</v>
      </c>
      <c r="L470" s="27">
        <v>711</v>
      </c>
      <c r="M470" s="27">
        <v>616</v>
      </c>
      <c r="N470" s="27">
        <v>95</v>
      </c>
      <c r="O470" s="27">
        <v>26</v>
      </c>
      <c r="P470" s="27">
        <v>26</v>
      </c>
      <c r="Q470" s="27" t="s">
        <v>82</v>
      </c>
      <c r="R470" s="27">
        <v>45</v>
      </c>
      <c r="S470" s="27">
        <v>48</v>
      </c>
      <c r="T470" s="29">
        <v>76.2</v>
      </c>
      <c r="U470" s="29">
        <v>3.3</v>
      </c>
      <c r="V470" s="29">
        <v>24.92</v>
      </c>
      <c r="W470" s="30">
        <v>13760.18</v>
      </c>
      <c r="X470" s="27">
        <v>7.91</v>
      </c>
      <c r="Y470" s="27" t="s">
        <v>66</v>
      </c>
      <c r="Z470" s="29">
        <v>14</v>
      </c>
      <c r="AA470" s="30">
        <v>22037.759999999998</v>
      </c>
      <c r="AB470" s="29">
        <v>0.86638537271448701</v>
      </c>
      <c r="AC470" s="30">
        <v>17543.96</v>
      </c>
      <c r="AD470" s="30">
        <v>503.18520393811502</v>
      </c>
      <c r="AE470" s="27">
        <v>641.25</v>
      </c>
      <c r="AF470" s="29">
        <v>0.959454191033138</v>
      </c>
      <c r="AG470" s="30">
        <v>3990.61479606188</v>
      </c>
      <c r="AH470" s="31">
        <f t="shared" si="113"/>
        <v>0.83157894736842108</v>
      </c>
      <c r="AI470" s="31">
        <f t="shared" si="114"/>
        <v>0.13361462728551335</v>
      </c>
      <c r="AJ470" s="31">
        <f t="shared" si="115"/>
        <v>3.6568213783403657E-2</v>
      </c>
      <c r="AK470" s="31">
        <f t="shared" si="116"/>
        <v>0.86638537271448668</v>
      </c>
      <c r="AL470" s="29">
        <f t="shared" si="117"/>
        <v>0.43333333333333335</v>
      </c>
      <c r="AM470" s="29">
        <f t="shared" si="118"/>
        <v>615.25</v>
      </c>
      <c r="AN470" s="29">
        <f t="shared" si="119"/>
        <v>1.1556277935798456</v>
      </c>
      <c r="AO470" s="29">
        <f t="shared" si="120"/>
        <v>1.3333333333333333</v>
      </c>
      <c r="AP470" s="31">
        <f t="shared" si="121"/>
        <v>0.86672084518488424</v>
      </c>
      <c r="AQ470" s="31">
        <f t="shared" si="122"/>
        <v>0.86638537271448668</v>
      </c>
      <c r="AR470" s="31">
        <f t="shared" si="123"/>
        <v>0.7204678362573097</v>
      </c>
      <c r="AS470" s="29">
        <f t="shared" si="124"/>
        <v>24.675049226441629</v>
      </c>
      <c r="AT470" s="29">
        <f t="shared" si="125"/>
        <v>5.6126790380617155</v>
      </c>
      <c r="AU470" s="27" t="str">
        <f t="shared" si="126"/>
        <v>High</v>
      </c>
      <c r="AV470" s="27" t="str">
        <f t="shared" si="127"/>
        <v>Critical</v>
      </c>
      <c r="AW470" s="27"/>
    </row>
    <row r="471" spans="1:49" x14ac:dyDescent="0.25">
      <c r="A471" s="27">
        <v>470</v>
      </c>
      <c r="B471" s="28">
        <v>46025</v>
      </c>
      <c r="C471" s="28" t="str">
        <f t="shared" si="112"/>
        <v>January</v>
      </c>
      <c r="D471" s="27" t="s">
        <v>47</v>
      </c>
      <c r="E471" s="27" t="s">
        <v>61</v>
      </c>
      <c r="F471" s="27" t="s">
        <v>62</v>
      </c>
      <c r="G471" s="27" t="s">
        <v>50</v>
      </c>
      <c r="H471" s="27" t="s">
        <v>124</v>
      </c>
      <c r="I471" s="27" t="s">
        <v>594</v>
      </c>
      <c r="J471" s="27" t="s">
        <v>53</v>
      </c>
      <c r="K471" s="27">
        <v>567</v>
      </c>
      <c r="L471" s="27">
        <v>660</v>
      </c>
      <c r="M471" s="27">
        <v>630</v>
      </c>
      <c r="N471" s="27">
        <v>30</v>
      </c>
      <c r="O471" s="27">
        <v>9</v>
      </c>
      <c r="P471" s="27">
        <v>18</v>
      </c>
      <c r="Q471" s="27" t="s">
        <v>54</v>
      </c>
      <c r="R471" s="27">
        <v>57</v>
      </c>
      <c r="S471" s="27">
        <v>55</v>
      </c>
      <c r="T471" s="29">
        <v>74</v>
      </c>
      <c r="U471" s="29">
        <v>1.59</v>
      </c>
      <c r="V471" s="29">
        <v>23.14</v>
      </c>
      <c r="W471" s="30">
        <v>17611.11</v>
      </c>
      <c r="X471" s="27">
        <v>9.81</v>
      </c>
      <c r="Y471" s="27" t="s">
        <v>55</v>
      </c>
      <c r="Z471" s="29">
        <v>35</v>
      </c>
      <c r="AA471" s="30">
        <v>29290.47</v>
      </c>
      <c r="AB471" s="29">
        <v>0.95454545454545503</v>
      </c>
      <c r="AC471" s="30">
        <v>22233.87</v>
      </c>
      <c r="AD471" s="30">
        <v>240.1515</v>
      </c>
      <c r="AE471" s="27">
        <v>538.65</v>
      </c>
      <c r="AF471" s="29">
        <v>0.96658312447786099</v>
      </c>
      <c r="AG471" s="30">
        <v>6816.4485000000004</v>
      </c>
      <c r="AH471" s="31">
        <f t="shared" si="113"/>
        <v>1.164021164021164</v>
      </c>
      <c r="AI471" s="31">
        <f t="shared" si="114"/>
        <v>4.5454545454545456E-2</v>
      </c>
      <c r="AJ471" s="31">
        <f t="shared" si="115"/>
        <v>1.3636363636363636E-2</v>
      </c>
      <c r="AK471" s="31">
        <f t="shared" si="116"/>
        <v>0.95454545454545459</v>
      </c>
      <c r="AL471" s="29">
        <f t="shared" si="117"/>
        <v>0.3</v>
      </c>
      <c r="AM471" s="29">
        <f t="shared" si="118"/>
        <v>520.65</v>
      </c>
      <c r="AN471" s="29">
        <f t="shared" si="119"/>
        <v>1.2676462114664362</v>
      </c>
      <c r="AO471" s="29">
        <f t="shared" si="120"/>
        <v>1.0526315789473684</v>
      </c>
      <c r="AP471" s="31">
        <f t="shared" si="121"/>
        <v>1.2042639008931144</v>
      </c>
      <c r="AQ471" s="31">
        <f t="shared" si="122"/>
        <v>0.95454545454545459</v>
      </c>
      <c r="AR471" s="31">
        <f t="shared" si="123"/>
        <v>1.1111111111111109</v>
      </c>
      <c r="AS471" s="29">
        <f t="shared" si="124"/>
        <v>33.687681818181815</v>
      </c>
      <c r="AT471" s="29">
        <f t="shared" si="125"/>
        <v>10.327952272727273</v>
      </c>
      <c r="AU471" s="27" t="str">
        <f t="shared" si="126"/>
        <v>Medium</v>
      </c>
      <c r="AV471" s="27" t="str">
        <f t="shared" si="127"/>
        <v>Normal</v>
      </c>
      <c r="AW471" s="27"/>
    </row>
    <row r="472" spans="1:49" x14ac:dyDescent="0.25">
      <c r="A472" s="27">
        <v>471</v>
      </c>
      <c r="B472" s="28">
        <v>46099</v>
      </c>
      <c r="C472" s="28" t="str">
        <f t="shared" si="112"/>
        <v>March</v>
      </c>
      <c r="D472" s="27" t="s">
        <v>47</v>
      </c>
      <c r="E472" s="27" t="s">
        <v>98</v>
      </c>
      <c r="F472" s="27" t="s">
        <v>126</v>
      </c>
      <c r="G472" s="27" t="s">
        <v>50</v>
      </c>
      <c r="H472" s="27" t="s">
        <v>79</v>
      </c>
      <c r="I472" s="27" t="s">
        <v>595</v>
      </c>
      <c r="J472" s="27" t="s">
        <v>109</v>
      </c>
      <c r="K472" s="27">
        <v>825</v>
      </c>
      <c r="L472" s="27">
        <v>725</v>
      </c>
      <c r="M472" s="27">
        <v>669</v>
      </c>
      <c r="N472" s="27">
        <v>56</v>
      </c>
      <c r="O472" s="27">
        <v>21</v>
      </c>
      <c r="P472" s="27">
        <v>31</v>
      </c>
      <c r="Q472" s="27" t="s">
        <v>102</v>
      </c>
      <c r="R472" s="27">
        <v>49</v>
      </c>
      <c r="S472" s="27">
        <v>52</v>
      </c>
      <c r="T472" s="29">
        <v>70.099999999999994</v>
      </c>
      <c r="U472" s="29">
        <v>1.88</v>
      </c>
      <c r="V472" s="29">
        <v>22</v>
      </c>
      <c r="W472" s="30">
        <v>16510.54</v>
      </c>
      <c r="X472" s="27">
        <v>6.74</v>
      </c>
      <c r="Y472" s="27" t="s">
        <v>55</v>
      </c>
      <c r="Z472" s="29">
        <v>27</v>
      </c>
      <c r="AA472" s="30">
        <v>25263.360000000001</v>
      </c>
      <c r="AB472" s="29">
        <v>0.92275862068965497</v>
      </c>
      <c r="AC472" s="30">
        <v>19741.54</v>
      </c>
      <c r="AD472" s="30">
        <v>478.23633103448299</v>
      </c>
      <c r="AE472" s="27">
        <v>673.75</v>
      </c>
      <c r="AF472" s="29">
        <v>0.95398886827458296</v>
      </c>
      <c r="AG472" s="30">
        <v>5043.5836689655198</v>
      </c>
      <c r="AH472" s="31">
        <f t="shared" si="113"/>
        <v>0.87878787878787878</v>
      </c>
      <c r="AI472" s="31">
        <f t="shared" si="114"/>
        <v>7.7241379310344832E-2</v>
      </c>
      <c r="AJ472" s="31">
        <f t="shared" si="115"/>
        <v>2.8965517241379312E-2</v>
      </c>
      <c r="AK472" s="31">
        <f t="shared" si="116"/>
        <v>0.9227586206896552</v>
      </c>
      <c r="AL472" s="29">
        <f t="shared" si="117"/>
        <v>0.51666666666666672</v>
      </c>
      <c r="AM472" s="29">
        <f t="shared" si="118"/>
        <v>642.75</v>
      </c>
      <c r="AN472" s="29">
        <f t="shared" si="119"/>
        <v>1.1279657720731233</v>
      </c>
      <c r="AO472" s="29">
        <f t="shared" si="120"/>
        <v>1.2244897959183674</v>
      </c>
      <c r="AP472" s="31">
        <f t="shared" si="121"/>
        <v>0.92117204719305068</v>
      </c>
      <c r="AQ472" s="31">
        <f t="shared" si="122"/>
        <v>0.9227586206896552</v>
      </c>
      <c r="AR472" s="31">
        <f t="shared" si="123"/>
        <v>0.81090909090909125</v>
      </c>
      <c r="AS472" s="29">
        <f t="shared" si="124"/>
        <v>27.229710344827588</v>
      </c>
      <c r="AT472" s="29">
        <f t="shared" si="125"/>
        <v>6.9566671296076139</v>
      </c>
      <c r="AU472" s="27" t="str">
        <f t="shared" si="126"/>
        <v>Medium</v>
      </c>
      <c r="AV472" s="27" t="str">
        <f t="shared" si="127"/>
        <v>Warning</v>
      </c>
      <c r="AW472" s="27"/>
    </row>
    <row r="473" spans="1:49" x14ac:dyDescent="0.25">
      <c r="A473" s="27">
        <v>472</v>
      </c>
      <c r="B473" s="28">
        <v>46140</v>
      </c>
      <c r="C473" s="28" t="str">
        <f t="shared" si="112"/>
        <v>April</v>
      </c>
      <c r="D473" s="27" t="s">
        <v>47</v>
      </c>
      <c r="E473" s="27" t="s">
        <v>98</v>
      </c>
      <c r="F473" s="27" t="s">
        <v>105</v>
      </c>
      <c r="G473" s="27" t="s">
        <v>78</v>
      </c>
      <c r="H473" s="27" t="s">
        <v>79</v>
      </c>
      <c r="I473" s="27" t="s">
        <v>596</v>
      </c>
      <c r="J473" s="27" t="s">
        <v>140</v>
      </c>
      <c r="K473" s="27">
        <v>714</v>
      </c>
      <c r="L473" s="27">
        <v>587</v>
      </c>
      <c r="M473" s="27">
        <v>545</v>
      </c>
      <c r="N473" s="27">
        <v>42</v>
      </c>
      <c r="O473" s="27">
        <v>11</v>
      </c>
      <c r="P473" s="27">
        <v>24</v>
      </c>
      <c r="Q473" s="27" t="s">
        <v>75</v>
      </c>
      <c r="R473" s="27">
        <v>49</v>
      </c>
      <c r="S473" s="27">
        <v>53</v>
      </c>
      <c r="T473" s="29">
        <v>74.7</v>
      </c>
      <c r="U473" s="29">
        <v>1.73</v>
      </c>
      <c r="V473" s="29">
        <v>21.53</v>
      </c>
      <c r="W473" s="30">
        <v>13222.05</v>
      </c>
      <c r="X473" s="27">
        <v>8.4</v>
      </c>
      <c r="Y473" s="27" t="s">
        <v>110</v>
      </c>
      <c r="Z473" s="29">
        <v>21</v>
      </c>
      <c r="AA473" s="30">
        <v>21121.73</v>
      </c>
      <c r="AB473" s="29">
        <v>0.92844974446337303</v>
      </c>
      <c r="AC473" s="30">
        <v>17195.82</v>
      </c>
      <c r="AD473" s="30">
        <v>247.77265758092</v>
      </c>
      <c r="AE473" s="27">
        <v>583.1</v>
      </c>
      <c r="AF473" s="29">
        <v>0.958840679128794</v>
      </c>
      <c r="AG473" s="30">
        <v>3678.1373424190801</v>
      </c>
      <c r="AH473" s="31">
        <f t="shared" si="113"/>
        <v>0.82212885154061621</v>
      </c>
      <c r="AI473" s="31">
        <f t="shared" si="114"/>
        <v>7.1550255536626917E-2</v>
      </c>
      <c r="AJ473" s="31">
        <f t="shared" si="115"/>
        <v>1.8739352640545145E-2</v>
      </c>
      <c r="AK473" s="31">
        <f t="shared" si="116"/>
        <v>0.92844974446337314</v>
      </c>
      <c r="AL473" s="29">
        <f t="shared" si="117"/>
        <v>0.4</v>
      </c>
      <c r="AM473" s="29">
        <f t="shared" si="118"/>
        <v>559.1</v>
      </c>
      <c r="AN473" s="29">
        <f t="shared" si="119"/>
        <v>1.0499016276158111</v>
      </c>
      <c r="AO473" s="29">
        <f t="shared" si="120"/>
        <v>1.2244897959183674</v>
      </c>
      <c r="AP473" s="31">
        <f t="shared" si="121"/>
        <v>0.85741966255291235</v>
      </c>
      <c r="AQ473" s="31">
        <f t="shared" si="122"/>
        <v>0.92844974446337314</v>
      </c>
      <c r="AR473" s="31">
        <f t="shared" si="123"/>
        <v>0.76330532212885127</v>
      </c>
      <c r="AS473" s="29">
        <f t="shared" si="124"/>
        <v>29.294412265758091</v>
      </c>
      <c r="AT473" s="29">
        <f t="shared" si="125"/>
        <v>6.2659920654498809</v>
      </c>
      <c r="AU473" s="27" t="str">
        <f t="shared" si="126"/>
        <v>High</v>
      </c>
      <c r="AV473" s="27" t="str">
        <f t="shared" si="127"/>
        <v>Warning</v>
      </c>
      <c r="AW473" s="27"/>
    </row>
    <row r="474" spans="1:49" x14ac:dyDescent="0.25">
      <c r="A474" s="27">
        <v>473</v>
      </c>
      <c r="B474" s="28">
        <v>46203</v>
      </c>
      <c r="C474" s="28" t="str">
        <f t="shared" si="112"/>
        <v>June</v>
      </c>
      <c r="D474" s="27" t="s">
        <v>47</v>
      </c>
      <c r="E474" s="27" t="s">
        <v>48</v>
      </c>
      <c r="F474" s="27" t="s">
        <v>56</v>
      </c>
      <c r="G474" s="27" t="s">
        <v>50</v>
      </c>
      <c r="H474" s="27" t="s">
        <v>57</v>
      </c>
      <c r="I474" s="27" t="s">
        <v>597</v>
      </c>
      <c r="J474" s="27" t="s">
        <v>153</v>
      </c>
      <c r="K474" s="27">
        <v>884</v>
      </c>
      <c r="L474" s="27">
        <v>935</v>
      </c>
      <c r="M474" s="27">
        <v>883</v>
      </c>
      <c r="N474" s="27">
        <v>52</v>
      </c>
      <c r="O474" s="27">
        <v>12</v>
      </c>
      <c r="P474" s="27">
        <v>11</v>
      </c>
      <c r="Q474" s="27" t="s">
        <v>91</v>
      </c>
      <c r="R474" s="27">
        <v>45</v>
      </c>
      <c r="S474" s="27">
        <v>46</v>
      </c>
      <c r="T474" s="29">
        <v>73.2</v>
      </c>
      <c r="U474" s="29">
        <v>1.33</v>
      </c>
      <c r="V474" s="29">
        <v>34.299999999999997</v>
      </c>
      <c r="W474" s="30">
        <v>18866.490000000002</v>
      </c>
      <c r="X474" s="27">
        <v>8.8000000000000007</v>
      </c>
      <c r="Y474" s="27" t="s">
        <v>71</v>
      </c>
      <c r="Z474" s="29">
        <v>41</v>
      </c>
      <c r="AA474" s="30">
        <v>31110.02</v>
      </c>
      <c r="AB474" s="29">
        <v>0.94438502673796798</v>
      </c>
      <c r="AC474" s="30">
        <v>23135.19</v>
      </c>
      <c r="AD474" s="30">
        <v>242.136770053476</v>
      </c>
      <c r="AE474" s="27">
        <v>663</v>
      </c>
      <c r="AF474" s="29">
        <v>0.98340874811462997</v>
      </c>
      <c r="AG474" s="30">
        <v>7732.6932299465198</v>
      </c>
      <c r="AH474" s="31">
        <f t="shared" si="113"/>
        <v>1.0576923076923077</v>
      </c>
      <c r="AI474" s="31">
        <f t="shared" si="114"/>
        <v>5.5614973262032089E-2</v>
      </c>
      <c r="AJ474" s="31">
        <f t="shared" si="115"/>
        <v>1.2834224598930482E-2</v>
      </c>
      <c r="AK474" s="31">
        <f t="shared" si="116"/>
        <v>0.94438502673796787</v>
      </c>
      <c r="AL474" s="29">
        <f t="shared" si="117"/>
        <v>0.18333333333333332</v>
      </c>
      <c r="AM474" s="29">
        <f t="shared" si="118"/>
        <v>652</v>
      </c>
      <c r="AN474" s="29">
        <f t="shared" si="119"/>
        <v>1.4340490797546013</v>
      </c>
      <c r="AO474" s="29">
        <f t="shared" si="120"/>
        <v>1.3333333333333333</v>
      </c>
      <c r="AP474" s="31">
        <f t="shared" si="121"/>
        <v>1.075536809815951</v>
      </c>
      <c r="AQ474" s="31">
        <f t="shared" si="122"/>
        <v>0.94438502673796787</v>
      </c>
      <c r="AR474" s="31">
        <f t="shared" si="123"/>
        <v>0.99886877828054255</v>
      </c>
      <c r="AS474" s="29">
        <f t="shared" si="124"/>
        <v>24.74351871657754</v>
      </c>
      <c r="AT474" s="29">
        <f t="shared" si="125"/>
        <v>8.2702601389802357</v>
      </c>
      <c r="AU474" s="27" t="str">
        <f t="shared" si="126"/>
        <v>High</v>
      </c>
      <c r="AV474" s="27" t="str">
        <f t="shared" si="127"/>
        <v>Normal</v>
      </c>
      <c r="AW474" s="27"/>
    </row>
    <row r="475" spans="1:49" x14ac:dyDescent="0.25">
      <c r="A475" s="27">
        <v>474</v>
      </c>
      <c r="B475" s="28">
        <v>46124</v>
      </c>
      <c r="C475" s="28" t="str">
        <f t="shared" si="112"/>
        <v>April</v>
      </c>
      <c r="D475" s="27" t="s">
        <v>47</v>
      </c>
      <c r="E475" s="27" t="s">
        <v>98</v>
      </c>
      <c r="F475" s="27" t="s">
        <v>105</v>
      </c>
      <c r="G475" s="27" t="s">
        <v>63</v>
      </c>
      <c r="H475" s="27" t="s">
        <v>51</v>
      </c>
      <c r="I475" s="27" t="s">
        <v>598</v>
      </c>
      <c r="J475" s="27" t="s">
        <v>121</v>
      </c>
      <c r="K475" s="27">
        <v>942</v>
      </c>
      <c r="L475" s="27">
        <v>834</v>
      </c>
      <c r="M475" s="27">
        <v>784</v>
      </c>
      <c r="N475" s="27">
        <v>50</v>
      </c>
      <c r="O475" s="27">
        <v>20</v>
      </c>
      <c r="P475" s="27">
        <v>15</v>
      </c>
      <c r="Q475" s="27" t="s">
        <v>54</v>
      </c>
      <c r="R475" s="27">
        <v>42</v>
      </c>
      <c r="S475" s="27">
        <v>42</v>
      </c>
      <c r="T475" s="29">
        <v>69.400000000000006</v>
      </c>
      <c r="U475" s="29">
        <v>1.63</v>
      </c>
      <c r="V475" s="29">
        <v>26.06</v>
      </c>
      <c r="W475" s="30">
        <v>15461.12</v>
      </c>
      <c r="X475" s="27">
        <v>6.69</v>
      </c>
      <c r="Y475" s="27" t="s">
        <v>110</v>
      </c>
      <c r="Z475" s="29">
        <v>25</v>
      </c>
      <c r="AA475" s="30">
        <v>24856.62</v>
      </c>
      <c r="AB475" s="29">
        <v>0.94004796163069604</v>
      </c>
      <c r="AC475" s="30">
        <v>18706.16</v>
      </c>
      <c r="AD475" s="30">
        <v>370.77026378896898</v>
      </c>
      <c r="AE475" s="27">
        <v>659.4</v>
      </c>
      <c r="AF475" s="29">
        <v>0.977252047315742</v>
      </c>
      <c r="AG475" s="30">
        <v>5779.6897362110303</v>
      </c>
      <c r="AH475" s="31">
        <f t="shared" si="113"/>
        <v>0.88535031847133761</v>
      </c>
      <c r="AI475" s="31">
        <f t="shared" si="114"/>
        <v>5.9952038369304558E-2</v>
      </c>
      <c r="AJ475" s="31">
        <f t="shared" si="115"/>
        <v>2.3980815347721823E-2</v>
      </c>
      <c r="AK475" s="31">
        <f t="shared" si="116"/>
        <v>0.94004796163069548</v>
      </c>
      <c r="AL475" s="29">
        <f t="shared" si="117"/>
        <v>0.25</v>
      </c>
      <c r="AM475" s="29">
        <f t="shared" si="118"/>
        <v>644.4</v>
      </c>
      <c r="AN475" s="29">
        <f t="shared" si="119"/>
        <v>1.2942271880819367</v>
      </c>
      <c r="AO475" s="29">
        <f t="shared" si="120"/>
        <v>1.4285714285714286</v>
      </c>
      <c r="AP475" s="31">
        <f t="shared" si="121"/>
        <v>0.9059590316573557</v>
      </c>
      <c r="AQ475" s="31">
        <f t="shared" si="122"/>
        <v>0.94004796163069548</v>
      </c>
      <c r="AR475" s="31">
        <f t="shared" si="123"/>
        <v>0.83227176220806831</v>
      </c>
      <c r="AS475" s="29">
        <f t="shared" si="124"/>
        <v>22.429448441247001</v>
      </c>
      <c r="AT475" s="29">
        <f t="shared" si="125"/>
        <v>6.9300836165599886</v>
      </c>
      <c r="AU475" s="27" t="str">
        <f t="shared" si="126"/>
        <v>Medium</v>
      </c>
      <c r="AV475" s="27" t="str">
        <f t="shared" si="127"/>
        <v>Warning</v>
      </c>
      <c r="AW475" s="27"/>
    </row>
    <row r="476" spans="1:49" x14ac:dyDescent="0.25">
      <c r="A476" s="27">
        <v>475</v>
      </c>
      <c r="B476" s="28">
        <v>46048</v>
      </c>
      <c r="C476" s="28" t="str">
        <f t="shared" si="112"/>
        <v>January</v>
      </c>
      <c r="D476" s="27" t="s">
        <v>67</v>
      </c>
      <c r="E476" s="27" t="s">
        <v>48</v>
      </c>
      <c r="F476" s="27" t="s">
        <v>72</v>
      </c>
      <c r="G476" s="27" t="s">
        <v>50</v>
      </c>
      <c r="H476" s="27" t="s">
        <v>124</v>
      </c>
      <c r="I476" s="27" t="s">
        <v>599</v>
      </c>
      <c r="J476" s="27" t="s">
        <v>90</v>
      </c>
      <c r="K476" s="27">
        <v>695</v>
      </c>
      <c r="L476" s="27">
        <v>684</v>
      </c>
      <c r="M476" s="27">
        <v>656</v>
      </c>
      <c r="N476" s="27">
        <v>28</v>
      </c>
      <c r="O476" s="27">
        <v>8</v>
      </c>
      <c r="P476" s="27">
        <v>23</v>
      </c>
      <c r="Q476" s="27" t="s">
        <v>104</v>
      </c>
      <c r="R476" s="27">
        <v>57</v>
      </c>
      <c r="S476" s="27">
        <v>61</v>
      </c>
      <c r="T476" s="29">
        <v>75.7</v>
      </c>
      <c r="U476" s="29">
        <v>1.63</v>
      </c>
      <c r="V476" s="29">
        <v>23.71</v>
      </c>
      <c r="W476" s="30">
        <v>18437.71</v>
      </c>
      <c r="X476" s="27">
        <v>8.82</v>
      </c>
      <c r="Y476" s="27" t="s">
        <v>55</v>
      </c>
      <c r="Z476" s="29">
        <v>1</v>
      </c>
      <c r="AA476" s="30">
        <v>30692.91</v>
      </c>
      <c r="AB476" s="29">
        <v>0.95906432748537995</v>
      </c>
      <c r="AC476" s="30">
        <v>22620.1</v>
      </c>
      <c r="AD476" s="30">
        <v>215.64573099415199</v>
      </c>
      <c r="AE476" s="27">
        <v>660.25</v>
      </c>
      <c r="AF476" s="29">
        <v>0.96516471033699403</v>
      </c>
      <c r="AG476" s="30">
        <v>7857.1642690058497</v>
      </c>
      <c r="AH476" s="31">
        <f t="shared" si="113"/>
        <v>0.98417266187050356</v>
      </c>
      <c r="AI476" s="31">
        <f t="shared" si="114"/>
        <v>4.0935672514619881E-2</v>
      </c>
      <c r="AJ476" s="31">
        <f t="shared" si="115"/>
        <v>1.1695906432748537E-2</v>
      </c>
      <c r="AK476" s="31">
        <f t="shared" si="116"/>
        <v>0.95906432748538006</v>
      </c>
      <c r="AL476" s="29">
        <f t="shared" si="117"/>
        <v>0.38333333333333336</v>
      </c>
      <c r="AM476" s="29">
        <f t="shared" si="118"/>
        <v>637.25</v>
      </c>
      <c r="AN476" s="29">
        <f t="shared" si="119"/>
        <v>1.0733621027854061</v>
      </c>
      <c r="AO476" s="29">
        <f t="shared" si="120"/>
        <v>1.0526315789473684</v>
      </c>
      <c r="AP476" s="31">
        <f t="shared" si="121"/>
        <v>1.0196939976461359</v>
      </c>
      <c r="AQ476" s="31">
        <f t="shared" si="122"/>
        <v>0.95906432748538006</v>
      </c>
      <c r="AR476" s="31">
        <f t="shared" si="123"/>
        <v>0.94388489208633153</v>
      </c>
      <c r="AS476" s="29">
        <f t="shared" si="124"/>
        <v>33.0703216374269</v>
      </c>
      <c r="AT476" s="29">
        <f t="shared" si="125"/>
        <v>11.487082264628436</v>
      </c>
      <c r="AU476" s="27" t="str">
        <f t="shared" si="126"/>
        <v>Low</v>
      </c>
      <c r="AV476" s="27" t="str">
        <f t="shared" si="127"/>
        <v>Normal</v>
      </c>
      <c r="AW476" s="27"/>
    </row>
    <row r="477" spans="1:49" x14ac:dyDescent="0.25">
      <c r="A477" s="27">
        <v>476</v>
      </c>
      <c r="B477" s="28">
        <v>46131</v>
      </c>
      <c r="C477" s="28" t="str">
        <f t="shared" si="112"/>
        <v>April</v>
      </c>
      <c r="D477" s="27" t="s">
        <v>67</v>
      </c>
      <c r="E477" s="27" t="s">
        <v>48</v>
      </c>
      <c r="F477" s="27" t="s">
        <v>72</v>
      </c>
      <c r="G477" s="27" t="s">
        <v>50</v>
      </c>
      <c r="H477" s="27" t="s">
        <v>68</v>
      </c>
      <c r="I477" s="27" t="s">
        <v>600</v>
      </c>
      <c r="J477" s="27" t="s">
        <v>59</v>
      </c>
      <c r="K477" s="27">
        <v>500</v>
      </c>
      <c r="L477" s="27">
        <v>484</v>
      </c>
      <c r="M477" s="27">
        <v>460</v>
      </c>
      <c r="N477" s="27">
        <v>24</v>
      </c>
      <c r="O477" s="27">
        <v>7</v>
      </c>
      <c r="P477" s="27">
        <v>0</v>
      </c>
      <c r="Q477" s="27" t="s">
        <v>60</v>
      </c>
      <c r="R477" s="27">
        <v>64</v>
      </c>
      <c r="S477" s="27">
        <v>65</v>
      </c>
      <c r="T477" s="29">
        <v>70.599999999999994</v>
      </c>
      <c r="U477" s="29">
        <v>2.06</v>
      </c>
      <c r="V477" s="29">
        <v>15</v>
      </c>
      <c r="W477" s="30">
        <v>14768.67</v>
      </c>
      <c r="X477" s="27">
        <v>8.33</v>
      </c>
      <c r="Y477" s="27" t="s">
        <v>66</v>
      </c>
      <c r="Z477" s="29">
        <v>11</v>
      </c>
      <c r="AA477" s="30">
        <v>24302.959999999999</v>
      </c>
      <c r="AB477" s="29">
        <v>0.95041322314049603</v>
      </c>
      <c r="AC477" s="30">
        <v>18652.169999999998</v>
      </c>
      <c r="AD477" s="30">
        <v>213.59646694214899</v>
      </c>
      <c r="AE477" s="27">
        <v>533.33333333333303</v>
      </c>
      <c r="AF477" s="29">
        <v>1</v>
      </c>
      <c r="AG477" s="30">
        <v>5437.1935330578499</v>
      </c>
      <c r="AH477" s="31">
        <f t="shared" si="113"/>
        <v>0.96799999999999997</v>
      </c>
      <c r="AI477" s="31">
        <f t="shared" si="114"/>
        <v>4.9586776859504134E-2</v>
      </c>
      <c r="AJ477" s="31">
        <f t="shared" si="115"/>
        <v>1.4462809917355372E-2</v>
      </c>
      <c r="AK477" s="31">
        <f t="shared" si="116"/>
        <v>0.95041322314049592</v>
      </c>
      <c r="AL477" s="29">
        <f t="shared" si="117"/>
        <v>0</v>
      </c>
      <c r="AM477" s="29">
        <f t="shared" si="118"/>
        <v>533.33333333333303</v>
      </c>
      <c r="AN477" s="29">
        <f t="shared" si="119"/>
        <v>0.90750000000000053</v>
      </c>
      <c r="AO477" s="29">
        <f t="shared" si="120"/>
        <v>0.9375</v>
      </c>
      <c r="AP477" s="31">
        <f t="shared" si="121"/>
        <v>0.96800000000000053</v>
      </c>
      <c r="AQ477" s="31">
        <f t="shared" si="122"/>
        <v>0.95041322314049592</v>
      </c>
      <c r="AR477" s="31">
        <f t="shared" si="123"/>
        <v>0.9200000000000006</v>
      </c>
      <c r="AS477" s="29">
        <f t="shared" si="124"/>
        <v>38.537541322314048</v>
      </c>
      <c r="AT477" s="29">
        <f t="shared" si="125"/>
        <v>11.233870936069938</v>
      </c>
      <c r="AU477" s="27" t="str">
        <f t="shared" si="126"/>
        <v>Low</v>
      </c>
      <c r="AV477" s="27" t="str">
        <f t="shared" si="127"/>
        <v>Normal</v>
      </c>
      <c r="AW477" s="27"/>
    </row>
    <row r="478" spans="1:49" x14ac:dyDescent="0.25">
      <c r="A478" s="27">
        <v>477</v>
      </c>
      <c r="B478" s="28">
        <v>46029</v>
      </c>
      <c r="C478" s="28" t="str">
        <f t="shared" si="112"/>
        <v>January</v>
      </c>
      <c r="D478" s="27" t="s">
        <v>67</v>
      </c>
      <c r="E478" s="27" t="s">
        <v>98</v>
      </c>
      <c r="F478" s="27" t="s">
        <v>99</v>
      </c>
      <c r="G478" s="27" t="s">
        <v>50</v>
      </c>
      <c r="H478" s="27" t="s">
        <v>51</v>
      </c>
      <c r="I478" s="27" t="s">
        <v>601</v>
      </c>
      <c r="J478" s="27" t="s">
        <v>70</v>
      </c>
      <c r="K478" s="27">
        <v>872</v>
      </c>
      <c r="L478" s="27">
        <v>872</v>
      </c>
      <c r="M478" s="27">
        <v>831</v>
      </c>
      <c r="N478" s="27">
        <v>41</v>
      </c>
      <c r="O478" s="27">
        <v>12</v>
      </c>
      <c r="P478" s="27">
        <v>12</v>
      </c>
      <c r="Q478" s="27" t="s">
        <v>54</v>
      </c>
      <c r="R478" s="27">
        <v>42</v>
      </c>
      <c r="S478" s="27">
        <v>45</v>
      </c>
      <c r="T478" s="29">
        <v>74.099999999999994</v>
      </c>
      <c r="U478" s="29">
        <v>2.65</v>
      </c>
      <c r="V478" s="29">
        <v>28.42</v>
      </c>
      <c r="W478" s="30">
        <v>16497.86</v>
      </c>
      <c r="X478" s="27">
        <v>8.01</v>
      </c>
      <c r="Y478" s="27" t="s">
        <v>66</v>
      </c>
      <c r="Z478" s="29">
        <v>14</v>
      </c>
      <c r="AA478" s="30">
        <v>27126.37</v>
      </c>
      <c r="AB478" s="29">
        <v>0.95298165137614699</v>
      </c>
      <c r="AC478" s="30">
        <v>20358.14</v>
      </c>
      <c r="AD478" s="30">
        <v>227.03477064220201</v>
      </c>
      <c r="AE478" s="27">
        <v>610.4</v>
      </c>
      <c r="AF478" s="29">
        <v>0.980340760157274</v>
      </c>
      <c r="AG478" s="30">
        <v>6541.1952293577997</v>
      </c>
      <c r="AH478" s="31">
        <f t="shared" si="113"/>
        <v>1</v>
      </c>
      <c r="AI478" s="31">
        <f t="shared" si="114"/>
        <v>4.7018348623853214E-2</v>
      </c>
      <c r="AJ478" s="31">
        <f t="shared" si="115"/>
        <v>1.3761467889908258E-2</v>
      </c>
      <c r="AK478" s="31">
        <f t="shared" si="116"/>
        <v>0.95298165137614677</v>
      </c>
      <c r="AL478" s="29">
        <f t="shared" si="117"/>
        <v>0.2</v>
      </c>
      <c r="AM478" s="29">
        <f t="shared" si="118"/>
        <v>598.4</v>
      </c>
      <c r="AN478" s="29">
        <f t="shared" si="119"/>
        <v>1.4572192513368984</v>
      </c>
      <c r="AO478" s="29">
        <f t="shared" si="120"/>
        <v>1.4285714285714286</v>
      </c>
      <c r="AP478" s="31">
        <f t="shared" si="121"/>
        <v>1.0200534759358288</v>
      </c>
      <c r="AQ478" s="31">
        <f t="shared" si="122"/>
        <v>0.95298165137614677</v>
      </c>
      <c r="AR478" s="31">
        <f t="shared" si="123"/>
        <v>0.95298165137614677</v>
      </c>
      <c r="AS478" s="29">
        <f t="shared" si="124"/>
        <v>23.346490825688072</v>
      </c>
      <c r="AT478" s="29">
        <f t="shared" si="125"/>
        <v>7.5013706758690359</v>
      </c>
      <c r="AU478" s="27" t="str">
        <f t="shared" si="126"/>
        <v>Low</v>
      </c>
      <c r="AV478" s="27" t="str">
        <f t="shared" si="127"/>
        <v>Normal</v>
      </c>
      <c r="AW478" s="27"/>
    </row>
    <row r="479" spans="1:49" x14ac:dyDescent="0.25">
      <c r="A479" s="27">
        <v>478</v>
      </c>
      <c r="B479" s="28">
        <v>46157</v>
      </c>
      <c r="C479" s="28" t="str">
        <f t="shared" si="112"/>
        <v>May</v>
      </c>
      <c r="D479" s="27" t="s">
        <v>67</v>
      </c>
      <c r="E479" s="27" t="s">
        <v>48</v>
      </c>
      <c r="F479" s="27" t="s">
        <v>72</v>
      </c>
      <c r="G479" s="27" t="s">
        <v>50</v>
      </c>
      <c r="H479" s="27" t="s">
        <v>51</v>
      </c>
      <c r="I479" s="27" t="s">
        <v>602</v>
      </c>
      <c r="J479" s="27" t="s">
        <v>53</v>
      </c>
      <c r="K479" s="27">
        <v>915</v>
      </c>
      <c r="L479" s="27">
        <v>898</v>
      </c>
      <c r="M479" s="27">
        <v>863</v>
      </c>
      <c r="N479" s="27">
        <v>35</v>
      </c>
      <c r="O479" s="27">
        <v>12</v>
      </c>
      <c r="P479" s="27">
        <v>20</v>
      </c>
      <c r="Q479" s="27" t="s">
        <v>102</v>
      </c>
      <c r="R479" s="27">
        <v>42</v>
      </c>
      <c r="S479" s="27">
        <v>42</v>
      </c>
      <c r="T479" s="29">
        <v>69.400000000000006</v>
      </c>
      <c r="U479" s="29">
        <v>2.2000000000000002</v>
      </c>
      <c r="V479" s="29">
        <v>34.58</v>
      </c>
      <c r="W479" s="30">
        <v>17435.04</v>
      </c>
      <c r="X479" s="27">
        <v>10.19</v>
      </c>
      <c r="Y479" s="27" t="s">
        <v>110</v>
      </c>
      <c r="Z479" s="29">
        <v>34</v>
      </c>
      <c r="AA479" s="30">
        <v>27733.47</v>
      </c>
      <c r="AB479" s="29">
        <v>0.96102449888641395</v>
      </c>
      <c r="AC479" s="30">
        <v>22331.759999999998</v>
      </c>
      <c r="AD479" s="30">
        <v>232.984944320713</v>
      </c>
      <c r="AE479" s="27">
        <v>640.5</v>
      </c>
      <c r="AF479" s="29">
        <v>0.96877439500390305</v>
      </c>
      <c r="AG479" s="30">
        <v>5168.7250556792897</v>
      </c>
      <c r="AH479" s="31">
        <f t="shared" si="113"/>
        <v>0.98142076502732245</v>
      </c>
      <c r="AI479" s="31">
        <f t="shared" si="114"/>
        <v>3.8975501113585748E-2</v>
      </c>
      <c r="AJ479" s="31">
        <f t="shared" si="115"/>
        <v>1.3363028953229399E-2</v>
      </c>
      <c r="AK479" s="31">
        <f t="shared" si="116"/>
        <v>0.96102449888641428</v>
      </c>
      <c r="AL479" s="29">
        <f t="shared" si="117"/>
        <v>0.33333333333333331</v>
      </c>
      <c r="AM479" s="29">
        <f t="shared" si="118"/>
        <v>620.5</v>
      </c>
      <c r="AN479" s="29">
        <f t="shared" si="119"/>
        <v>1.4472199838839646</v>
      </c>
      <c r="AO479" s="29">
        <f t="shared" si="120"/>
        <v>1.4285714285714286</v>
      </c>
      <c r="AP479" s="31">
        <f t="shared" si="121"/>
        <v>1.0130539887187751</v>
      </c>
      <c r="AQ479" s="31">
        <f t="shared" si="122"/>
        <v>0.96102449888641428</v>
      </c>
      <c r="AR479" s="31">
        <f t="shared" si="123"/>
        <v>0.94316939890710361</v>
      </c>
      <c r="AS479" s="29">
        <f t="shared" si="124"/>
        <v>24.868329621380845</v>
      </c>
      <c r="AT479" s="29">
        <f t="shared" si="125"/>
        <v>5.7558185475270482</v>
      </c>
      <c r="AU479" s="27" t="str">
        <f t="shared" si="126"/>
        <v>Medium</v>
      </c>
      <c r="AV479" s="27" t="str">
        <f t="shared" si="127"/>
        <v>Normal</v>
      </c>
      <c r="AW479" s="27"/>
    </row>
    <row r="480" spans="1:49" x14ac:dyDescent="0.25">
      <c r="A480" s="27">
        <v>479</v>
      </c>
      <c r="B480" s="28">
        <v>46100</v>
      </c>
      <c r="C480" s="28" t="str">
        <f t="shared" si="112"/>
        <v>March</v>
      </c>
      <c r="D480" s="27" t="s">
        <v>47</v>
      </c>
      <c r="E480" s="27" t="s">
        <v>48</v>
      </c>
      <c r="F480" s="27" t="s">
        <v>56</v>
      </c>
      <c r="G480" s="27" t="s">
        <v>63</v>
      </c>
      <c r="H480" s="27" t="s">
        <v>51</v>
      </c>
      <c r="I480" s="27" t="s">
        <v>603</v>
      </c>
      <c r="J480" s="27" t="s">
        <v>74</v>
      </c>
      <c r="K480" s="27">
        <v>860</v>
      </c>
      <c r="L480" s="27">
        <v>917</v>
      </c>
      <c r="M480" s="27">
        <v>875</v>
      </c>
      <c r="N480" s="27">
        <v>42</v>
      </c>
      <c r="O480" s="27">
        <v>12</v>
      </c>
      <c r="P480" s="27">
        <v>9</v>
      </c>
      <c r="Q480" s="27" t="s">
        <v>102</v>
      </c>
      <c r="R480" s="27">
        <v>42</v>
      </c>
      <c r="S480" s="27">
        <v>44</v>
      </c>
      <c r="T480" s="29">
        <v>68</v>
      </c>
      <c r="U480" s="29">
        <v>2.0099999999999998</v>
      </c>
      <c r="V480" s="29">
        <v>27.63</v>
      </c>
      <c r="W480" s="30">
        <v>17166.2</v>
      </c>
      <c r="X480" s="27">
        <v>11.11</v>
      </c>
      <c r="Y480" s="27" t="s">
        <v>55</v>
      </c>
      <c r="Z480" s="29">
        <v>25</v>
      </c>
      <c r="AA480" s="30">
        <v>27531.82</v>
      </c>
      <c r="AB480" s="29">
        <v>0.954198473282443</v>
      </c>
      <c r="AC480" s="30">
        <v>22414.37</v>
      </c>
      <c r="AD480" s="30">
        <v>224.63947655397999</v>
      </c>
      <c r="AE480" s="27">
        <v>602</v>
      </c>
      <c r="AF480" s="29">
        <v>0.98504983388704304</v>
      </c>
      <c r="AG480" s="30">
        <v>4892.8105234460199</v>
      </c>
      <c r="AH480" s="31">
        <f t="shared" si="113"/>
        <v>1.0662790697674418</v>
      </c>
      <c r="AI480" s="31">
        <f t="shared" si="114"/>
        <v>4.5801526717557252E-2</v>
      </c>
      <c r="AJ480" s="31">
        <f t="shared" si="115"/>
        <v>1.3086150490730643E-2</v>
      </c>
      <c r="AK480" s="31">
        <f t="shared" si="116"/>
        <v>0.95419847328244278</v>
      </c>
      <c r="AL480" s="29">
        <f t="shared" si="117"/>
        <v>0.15</v>
      </c>
      <c r="AM480" s="29">
        <f t="shared" si="118"/>
        <v>593</v>
      </c>
      <c r="AN480" s="29">
        <f t="shared" si="119"/>
        <v>1.5463743676222597</v>
      </c>
      <c r="AO480" s="29">
        <f t="shared" si="120"/>
        <v>1.4285714285714286</v>
      </c>
      <c r="AP480" s="31">
        <f t="shared" si="121"/>
        <v>1.0824620573355817</v>
      </c>
      <c r="AQ480" s="31">
        <f t="shared" si="122"/>
        <v>0.95419847328244278</v>
      </c>
      <c r="AR480" s="31">
        <f t="shared" si="123"/>
        <v>1.0174418604651161</v>
      </c>
      <c r="AS480" s="29">
        <f t="shared" si="124"/>
        <v>24.443151581243182</v>
      </c>
      <c r="AT480" s="29">
        <f t="shared" si="125"/>
        <v>5.3356712360370988</v>
      </c>
      <c r="AU480" s="27" t="str">
        <f t="shared" si="126"/>
        <v>Low</v>
      </c>
      <c r="AV480" s="27" t="str">
        <f t="shared" si="127"/>
        <v>Normal</v>
      </c>
      <c r="AW480" s="27"/>
    </row>
    <row r="481" spans="1:49" x14ac:dyDescent="0.25">
      <c r="A481" s="27">
        <v>480</v>
      </c>
      <c r="B481" s="28">
        <v>46027</v>
      </c>
      <c r="C481" s="28" t="str">
        <f t="shared" si="112"/>
        <v>January</v>
      </c>
      <c r="D481" s="27" t="s">
        <v>67</v>
      </c>
      <c r="E481" s="27" t="s">
        <v>98</v>
      </c>
      <c r="F481" s="27" t="s">
        <v>105</v>
      </c>
      <c r="G481" s="27" t="s">
        <v>63</v>
      </c>
      <c r="H481" s="27" t="s">
        <v>57</v>
      </c>
      <c r="I481" s="27" t="s">
        <v>604</v>
      </c>
      <c r="J481" s="27" t="s">
        <v>117</v>
      </c>
      <c r="K481" s="27">
        <v>895</v>
      </c>
      <c r="L481" s="27">
        <v>874</v>
      </c>
      <c r="M481" s="27">
        <v>819</v>
      </c>
      <c r="N481" s="27">
        <v>55</v>
      </c>
      <c r="O481" s="27">
        <v>16</v>
      </c>
      <c r="P481" s="27">
        <v>19</v>
      </c>
      <c r="Q481" s="27" t="s">
        <v>97</v>
      </c>
      <c r="R481" s="27">
        <v>45</v>
      </c>
      <c r="S481" s="27">
        <v>43</v>
      </c>
      <c r="T481" s="29">
        <v>69.5</v>
      </c>
      <c r="U481" s="29">
        <v>2.44</v>
      </c>
      <c r="V481" s="29">
        <v>33.729999999999997</v>
      </c>
      <c r="W481" s="30">
        <v>18342.12</v>
      </c>
      <c r="X481" s="27">
        <v>9.1999999999999993</v>
      </c>
      <c r="Y481" s="27" t="s">
        <v>55</v>
      </c>
      <c r="Z481" s="29">
        <v>36</v>
      </c>
      <c r="AA481" s="30">
        <v>27860.55</v>
      </c>
      <c r="AB481" s="29">
        <v>0.93707093821510301</v>
      </c>
      <c r="AC481" s="30">
        <v>22785.69</v>
      </c>
      <c r="AD481" s="30">
        <v>335.78251716247098</v>
      </c>
      <c r="AE481" s="27">
        <v>671.25</v>
      </c>
      <c r="AF481" s="29">
        <v>0.971694599627561</v>
      </c>
      <c r="AG481" s="30">
        <v>4739.0774828375297</v>
      </c>
      <c r="AH481" s="31">
        <f t="shared" si="113"/>
        <v>0.97653631284916198</v>
      </c>
      <c r="AI481" s="31">
        <f t="shared" si="114"/>
        <v>6.2929061784897031E-2</v>
      </c>
      <c r="AJ481" s="31">
        <f t="shared" si="115"/>
        <v>1.8306636155606407E-2</v>
      </c>
      <c r="AK481" s="31">
        <f t="shared" si="116"/>
        <v>0.93707093821510301</v>
      </c>
      <c r="AL481" s="29">
        <f t="shared" si="117"/>
        <v>0.31666666666666665</v>
      </c>
      <c r="AM481" s="29">
        <f t="shared" si="118"/>
        <v>652.25</v>
      </c>
      <c r="AN481" s="29">
        <f t="shared" si="119"/>
        <v>1.3399770026830202</v>
      </c>
      <c r="AO481" s="29">
        <f t="shared" si="120"/>
        <v>1.3333333333333333</v>
      </c>
      <c r="AP481" s="31">
        <f t="shared" si="121"/>
        <v>1.0049827520122652</v>
      </c>
      <c r="AQ481" s="31">
        <f t="shared" si="122"/>
        <v>0.93707093821510301</v>
      </c>
      <c r="AR481" s="31">
        <f t="shared" si="123"/>
        <v>0.91508379888268199</v>
      </c>
      <c r="AS481" s="29">
        <f t="shared" si="124"/>
        <v>26.070583524027459</v>
      </c>
      <c r="AT481" s="29">
        <f t="shared" si="125"/>
        <v>5.4222854494708574</v>
      </c>
      <c r="AU481" s="27" t="str">
        <f t="shared" si="126"/>
        <v>Medium</v>
      </c>
      <c r="AV481" s="27" t="str">
        <f t="shared" si="127"/>
        <v>Normal</v>
      </c>
      <c r="AW481" s="27"/>
    </row>
    <row r="482" spans="1:49" x14ac:dyDescent="0.25">
      <c r="A482" s="27">
        <v>481</v>
      </c>
      <c r="B482" s="28">
        <v>46169</v>
      </c>
      <c r="C482" s="28" t="str">
        <f t="shared" si="112"/>
        <v>May</v>
      </c>
      <c r="D482" s="27" t="s">
        <v>47</v>
      </c>
      <c r="E482" s="27" t="s">
        <v>61</v>
      </c>
      <c r="F482" s="27" t="s">
        <v>95</v>
      </c>
      <c r="G482" s="27" t="s">
        <v>78</v>
      </c>
      <c r="H482" s="27" t="s">
        <v>51</v>
      </c>
      <c r="I482" s="27" t="s">
        <v>605</v>
      </c>
      <c r="J482" s="27" t="s">
        <v>175</v>
      </c>
      <c r="K482" s="27">
        <v>909</v>
      </c>
      <c r="L482" s="27">
        <v>855</v>
      </c>
      <c r="M482" s="27">
        <v>803</v>
      </c>
      <c r="N482" s="27">
        <v>52</v>
      </c>
      <c r="O482" s="27">
        <v>19</v>
      </c>
      <c r="P482" s="27">
        <v>0</v>
      </c>
      <c r="Q482" s="27" t="s">
        <v>60</v>
      </c>
      <c r="R482" s="27">
        <v>42</v>
      </c>
      <c r="S482" s="27">
        <v>44</v>
      </c>
      <c r="T482" s="29">
        <v>77.5</v>
      </c>
      <c r="U482" s="29">
        <v>1.66</v>
      </c>
      <c r="V482" s="29">
        <v>32.29</v>
      </c>
      <c r="W482" s="30">
        <v>16280.74</v>
      </c>
      <c r="X482" s="27">
        <v>9.84</v>
      </c>
      <c r="Y482" s="27" t="s">
        <v>66</v>
      </c>
      <c r="Z482" s="29">
        <v>24</v>
      </c>
      <c r="AA482" s="30">
        <v>25753.96</v>
      </c>
      <c r="AB482" s="29">
        <v>0.93918128654970801</v>
      </c>
      <c r="AC482" s="30">
        <v>20999.35</v>
      </c>
      <c r="AD482" s="30">
        <v>361.794222222222</v>
      </c>
      <c r="AE482" s="27">
        <v>636.29999999999995</v>
      </c>
      <c r="AF482" s="29">
        <v>1</v>
      </c>
      <c r="AG482" s="30">
        <v>4392.8157777777797</v>
      </c>
      <c r="AH482" s="31">
        <f t="shared" si="113"/>
        <v>0.94059405940594054</v>
      </c>
      <c r="AI482" s="31">
        <f t="shared" si="114"/>
        <v>6.0818713450292397E-2</v>
      </c>
      <c r="AJ482" s="31">
        <f t="shared" si="115"/>
        <v>2.2222222222222223E-2</v>
      </c>
      <c r="AK482" s="31">
        <f t="shared" si="116"/>
        <v>0.93918128654970756</v>
      </c>
      <c r="AL482" s="29">
        <f t="shared" si="117"/>
        <v>0</v>
      </c>
      <c r="AM482" s="29">
        <f t="shared" si="118"/>
        <v>636.29999999999995</v>
      </c>
      <c r="AN482" s="29">
        <f t="shared" si="119"/>
        <v>1.3437057991513437</v>
      </c>
      <c r="AO482" s="29">
        <f t="shared" si="120"/>
        <v>1.4285714285714286</v>
      </c>
      <c r="AP482" s="31">
        <f t="shared" si="121"/>
        <v>0.94059405940594054</v>
      </c>
      <c r="AQ482" s="31">
        <f t="shared" si="122"/>
        <v>0.93918128654970756</v>
      </c>
      <c r="AR482" s="31">
        <f t="shared" si="123"/>
        <v>0.88338833883388335</v>
      </c>
      <c r="AS482" s="29">
        <f t="shared" si="124"/>
        <v>24.560643274853799</v>
      </c>
      <c r="AT482" s="29">
        <f t="shared" si="125"/>
        <v>5.1377962313190402</v>
      </c>
      <c r="AU482" s="27" t="str">
        <f t="shared" si="126"/>
        <v>Low</v>
      </c>
      <c r="AV482" s="27" t="str">
        <f t="shared" si="127"/>
        <v>Normal</v>
      </c>
      <c r="AW482" s="27"/>
    </row>
    <row r="483" spans="1:49" x14ac:dyDescent="0.25">
      <c r="A483" s="27">
        <v>482</v>
      </c>
      <c r="B483" s="28">
        <v>46119</v>
      </c>
      <c r="C483" s="28" t="str">
        <f t="shared" si="112"/>
        <v>April</v>
      </c>
      <c r="D483" s="27" t="s">
        <v>47</v>
      </c>
      <c r="E483" s="27" t="s">
        <v>48</v>
      </c>
      <c r="F483" s="27" t="s">
        <v>56</v>
      </c>
      <c r="G483" s="27" t="s">
        <v>50</v>
      </c>
      <c r="H483" s="27" t="s">
        <v>68</v>
      </c>
      <c r="I483" s="27" t="s">
        <v>606</v>
      </c>
      <c r="J483" s="27" t="s">
        <v>143</v>
      </c>
      <c r="K483" s="27">
        <v>495</v>
      </c>
      <c r="L483" s="27">
        <v>443</v>
      </c>
      <c r="M483" s="27">
        <v>412</v>
      </c>
      <c r="N483" s="27">
        <v>31</v>
      </c>
      <c r="O483" s="27">
        <v>8</v>
      </c>
      <c r="P483" s="27">
        <v>26</v>
      </c>
      <c r="Q483" s="27" t="s">
        <v>97</v>
      </c>
      <c r="R483" s="27">
        <v>64</v>
      </c>
      <c r="S483" s="27">
        <v>66</v>
      </c>
      <c r="T483" s="29">
        <v>69.900000000000006</v>
      </c>
      <c r="U483" s="29">
        <v>2.3199999999999998</v>
      </c>
      <c r="V483" s="29">
        <v>18.41</v>
      </c>
      <c r="W483" s="30">
        <v>14003.65</v>
      </c>
      <c r="X483" s="27">
        <v>8.4700000000000006</v>
      </c>
      <c r="Y483" s="27" t="s">
        <v>66</v>
      </c>
      <c r="Z483" s="29">
        <v>13</v>
      </c>
      <c r="AA483" s="30">
        <v>21599.09</v>
      </c>
      <c r="AB483" s="29">
        <v>0.93002257336343097</v>
      </c>
      <c r="AC483" s="30">
        <v>17980.84</v>
      </c>
      <c r="AD483" s="30">
        <v>252.88758465011301</v>
      </c>
      <c r="AE483" s="27">
        <v>528</v>
      </c>
      <c r="AF483" s="29">
        <v>0.95075757575757602</v>
      </c>
      <c r="AG483" s="30">
        <v>3365.3624153498899</v>
      </c>
      <c r="AH483" s="31">
        <f t="shared" si="113"/>
        <v>0.89494949494949494</v>
      </c>
      <c r="AI483" s="31">
        <f t="shared" si="114"/>
        <v>6.9977426636568849E-2</v>
      </c>
      <c r="AJ483" s="31">
        <f t="shared" si="115"/>
        <v>1.8058690744920992E-2</v>
      </c>
      <c r="AK483" s="31">
        <f t="shared" si="116"/>
        <v>0.93002257336343119</v>
      </c>
      <c r="AL483" s="29">
        <f t="shared" si="117"/>
        <v>0.43333333333333335</v>
      </c>
      <c r="AM483" s="29">
        <f t="shared" si="118"/>
        <v>502</v>
      </c>
      <c r="AN483" s="29">
        <f t="shared" si="119"/>
        <v>0.88247011952191234</v>
      </c>
      <c r="AO483" s="29">
        <f t="shared" si="120"/>
        <v>0.9375</v>
      </c>
      <c r="AP483" s="31">
        <f t="shared" si="121"/>
        <v>0.94130146082337318</v>
      </c>
      <c r="AQ483" s="31">
        <f t="shared" si="122"/>
        <v>0.93002257336343119</v>
      </c>
      <c r="AR483" s="31">
        <f t="shared" si="123"/>
        <v>0.83232323232323258</v>
      </c>
      <c r="AS483" s="29">
        <f t="shared" si="124"/>
        <v>40.58880361173815</v>
      </c>
      <c r="AT483" s="29">
        <f t="shared" si="125"/>
        <v>7.5967548879230025</v>
      </c>
      <c r="AU483" s="27" t="str">
        <f t="shared" si="126"/>
        <v>Medium</v>
      </c>
      <c r="AV483" s="27" t="str">
        <f t="shared" si="127"/>
        <v>Warning</v>
      </c>
      <c r="AW483" s="27"/>
    </row>
    <row r="484" spans="1:49" x14ac:dyDescent="0.25">
      <c r="A484" s="27">
        <v>483</v>
      </c>
      <c r="B484" s="28">
        <v>46151</v>
      </c>
      <c r="C484" s="28" t="str">
        <f t="shared" si="112"/>
        <v>May</v>
      </c>
      <c r="D484" s="27" t="s">
        <v>67</v>
      </c>
      <c r="E484" s="27" t="s">
        <v>98</v>
      </c>
      <c r="F484" s="27" t="s">
        <v>99</v>
      </c>
      <c r="G484" s="27" t="s">
        <v>63</v>
      </c>
      <c r="H484" s="27" t="s">
        <v>79</v>
      </c>
      <c r="I484" s="27" t="s">
        <v>607</v>
      </c>
      <c r="J484" s="27" t="s">
        <v>218</v>
      </c>
      <c r="K484" s="27">
        <v>700</v>
      </c>
      <c r="L484" s="27">
        <v>663</v>
      </c>
      <c r="M484" s="27">
        <v>632</v>
      </c>
      <c r="N484" s="27">
        <v>31</v>
      </c>
      <c r="O484" s="27">
        <v>13</v>
      </c>
      <c r="P484" s="27">
        <v>32</v>
      </c>
      <c r="Q484" s="27" t="s">
        <v>94</v>
      </c>
      <c r="R484" s="27">
        <v>49</v>
      </c>
      <c r="S484" s="27">
        <v>49</v>
      </c>
      <c r="T484" s="29">
        <v>72.7</v>
      </c>
      <c r="U484" s="29">
        <v>2.42</v>
      </c>
      <c r="V484" s="29">
        <v>24.03</v>
      </c>
      <c r="W484" s="30">
        <v>14794.07</v>
      </c>
      <c r="X484" s="27">
        <v>7.25</v>
      </c>
      <c r="Y484" s="27" t="s">
        <v>110</v>
      </c>
      <c r="Z484" s="29">
        <v>28</v>
      </c>
      <c r="AA484" s="30">
        <v>24734.91</v>
      </c>
      <c r="AB484" s="29">
        <v>0.95324283559577705</v>
      </c>
      <c r="AC484" s="30">
        <v>18272.84</v>
      </c>
      <c r="AD484" s="30">
        <v>290.07980392156901</v>
      </c>
      <c r="AE484" s="27">
        <v>571.66666666666697</v>
      </c>
      <c r="AF484" s="29">
        <v>0.94402332361515995</v>
      </c>
      <c r="AG484" s="30">
        <v>6171.99019607843</v>
      </c>
      <c r="AH484" s="31">
        <f t="shared" si="113"/>
        <v>0.94714285714285718</v>
      </c>
      <c r="AI484" s="31">
        <f t="shared" si="114"/>
        <v>4.6757164404223228E-2</v>
      </c>
      <c r="AJ484" s="31">
        <f t="shared" si="115"/>
        <v>1.9607843137254902E-2</v>
      </c>
      <c r="AK484" s="31">
        <f t="shared" si="116"/>
        <v>0.95324283559577683</v>
      </c>
      <c r="AL484" s="29">
        <f t="shared" si="117"/>
        <v>0.53333333333333333</v>
      </c>
      <c r="AM484" s="29">
        <f t="shared" si="118"/>
        <v>539.66666666666697</v>
      </c>
      <c r="AN484" s="29">
        <f t="shared" si="119"/>
        <v>1.2285361334156879</v>
      </c>
      <c r="AO484" s="29">
        <f t="shared" si="120"/>
        <v>1.2244897959183674</v>
      </c>
      <c r="AP484" s="31">
        <f t="shared" si="121"/>
        <v>1.0033045089561452</v>
      </c>
      <c r="AQ484" s="31">
        <f t="shared" si="122"/>
        <v>0.95324283559577683</v>
      </c>
      <c r="AR484" s="31">
        <f t="shared" si="123"/>
        <v>0.90285714285714203</v>
      </c>
      <c r="AS484" s="29">
        <f t="shared" si="124"/>
        <v>27.560844645550528</v>
      </c>
      <c r="AT484" s="29">
        <f t="shared" si="125"/>
        <v>9.3091858161062291</v>
      </c>
      <c r="AU484" s="27" t="str">
        <f t="shared" si="126"/>
        <v>Medium</v>
      </c>
      <c r="AV484" s="27" t="str">
        <f t="shared" si="127"/>
        <v>Normal</v>
      </c>
      <c r="AW484" s="27"/>
    </row>
    <row r="485" spans="1:49" x14ac:dyDescent="0.25">
      <c r="A485" s="27">
        <v>484</v>
      </c>
      <c r="B485" s="28">
        <v>46176</v>
      </c>
      <c r="C485" s="28" t="str">
        <f t="shared" si="112"/>
        <v>June</v>
      </c>
      <c r="D485" s="27" t="s">
        <v>67</v>
      </c>
      <c r="E485" s="27" t="s">
        <v>48</v>
      </c>
      <c r="F485" s="27" t="s">
        <v>56</v>
      </c>
      <c r="G485" s="27" t="s">
        <v>63</v>
      </c>
      <c r="H485" s="27" t="s">
        <v>51</v>
      </c>
      <c r="I485" s="27" t="s">
        <v>608</v>
      </c>
      <c r="J485" s="27" t="s">
        <v>84</v>
      </c>
      <c r="K485" s="27">
        <v>766</v>
      </c>
      <c r="L485" s="27">
        <v>772</v>
      </c>
      <c r="M485" s="27">
        <v>724</v>
      </c>
      <c r="N485" s="27">
        <v>48</v>
      </c>
      <c r="O485" s="27">
        <v>14</v>
      </c>
      <c r="P485" s="27">
        <v>43</v>
      </c>
      <c r="Q485" s="27" t="s">
        <v>82</v>
      </c>
      <c r="R485" s="27">
        <v>42</v>
      </c>
      <c r="S485" s="27">
        <v>43</v>
      </c>
      <c r="T485" s="29">
        <v>68.7</v>
      </c>
      <c r="U485" s="29">
        <v>2.0499999999999998</v>
      </c>
      <c r="V485" s="29">
        <v>30.79</v>
      </c>
      <c r="W485" s="30">
        <v>14234.3</v>
      </c>
      <c r="X485" s="27">
        <v>9.6300000000000008</v>
      </c>
      <c r="Y485" s="27" t="s">
        <v>55</v>
      </c>
      <c r="Z485" s="29">
        <v>17</v>
      </c>
      <c r="AA485" s="30">
        <v>22657.35</v>
      </c>
      <c r="AB485" s="29">
        <v>0.93782383419689097</v>
      </c>
      <c r="AC485" s="30">
        <v>18844.91</v>
      </c>
      <c r="AD485" s="30">
        <v>258.13497409326402</v>
      </c>
      <c r="AE485" s="27">
        <v>536.20000000000005</v>
      </c>
      <c r="AF485" s="29">
        <v>0.91980604252144704</v>
      </c>
      <c r="AG485" s="30">
        <v>3554.30502590673</v>
      </c>
      <c r="AH485" s="31">
        <f t="shared" si="113"/>
        <v>1.0078328981723237</v>
      </c>
      <c r="AI485" s="31">
        <f t="shared" si="114"/>
        <v>6.2176165803108807E-2</v>
      </c>
      <c r="AJ485" s="31">
        <f t="shared" si="115"/>
        <v>1.8134715025906734E-2</v>
      </c>
      <c r="AK485" s="31">
        <f t="shared" si="116"/>
        <v>0.93782383419689119</v>
      </c>
      <c r="AL485" s="29">
        <f t="shared" si="117"/>
        <v>0.71666666666666667</v>
      </c>
      <c r="AM485" s="29">
        <f t="shared" si="118"/>
        <v>493.20000000000005</v>
      </c>
      <c r="AN485" s="29">
        <f t="shared" si="119"/>
        <v>1.5652879156528789</v>
      </c>
      <c r="AO485" s="29">
        <f t="shared" si="120"/>
        <v>1.4285714285714286</v>
      </c>
      <c r="AP485" s="31">
        <f t="shared" si="121"/>
        <v>1.0957015409570152</v>
      </c>
      <c r="AQ485" s="31">
        <f t="shared" si="122"/>
        <v>0.93782383419689119</v>
      </c>
      <c r="AR485" s="31">
        <f t="shared" si="123"/>
        <v>0.94516971279373341</v>
      </c>
      <c r="AS485" s="29">
        <f t="shared" si="124"/>
        <v>24.410505181347151</v>
      </c>
      <c r="AT485" s="29">
        <f t="shared" si="125"/>
        <v>4.6040220542833286</v>
      </c>
      <c r="AU485" s="27" t="str">
        <f t="shared" si="126"/>
        <v>Low</v>
      </c>
      <c r="AV485" s="27" t="str">
        <f t="shared" si="127"/>
        <v>Normal</v>
      </c>
      <c r="AW485" s="27"/>
    </row>
    <row r="486" spans="1:49" x14ac:dyDescent="0.25">
      <c r="A486" s="27">
        <v>485</v>
      </c>
      <c r="B486" s="28">
        <v>46039</v>
      </c>
      <c r="C486" s="28" t="str">
        <f t="shared" si="112"/>
        <v>January</v>
      </c>
      <c r="D486" s="27" t="s">
        <v>47</v>
      </c>
      <c r="E486" s="27" t="s">
        <v>98</v>
      </c>
      <c r="F486" s="27" t="s">
        <v>126</v>
      </c>
      <c r="G486" s="27" t="s">
        <v>63</v>
      </c>
      <c r="H486" s="27" t="s">
        <v>51</v>
      </c>
      <c r="I486" s="27" t="s">
        <v>609</v>
      </c>
      <c r="J486" s="27" t="s">
        <v>218</v>
      </c>
      <c r="K486" s="27">
        <v>843</v>
      </c>
      <c r="L486" s="27">
        <v>827</v>
      </c>
      <c r="M486" s="27">
        <v>773</v>
      </c>
      <c r="N486" s="27">
        <v>54</v>
      </c>
      <c r="O486" s="27">
        <v>10</v>
      </c>
      <c r="P486" s="27">
        <v>25</v>
      </c>
      <c r="Q486" s="27" t="s">
        <v>102</v>
      </c>
      <c r="R486" s="27">
        <v>42</v>
      </c>
      <c r="S486" s="27">
        <v>42</v>
      </c>
      <c r="T486" s="29">
        <v>70.599999999999994</v>
      </c>
      <c r="U486" s="29">
        <v>0.99</v>
      </c>
      <c r="V486" s="29">
        <v>32.18</v>
      </c>
      <c r="W486" s="30">
        <v>16209.27</v>
      </c>
      <c r="X486" s="27">
        <v>9.85</v>
      </c>
      <c r="Y486" s="27" t="s">
        <v>55</v>
      </c>
      <c r="Z486" s="29">
        <v>37</v>
      </c>
      <c r="AA486" s="30">
        <v>24612.95</v>
      </c>
      <c r="AB486" s="29">
        <v>0.93470374848851301</v>
      </c>
      <c r="AC486" s="30">
        <v>20931.39</v>
      </c>
      <c r="AD486" s="30">
        <v>196.00084643289</v>
      </c>
      <c r="AE486" s="27">
        <v>590.1</v>
      </c>
      <c r="AF486" s="29">
        <v>0.95763429927131005</v>
      </c>
      <c r="AG486" s="30">
        <v>3485.5591535671101</v>
      </c>
      <c r="AH486" s="31">
        <f t="shared" si="113"/>
        <v>0.98102016607354681</v>
      </c>
      <c r="AI486" s="31">
        <f t="shared" si="114"/>
        <v>6.529625151148731E-2</v>
      </c>
      <c r="AJ486" s="31">
        <f t="shared" si="115"/>
        <v>1.2091898428053204E-2</v>
      </c>
      <c r="AK486" s="31">
        <f t="shared" si="116"/>
        <v>0.93470374848851268</v>
      </c>
      <c r="AL486" s="29">
        <f t="shared" si="117"/>
        <v>0.41666666666666669</v>
      </c>
      <c r="AM486" s="29">
        <f t="shared" si="118"/>
        <v>565.1</v>
      </c>
      <c r="AN486" s="29">
        <f t="shared" si="119"/>
        <v>1.4634577950805168</v>
      </c>
      <c r="AO486" s="29">
        <f t="shared" si="120"/>
        <v>1.4285714285714286</v>
      </c>
      <c r="AP486" s="31">
        <f t="shared" si="121"/>
        <v>1.0244204565563617</v>
      </c>
      <c r="AQ486" s="31">
        <f t="shared" si="122"/>
        <v>0.93470374848851268</v>
      </c>
      <c r="AR486" s="31">
        <f t="shared" si="123"/>
        <v>0.91696322657176754</v>
      </c>
      <c r="AS486" s="29">
        <f t="shared" si="124"/>
        <v>25.310024183796855</v>
      </c>
      <c r="AT486" s="29">
        <f t="shared" si="125"/>
        <v>4.2147027249904596</v>
      </c>
      <c r="AU486" s="27" t="str">
        <f t="shared" si="126"/>
        <v>Medium</v>
      </c>
      <c r="AV486" s="27" t="str">
        <f t="shared" si="127"/>
        <v>Normal</v>
      </c>
      <c r="AW486" s="27"/>
    </row>
    <row r="487" spans="1:49" x14ac:dyDescent="0.25">
      <c r="A487" s="27">
        <v>486</v>
      </c>
      <c r="B487" s="28">
        <v>46089</v>
      </c>
      <c r="C487" s="28" t="str">
        <f t="shared" si="112"/>
        <v>March</v>
      </c>
      <c r="D487" s="27" t="s">
        <v>47</v>
      </c>
      <c r="E487" s="27" t="s">
        <v>76</v>
      </c>
      <c r="F487" s="27" t="s">
        <v>113</v>
      </c>
      <c r="G487" s="27" t="s">
        <v>78</v>
      </c>
      <c r="H487" s="27" t="s">
        <v>57</v>
      </c>
      <c r="I487" s="27" t="s">
        <v>610</v>
      </c>
      <c r="J487" s="27" t="s">
        <v>218</v>
      </c>
      <c r="K487" s="27">
        <v>926</v>
      </c>
      <c r="L487" s="27">
        <v>823</v>
      </c>
      <c r="M487" s="27">
        <v>773</v>
      </c>
      <c r="N487" s="27">
        <v>50</v>
      </c>
      <c r="O487" s="27">
        <v>17</v>
      </c>
      <c r="P487" s="27">
        <v>48</v>
      </c>
      <c r="Q487" s="27" t="s">
        <v>82</v>
      </c>
      <c r="R487" s="27">
        <v>45</v>
      </c>
      <c r="S487" s="27">
        <v>49</v>
      </c>
      <c r="T487" s="29">
        <v>76.900000000000006</v>
      </c>
      <c r="U487" s="29">
        <v>2.17</v>
      </c>
      <c r="V487" s="29">
        <v>30.94</v>
      </c>
      <c r="W487" s="30">
        <v>16069</v>
      </c>
      <c r="X487" s="27">
        <v>8.8800000000000008</v>
      </c>
      <c r="Y487" s="27" t="s">
        <v>110</v>
      </c>
      <c r="Z487" s="29">
        <v>31</v>
      </c>
      <c r="AA487" s="30">
        <v>27184.560000000001</v>
      </c>
      <c r="AB487" s="29">
        <v>0.93924665856622103</v>
      </c>
      <c r="AC487" s="30">
        <v>20343.46</v>
      </c>
      <c r="AD487" s="30">
        <v>331.92345078979298</v>
      </c>
      <c r="AE487" s="27">
        <v>694.5</v>
      </c>
      <c r="AF487" s="29">
        <v>0.93088552915766698</v>
      </c>
      <c r="AG487" s="30">
        <v>6509.1765492102104</v>
      </c>
      <c r="AH487" s="31">
        <f t="shared" si="113"/>
        <v>0.88876889848812091</v>
      </c>
      <c r="AI487" s="31">
        <f t="shared" si="114"/>
        <v>6.0753341433778855E-2</v>
      </c>
      <c r="AJ487" s="31">
        <f t="shared" si="115"/>
        <v>2.0656136087484813E-2</v>
      </c>
      <c r="AK487" s="31">
        <f t="shared" si="116"/>
        <v>0.93924665856622114</v>
      </c>
      <c r="AL487" s="29">
        <f t="shared" si="117"/>
        <v>0.8</v>
      </c>
      <c r="AM487" s="29">
        <f t="shared" si="118"/>
        <v>646.5</v>
      </c>
      <c r="AN487" s="29">
        <f t="shared" si="119"/>
        <v>1.2730085073472543</v>
      </c>
      <c r="AO487" s="29">
        <f t="shared" si="120"/>
        <v>1.3333333333333333</v>
      </c>
      <c r="AP487" s="31">
        <f t="shared" si="121"/>
        <v>0.95475638051044076</v>
      </c>
      <c r="AQ487" s="31">
        <f t="shared" si="122"/>
        <v>0.93924665856622114</v>
      </c>
      <c r="AR487" s="31">
        <f t="shared" si="123"/>
        <v>0.83477321814254812</v>
      </c>
      <c r="AS487" s="29">
        <f t="shared" si="124"/>
        <v>24.718663426488455</v>
      </c>
      <c r="AT487" s="29">
        <f t="shared" si="125"/>
        <v>7.9090845069382869</v>
      </c>
      <c r="AU487" s="27" t="str">
        <f t="shared" si="126"/>
        <v>Medium</v>
      </c>
      <c r="AV487" s="27" t="str">
        <f t="shared" si="127"/>
        <v>Warning</v>
      </c>
      <c r="AW487" s="27"/>
    </row>
    <row r="488" spans="1:49" x14ac:dyDescent="0.25">
      <c r="A488" s="27">
        <v>487</v>
      </c>
      <c r="B488" s="28">
        <v>46051</v>
      </c>
      <c r="C488" s="28" t="str">
        <f t="shared" si="112"/>
        <v>January</v>
      </c>
      <c r="D488" s="27" t="s">
        <v>47</v>
      </c>
      <c r="E488" s="27" t="s">
        <v>129</v>
      </c>
      <c r="F488" s="27" t="s">
        <v>151</v>
      </c>
      <c r="G488" s="27" t="s">
        <v>63</v>
      </c>
      <c r="H488" s="27" t="s">
        <v>51</v>
      </c>
      <c r="I488" s="27" t="s">
        <v>611</v>
      </c>
      <c r="J488" s="27" t="s">
        <v>115</v>
      </c>
      <c r="K488" s="27">
        <v>967</v>
      </c>
      <c r="L488" s="27">
        <v>772</v>
      </c>
      <c r="M488" s="27">
        <v>731</v>
      </c>
      <c r="N488" s="27">
        <v>41</v>
      </c>
      <c r="O488" s="27">
        <v>15</v>
      </c>
      <c r="P488" s="27">
        <v>40</v>
      </c>
      <c r="Q488" s="27" t="s">
        <v>54</v>
      </c>
      <c r="R488" s="27">
        <v>42</v>
      </c>
      <c r="S488" s="27">
        <v>46</v>
      </c>
      <c r="T488" s="29">
        <v>72.2</v>
      </c>
      <c r="U488" s="29">
        <v>2.0499999999999998</v>
      </c>
      <c r="V488" s="29">
        <v>30.95</v>
      </c>
      <c r="W488" s="30">
        <v>14443.83</v>
      </c>
      <c r="X488" s="27">
        <v>7.75</v>
      </c>
      <c r="Y488" s="27" t="s">
        <v>55</v>
      </c>
      <c r="Z488" s="29">
        <v>38</v>
      </c>
      <c r="AA488" s="30">
        <v>23095.06</v>
      </c>
      <c r="AB488" s="29">
        <v>0.94689119170984504</v>
      </c>
      <c r="AC488" s="30">
        <v>18209.88</v>
      </c>
      <c r="AD488" s="30">
        <v>280.64436528497401</v>
      </c>
      <c r="AE488" s="27">
        <v>676.9</v>
      </c>
      <c r="AF488" s="29">
        <v>0.94090707637760396</v>
      </c>
      <c r="AG488" s="30">
        <v>4604.53563471503</v>
      </c>
      <c r="AH488" s="31">
        <f t="shared" si="113"/>
        <v>0.79834539813857286</v>
      </c>
      <c r="AI488" s="31">
        <f t="shared" si="114"/>
        <v>5.3108808290155442E-2</v>
      </c>
      <c r="AJ488" s="31">
        <f t="shared" si="115"/>
        <v>1.9430051813471502E-2</v>
      </c>
      <c r="AK488" s="31">
        <f t="shared" si="116"/>
        <v>0.94689119170984459</v>
      </c>
      <c r="AL488" s="29">
        <f t="shared" si="117"/>
        <v>0.66666666666666663</v>
      </c>
      <c r="AM488" s="29">
        <f t="shared" si="118"/>
        <v>636.9</v>
      </c>
      <c r="AN488" s="29">
        <f t="shared" si="119"/>
        <v>1.2121212121212122</v>
      </c>
      <c r="AO488" s="29">
        <f t="shared" si="120"/>
        <v>1.4285714285714286</v>
      </c>
      <c r="AP488" s="31">
        <f t="shared" si="121"/>
        <v>0.84848484848484851</v>
      </c>
      <c r="AQ488" s="31">
        <f t="shared" si="122"/>
        <v>0.94689119170984459</v>
      </c>
      <c r="AR488" s="31">
        <f t="shared" si="123"/>
        <v>0.75594622543950385</v>
      </c>
      <c r="AS488" s="29">
        <f t="shared" si="124"/>
        <v>23.587927461139898</v>
      </c>
      <c r="AT488" s="29">
        <f t="shared" si="125"/>
        <v>5.9644243972992621</v>
      </c>
      <c r="AU488" s="27" t="str">
        <f t="shared" si="126"/>
        <v>High</v>
      </c>
      <c r="AV488" s="27" t="str">
        <f t="shared" si="127"/>
        <v>Warning</v>
      </c>
      <c r="AW488" s="27"/>
    </row>
    <row r="489" spans="1:49" x14ac:dyDescent="0.25">
      <c r="A489" s="27">
        <v>488</v>
      </c>
      <c r="B489" s="28">
        <v>46079</v>
      </c>
      <c r="C489" s="28" t="str">
        <f t="shared" si="112"/>
        <v>February</v>
      </c>
      <c r="D489" s="27" t="s">
        <v>67</v>
      </c>
      <c r="E489" s="27" t="s">
        <v>76</v>
      </c>
      <c r="F489" s="27" t="s">
        <v>119</v>
      </c>
      <c r="G489" s="27" t="s">
        <v>63</v>
      </c>
      <c r="H489" s="27" t="s">
        <v>79</v>
      </c>
      <c r="I489" s="27" t="s">
        <v>612</v>
      </c>
      <c r="J489" s="27" t="s">
        <v>65</v>
      </c>
      <c r="K489" s="27">
        <v>776</v>
      </c>
      <c r="L489" s="27">
        <v>747</v>
      </c>
      <c r="M489" s="27">
        <v>674</v>
      </c>
      <c r="N489" s="27">
        <v>73</v>
      </c>
      <c r="O489" s="27">
        <v>14</v>
      </c>
      <c r="P489" s="27">
        <v>15</v>
      </c>
      <c r="Q489" s="27" t="s">
        <v>91</v>
      </c>
      <c r="R489" s="27">
        <v>49</v>
      </c>
      <c r="S489" s="27">
        <v>50</v>
      </c>
      <c r="T489" s="29">
        <v>70.7</v>
      </c>
      <c r="U489" s="29">
        <v>2.57</v>
      </c>
      <c r="V489" s="29">
        <v>23.68</v>
      </c>
      <c r="W489" s="30">
        <v>16600.12</v>
      </c>
      <c r="X489" s="27">
        <v>7.76</v>
      </c>
      <c r="Y489" s="27" t="s">
        <v>110</v>
      </c>
      <c r="Z489" s="29">
        <v>34</v>
      </c>
      <c r="AA489" s="30">
        <v>25989.200000000001</v>
      </c>
      <c r="AB489" s="29">
        <v>0.90227576974564905</v>
      </c>
      <c r="AC489" s="30">
        <v>20305.240000000002</v>
      </c>
      <c r="AD489" s="30">
        <v>311.11336010709499</v>
      </c>
      <c r="AE489" s="27">
        <v>633.73333333333301</v>
      </c>
      <c r="AF489" s="29">
        <v>0.97633073848095897</v>
      </c>
      <c r="AG489" s="30">
        <v>5372.8466398929104</v>
      </c>
      <c r="AH489" s="31">
        <f t="shared" si="113"/>
        <v>0.96262886597938147</v>
      </c>
      <c r="AI489" s="31">
        <f t="shared" si="114"/>
        <v>9.772423025435073E-2</v>
      </c>
      <c r="AJ489" s="31">
        <f t="shared" si="115"/>
        <v>1.8741633199464525E-2</v>
      </c>
      <c r="AK489" s="31">
        <f t="shared" si="116"/>
        <v>0.90227576974564927</v>
      </c>
      <c r="AL489" s="29">
        <f t="shared" si="117"/>
        <v>0.25</v>
      </c>
      <c r="AM489" s="29">
        <f t="shared" si="118"/>
        <v>618.73333333333301</v>
      </c>
      <c r="AN489" s="29">
        <f t="shared" si="119"/>
        <v>1.2073052472793886</v>
      </c>
      <c r="AO489" s="29">
        <f t="shared" si="120"/>
        <v>1.2244897959183674</v>
      </c>
      <c r="AP489" s="31">
        <f t="shared" si="121"/>
        <v>0.98596595194483405</v>
      </c>
      <c r="AQ489" s="31">
        <f t="shared" si="122"/>
        <v>0.90227576974564927</v>
      </c>
      <c r="AR489" s="31">
        <f t="shared" si="123"/>
        <v>0.86855670103092797</v>
      </c>
      <c r="AS489" s="29">
        <f t="shared" si="124"/>
        <v>27.182382864792505</v>
      </c>
      <c r="AT489" s="29">
        <f t="shared" si="125"/>
        <v>7.1925657829891705</v>
      </c>
      <c r="AU489" s="27" t="str">
        <f t="shared" si="126"/>
        <v>Medium</v>
      </c>
      <c r="AV489" s="27" t="str">
        <f t="shared" si="127"/>
        <v>Warning</v>
      </c>
      <c r="AW489" s="27"/>
    </row>
    <row r="490" spans="1:49" x14ac:dyDescent="0.25">
      <c r="A490" s="27">
        <v>489</v>
      </c>
      <c r="B490" s="28">
        <v>46155</v>
      </c>
      <c r="C490" s="28" t="str">
        <f t="shared" si="112"/>
        <v>May</v>
      </c>
      <c r="D490" s="27" t="s">
        <v>67</v>
      </c>
      <c r="E490" s="27" t="s">
        <v>61</v>
      </c>
      <c r="F490" s="27" t="s">
        <v>95</v>
      </c>
      <c r="G490" s="27" t="s">
        <v>78</v>
      </c>
      <c r="H490" s="27" t="s">
        <v>68</v>
      </c>
      <c r="I490" s="27" t="s">
        <v>613</v>
      </c>
      <c r="J490" s="27" t="s">
        <v>101</v>
      </c>
      <c r="K490" s="27">
        <v>600</v>
      </c>
      <c r="L490" s="27">
        <v>581</v>
      </c>
      <c r="M490" s="27">
        <v>545</v>
      </c>
      <c r="N490" s="27">
        <v>36</v>
      </c>
      <c r="O490" s="27">
        <v>15</v>
      </c>
      <c r="P490" s="27">
        <v>36</v>
      </c>
      <c r="Q490" s="27" t="s">
        <v>97</v>
      </c>
      <c r="R490" s="27">
        <v>64</v>
      </c>
      <c r="S490" s="27">
        <v>68</v>
      </c>
      <c r="T490" s="29">
        <v>77.3</v>
      </c>
      <c r="U490" s="29">
        <v>2.5099999999999998</v>
      </c>
      <c r="V490" s="29">
        <v>20.56</v>
      </c>
      <c r="W490" s="30">
        <v>17415.150000000001</v>
      </c>
      <c r="X490" s="27">
        <v>7.86</v>
      </c>
      <c r="Y490" s="27" t="s">
        <v>66</v>
      </c>
      <c r="Z490" s="29">
        <v>19</v>
      </c>
      <c r="AA490" s="30">
        <v>28831.88</v>
      </c>
      <c r="AB490" s="29">
        <v>0.93803786574870895</v>
      </c>
      <c r="AC490" s="30">
        <v>21137.19</v>
      </c>
      <c r="AD490" s="30">
        <v>449.61660929432003</v>
      </c>
      <c r="AE490" s="27">
        <v>640</v>
      </c>
      <c r="AF490" s="29">
        <v>0.94374999999999998</v>
      </c>
      <c r="AG490" s="30">
        <v>7245.0733907056801</v>
      </c>
      <c r="AH490" s="31">
        <f t="shared" si="113"/>
        <v>0.96833333333333338</v>
      </c>
      <c r="AI490" s="31">
        <f t="shared" si="114"/>
        <v>6.1962134251290879E-2</v>
      </c>
      <c r="AJ490" s="31">
        <f t="shared" si="115"/>
        <v>2.5817555938037865E-2</v>
      </c>
      <c r="AK490" s="31">
        <f t="shared" si="116"/>
        <v>0.93803786574870918</v>
      </c>
      <c r="AL490" s="29">
        <f t="shared" si="117"/>
        <v>0.6</v>
      </c>
      <c r="AM490" s="29">
        <f t="shared" si="118"/>
        <v>604</v>
      </c>
      <c r="AN490" s="29">
        <f t="shared" si="119"/>
        <v>0.96192052980132448</v>
      </c>
      <c r="AO490" s="29">
        <f t="shared" si="120"/>
        <v>0.9375</v>
      </c>
      <c r="AP490" s="31">
        <f t="shared" si="121"/>
        <v>1.0260485651214128</v>
      </c>
      <c r="AQ490" s="31">
        <f t="shared" si="122"/>
        <v>0.93803786574870918</v>
      </c>
      <c r="AR490" s="31">
        <f t="shared" si="123"/>
        <v>0.90833333333333344</v>
      </c>
      <c r="AS490" s="29">
        <f t="shared" si="124"/>
        <v>36.380705679862302</v>
      </c>
      <c r="AT490" s="29">
        <f t="shared" si="125"/>
        <v>12.470005835982239</v>
      </c>
      <c r="AU490" s="27" t="str">
        <f t="shared" si="126"/>
        <v>Low</v>
      </c>
      <c r="AV490" s="27" t="str">
        <f t="shared" si="127"/>
        <v>Normal</v>
      </c>
      <c r="AW490" s="27"/>
    </row>
    <row r="491" spans="1:49" x14ac:dyDescent="0.25">
      <c r="A491" s="27">
        <v>490</v>
      </c>
      <c r="B491" s="28">
        <v>46189</v>
      </c>
      <c r="C491" s="28" t="str">
        <f t="shared" si="112"/>
        <v>June</v>
      </c>
      <c r="D491" s="27" t="s">
        <v>47</v>
      </c>
      <c r="E491" s="27" t="s">
        <v>129</v>
      </c>
      <c r="F491" s="27" t="s">
        <v>151</v>
      </c>
      <c r="G491" s="27" t="s">
        <v>63</v>
      </c>
      <c r="H491" s="27" t="s">
        <v>68</v>
      </c>
      <c r="I491" s="27" t="s">
        <v>614</v>
      </c>
      <c r="J491" s="27" t="s">
        <v>132</v>
      </c>
      <c r="K491" s="27">
        <v>665</v>
      </c>
      <c r="L491" s="27">
        <v>549</v>
      </c>
      <c r="M491" s="27">
        <v>501</v>
      </c>
      <c r="N491" s="27">
        <v>48</v>
      </c>
      <c r="O491" s="27">
        <v>12</v>
      </c>
      <c r="P491" s="27">
        <v>44</v>
      </c>
      <c r="Q491" s="27" t="s">
        <v>97</v>
      </c>
      <c r="R491" s="27">
        <v>64</v>
      </c>
      <c r="S491" s="27">
        <v>68</v>
      </c>
      <c r="T491" s="29">
        <v>76.3</v>
      </c>
      <c r="U491" s="29">
        <v>3.22</v>
      </c>
      <c r="V491" s="29">
        <v>25.27</v>
      </c>
      <c r="W491" s="30">
        <v>17096.05</v>
      </c>
      <c r="X491" s="27">
        <v>6.16</v>
      </c>
      <c r="Y491" s="27" t="s">
        <v>71</v>
      </c>
      <c r="Z491" s="29">
        <v>46</v>
      </c>
      <c r="AA491" s="30">
        <v>25968.58</v>
      </c>
      <c r="AB491" s="29">
        <v>0.91256830601092898</v>
      </c>
      <c r="AC491" s="30">
        <v>20095.48</v>
      </c>
      <c r="AD491" s="30">
        <v>373.68415300546502</v>
      </c>
      <c r="AE491" s="27">
        <v>709.33333333333303</v>
      </c>
      <c r="AF491" s="29">
        <v>0.93796992481203001</v>
      </c>
      <c r="AG491" s="30">
        <v>5499.4158469945396</v>
      </c>
      <c r="AH491" s="31">
        <f t="shared" si="113"/>
        <v>0.82556390977443606</v>
      </c>
      <c r="AI491" s="31">
        <f t="shared" si="114"/>
        <v>8.7431693989071038E-2</v>
      </c>
      <c r="AJ491" s="31">
        <f t="shared" si="115"/>
        <v>2.185792349726776E-2</v>
      </c>
      <c r="AK491" s="31">
        <f t="shared" si="116"/>
        <v>0.91256830601092898</v>
      </c>
      <c r="AL491" s="29">
        <f t="shared" si="117"/>
        <v>0.73333333333333328</v>
      </c>
      <c r="AM491" s="29">
        <f t="shared" si="118"/>
        <v>665.33333333333303</v>
      </c>
      <c r="AN491" s="29">
        <f t="shared" si="119"/>
        <v>0.82515030060120276</v>
      </c>
      <c r="AO491" s="29">
        <f t="shared" si="120"/>
        <v>0.9375</v>
      </c>
      <c r="AP491" s="31">
        <f t="shared" si="121"/>
        <v>0.88016032064128291</v>
      </c>
      <c r="AQ491" s="31">
        <f t="shared" si="122"/>
        <v>0.91256830601092898</v>
      </c>
      <c r="AR491" s="31">
        <f t="shared" si="123"/>
        <v>0.75338345864661682</v>
      </c>
      <c r="AS491" s="29">
        <f t="shared" si="124"/>
        <v>36.603788706739529</v>
      </c>
      <c r="AT491" s="29">
        <f t="shared" si="125"/>
        <v>10.017150905272386</v>
      </c>
      <c r="AU491" s="27" t="str">
        <f t="shared" si="126"/>
        <v>High</v>
      </c>
      <c r="AV491" s="27" t="str">
        <f t="shared" si="127"/>
        <v>Warning</v>
      </c>
      <c r="AW491" s="27"/>
    </row>
    <row r="492" spans="1:49" x14ac:dyDescent="0.25">
      <c r="A492" s="27">
        <v>491</v>
      </c>
      <c r="B492" s="28">
        <v>46156</v>
      </c>
      <c r="C492" s="28" t="str">
        <f t="shared" si="112"/>
        <v>May</v>
      </c>
      <c r="D492" s="27" t="s">
        <v>47</v>
      </c>
      <c r="E492" s="27" t="s">
        <v>98</v>
      </c>
      <c r="F492" s="27" t="s">
        <v>99</v>
      </c>
      <c r="G492" s="27" t="s">
        <v>78</v>
      </c>
      <c r="H492" s="27" t="s">
        <v>51</v>
      </c>
      <c r="I492" s="27" t="s">
        <v>615</v>
      </c>
      <c r="J492" s="27" t="s">
        <v>115</v>
      </c>
      <c r="K492" s="27">
        <v>836</v>
      </c>
      <c r="L492" s="27">
        <v>745</v>
      </c>
      <c r="M492" s="27">
        <v>700</v>
      </c>
      <c r="N492" s="27">
        <v>45</v>
      </c>
      <c r="O492" s="27">
        <v>14</v>
      </c>
      <c r="P492" s="27">
        <v>22</v>
      </c>
      <c r="Q492" s="27" t="s">
        <v>102</v>
      </c>
      <c r="R492" s="27">
        <v>42</v>
      </c>
      <c r="S492" s="27">
        <v>45</v>
      </c>
      <c r="T492" s="29">
        <v>73.8</v>
      </c>
      <c r="U492" s="29">
        <v>2.13</v>
      </c>
      <c r="V492" s="29">
        <v>22.42</v>
      </c>
      <c r="W492" s="30">
        <v>13924.2</v>
      </c>
      <c r="X492" s="27">
        <v>8.1300000000000008</v>
      </c>
      <c r="Y492" s="27" t="s">
        <v>55</v>
      </c>
      <c r="Z492" s="29">
        <v>20</v>
      </c>
      <c r="AA492" s="30">
        <v>22449.64</v>
      </c>
      <c r="AB492" s="29">
        <v>0.93959731543624203</v>
      </c>
      <c r="AC492" s="30">
        <v>17784.48</v>
      </c>
      <c r="AD492" s="30">
        <v>261.66281879194599</v>
      </c>
      <c r="AE492" s="27">
        <v>585.20000000000005</v>
      </c>
      <c r="AF492" s="29">
        <v>0.96240601503759404</v>
      </c>
      <c r="AG492" s="30">
        <v>4403.4971812080503</v>
      </c>
      <c r="AH492" s="31">
        <f t="shared" si="113"/>
        <v>0.89114832535885169</v>
      </c>
      <c r="AI492" s="31">
        <f t="shared" si="114"/>
        <v>6.0402684563758392E-2</v>
      </c>
      <c r="AJ492" s="31">
        <f t="shared" si="115"/>
        <v>1.8791946308724831E-2</v>
      </c>
      <c r="AK492" s="31">
        <f t="shared" si="116"/>
        <v>0.93959731543624159</v>
      </c>
      <c r="AL492" s="29">
        <f t="shared" si="117"/>
        <v>0.36666666666666664</v>
      </c>
      <c r="AM492" s="29">
        <f t="shared" si="118"/>
        <v>563.20000000000005</v>
      </c>
      <c r="AN492" s="29">
        <f t="shared" si="119"/>
        <v>1.3227982954545454</v>
      </c>
      <c r="AO492" s="29">
        <f t="shared" si="120"/>
        <v>1.4285714285714286</v>
      </c>
      <c r="AP492" s="31">
        <f t="shared" si="121"/>
        <v>0.92595880681818177</v>
      </c>
      <c r="AQ492" s="31">
        <f t="shared" si="122"/>
        <v>0.93959731543624159</v>
      </c>
      <c r="AR492" s="31">
        <f t="shared" si="123"/>
        <v>0.83732057416267947</v>
      </c>
      <c r="AS492" s="29">
        <f t="shared" si="124"/>
        <v>23.871785234899328</v>
      </c>
      <c r="AT492" s="29">
        <f t="shared" si="125"/>
        <v>5.9107344714202021</v>
      </c>
      <c r="AU492" s="27" t="str">
        <f t="shared" si="126"/>
        <v>Medium</v>
      </c>
      <c r="AV492" s="27" t="str">
        <f t="shared" si="127"/>
        <v>Warning</v>
      </c>
      <c r="AW492" s="27"/>
    </row>
    <row r="493" spans="1:49" x14ac:dyDescent="0.25">
      <c r="A493" s="27">
        <v>492</v>
      </c>
      <c r="B493" s="28">
        <v>46036</v>
      </c>
      <c r="C493" s="28" t="str">
        <f t="shared" si="112"/>
        <v>January</v>
      </c>
      <c r="D493" s="27" t="s">
        <v>67</v>
      </c>
      <c r="E493" s="27" t="s">
        <v>48</v>
      </c>
      <c r="F493" s="27" t="s">
        <v>72</v>
      </c>
      <c r="G493" s="27" t="s">
        <v>63</v>
      </c>
      <c r="H493" s="27" t="s">
        <v>79</v>
      </c>
      <c r="I493" s="27" t="s">
        <v>616</v>
      </c>
      <c r="J493" s="27" t="s">
        <v>84</v>
      </c>
      <c r="K493" s="27">
        <v>721</v>
      </c>
      <c r="L493" s="27">
        <v>655</v>
      </c>
      <c r="M493" s="27">
        <v>627</v>
      </c>
      <c r="N493" s="27">
        <v>28</v>
      </c>
      <c r="O493" s="27">
        <v>10</v>
      </c>
      <c r="P493" s="27">
        <v>0</v>
      </c>
      <c r="Q493" s="27" t="s">
        <v>60</v>
      </c>
      <c r="R493" s="27">
        <v>49</v>
      </c>
      <c r="S493" s="27">
        <v>49</v>
      </c>
      <c r="T493" s="29">
        <v>77.3</v>
      </c>
      <c r="U493" s="29">
        <v>2.06</v>
      </c>
      <c r="V493" s="29">
        <v>22.11</v>
      </c>
      <c r="W493" s="30">
        <v>14563.79</v>
      </c>
      <c r="X493" s="27">
        <v>8.44</v>
      </c>
      <c r="Y493" s="27" t="s">
        <v>66</v>
      </c>
      <c r="Z493" s="29">
        <v>20</v>
      </c>
      <c r="AA493" s="30">
        <v>24529.68</v>
      </c>
      <c r="AB493" s="29">
        <v>0.95725190839694696</v>
      </c>
      <c r="AC493" s="30">
        <v>18560.78</v>
      </c>
      <c r="AD493" s="30">
        <v>222.34793893129799</v>
      </c>
      <c r="AE493" s="27">
        <v>588.81666666666695</v>
      </c>
      <c r="AF493" s="29">
        <v>1</v>
      </c>
      <c r="AG493" s="30">
        <v>5746.5520610686999</v>
      </c>
      <c r="AH493" s="31">
        <f t="shared" si="113"/>
        <v>0.90846047156726772</v>
      </c>
      <c r="AI493" s="31">
        <f t="shared" si="114"/>
        <v>4.2748091603053436E-2</v>
      </c>
      <c r="AJ493" s="31">
        <f t="shared" si="115"/>
        <v>1.5267175572519083E-2</v>
      </c>
      <c r="AK493" s="31">
        <f t="shared" si="116"/>
        <v>0.95725190839694652</v>
      </c>
      <c r="AL493" s="29">
        <f t="shared" si="117"/>
        <v>0</v>
      </c>
      <c r="AM493" s="29">
        <f t="shared" si="118"/>
        <v>588.81666666666695</v>
      </c>
      <c r="AN493" s="29">
        <f t="shared" si="119"/>
        <v>1.1124005774293069</v>
      </c>
      <c r="AO493" s="29">
        <f t="shared" si="120"/>
        <v>1.2244897959183674</v>
      </c>
      <c r="AP493" s="31">
        <f t="shared" si="121"/>
        <v>0.90846047156726728</v>
      </c>
      <c r="AQ493" s="31">
        <f t="shared" si="122"/>
        <v>0.95725190839694652</v>
      </c>
      <c r="AR493" s="31">
        <f t="shared" si="123"/>
        <v>0.86962552011095662</v>
      </c>
      <c r="AS493" s="29">
        <f t="shared" si="124"/>
        <v>28.337068702290075</v>
      </c>
      <c r="AT493" s="29">
        <f t="shared" si="125"/>
        <v>8.7733619252957258</v>
      </c>
      <c r="AU493" s="27" t="str">
        <f t="shared" si="126"/>
        <v>Low</v>
      </c>
      <c r="AV493" s="27" t="str">
        <f t="shared" si="127"/>
        <v>Normal</v>
      </c>
      <c r="AW493" s="27"/>
    </row>
    <row r="494" spans="1:49" x14ac:dyDescent="0.25">
      <c r="A494" s="27">
        <v>493</v>
      </c>
      <c r="B494" s="28">
        <v>46087</v>
      </c>
      <c r="C494" s="28" t="str">
        <f t="shared" si="112"/>
        <v>March</v>
      </c>
      <c r="D494" s="27" t="s">
        <v>67</v>
      </c>
      <c r="E494" s="27" t="s">
        <v>76</v>
      </c>
      <c r="F494" s="27" t="s">
        <v>119</v>
      </c>
      <c r="G494" s="27" t="s">
        <v>63</v>
      </c>
      <c r="H494" s="27" t="s">
        <v>51</v>
      </c>
      <c r="I494" s="27" t="s">
        <v>617</v>
      </c>
      <c r="J494" s="27" t="s">
        <v>81</v>
      </c>
      <c r="K494" s="27">
        <v>967</v>
      </c>
      <c r="L494" s="27">
        <v>890</v>
      </c>
      <c r="M494" s="27">
        <v>798</v>
      </c>
      <c r="N494" s="27">
        <v>92</v>
      </c>
      <c r="O494" s="27">
        <v>27</v>
      </c>
      <c r="P494" s="27">
        <v>23</v>
      </c>
      <c r="Q494" s="27" t="s">
        <v>75</v>
      </c>
      <c r="R494" s="27">
        <v>42</v>
      </c>
      <c r="S494" s="27">
        <v>44</v>
      </c>
      <c r="T494" s="29">
        <v>70.400000000000006</v>
      </c>
      <c r="U494" s="29">
        <v>0.99</v>
      </c>
      <c r="V494" s="29">
        <v>30.31</v>
      </c>
      <c r="W494" s="30">
        <v>16406.73</v>
      </c>
      <c r="X494" s="27">
        <v>7.12</v>
      </c>
      <c r="Y494" s="27" t="s">
        <v>55</v>
      </c>
      <c r="Z494" s="29">
        <v>33</v>
      </c>
      <c r="AA494" s="30">
        <v>25431.84</v>
      </c>
      <c r="AB494" s="29">
        <v>0.89662921348314595</v>
      </c>
      <c r="AC494" s="30">
        <v>19883.52</v>
      </c>
      <c r="AD494" s="30">
        <v>497.73225842696598</v>
      </c>
      <c r="AE494" s="27">
        <v>676.9</v>
      </c>
      <c r="AF494" s="29">
        <v>0.96602156891712199</v>
      </c>
      <c r="AG494" s="30">
        <v>5050.5877415730301</v>
      </c>
      <c r="AH494" s="31">
        <f t="shared" si="113"/>
        <v>0.9203722854188211</v>
      </c>
      <c r="AI494" s="31">
        <f t="shared" si="114"/>
        <v>0.10337078651685393</v>
      </c>
      <c r="AJ494" s="31">
        <f t="shared" si="115"/>
        <v>3.0337078651685393E-2</v>
      </c>
      <c r="AK494" s="31">
        <f t="shared" si="116"/>
        <v>0.89662921348314606</v>
      </c>
      <c r="AL494" s="29">
        <f t="shared" si="117"/>
        <v>0.38333333333333336</v>
      </c>
      <c r="AM494" s="29">
        <f t="shared" si="118"/>
        <v>653.9</v>
      </c>
      <c r="AN494" s="29">
        <f t="shared" si="119"/>
        <v>1.3610643829331703</v>
      </c>
      <c r="AO494" s="29">
        <f t="shared" si="120"/>
        <v>1.4285714285714286</v>
      </c>
      <c r="AP494" s="31">
        <f t="shared" si="121"/>
        <v>0.95274506805321924</v>
      </c>
      <c r="AQ494" s="31">
        <f t="shared" si="122"/>
        <v>0.89662921348314606</v>
      </c>
      <c r="AR494" s="31">
        <f t="shared" si="123"/>
        <v>0.82523267838676306</v>
      </c>
      <c r="AS494" s="29">
        <f t="shared" si="124"/>
        <v>22.341033707865169</v>
      </c>
      <c r="AT494" s="29">
        <f t="shared" si="125"/>
        <v>5.6748176871607079</v>
      </c>
      <c r="AU494" s="27" t="str">
        <f t="shared" si="126"/>
        <v>Medium</v>
      </c>
      <c r="AV494" s="27" t="str">
        <f t="shared" si="127"/>
        <v>Warning</v>
      </c>
      <c r="AW494" s="27"/>
    </row>
    <row r="495" spans="1:49" x14ac:dyDescent="0.25">
      <c r="A495" s="27">
        <v>494</v>
      </c>
      <c r="B495" s="28">
        <v>46100</v>
      </c>
      <c r="C495" s="28" t="str">
        <f t="shared" si="112"/>
        <v>March</v>
      </c>
      <c r="D495" s="27" t="s">
        <v>47</v>
      </c>
      <c r="E495" s="27" t="s">
        <v>61</v>
      </c>
      <c r="F495" s="27" t="s">
        <v>62</v>
      </c>
      <c r="G495" s="27" t="s">
        <v>63</v>
      </c>
      <c r="H495" s="27" t="s">
        <v>124</v>
      </c>
      <c r="I495" s="27" t="s">
        <v>618</v>
      </c>
      <c r="J495" s="27" t="s">
        <v>134</v>
      </c>
      <c r="K495" s="27">
        <v>569</v>
      </c>
      <c r="L495" s="27">
        <v>569</v>
      </c>
      <c r="M495" s="27">
        <v>546</v>
      </c>
      <c r="N495" s="27">
        <v>23</v>
      </c>
      <c r="O495" s="27">
        <v>8</v>
      </c>
      <c r="P495" s="27">
        <v>25</v>
      </c>
      <c r="Q495" s="27" t="s">
        <v>94</v>
      </c>
      <c r="R495" s="27">
        <v>57</v>
      </c>
      <c r="S495" s="27">
        <v>57</v>
      </c>
      <c r="T495" s="29">
        <v>69.7</v>
      </c>
      <c r="U495" s="29">
        <v>2.0099999999999998</v>
      </c>
      <c r="V495" s="29">
        <v>21.19</v>
      </c>
      <c r="W495" s="30">
        <v>15002.3</v>
      </c>
      <c r="X495" s="27">
        <v>9.73</v>
      </c>
      <c r="Y495" s="27" t="s">
        <v>110</v>
      </c>
      <c r="Z495" s="29">
        <v>36</v>
      </c>
      <c r="AA495" s="30">
        <v>25646.99</v>
      </c>
      <c r="AB495" s="29">
        <v>0.95957820738137101</v>
      </c>
      <c r="AC495" s="30">
        <v>19571.509999999998</v>
      </c>
      <c r="AD495" s="30">
        <v>210.92864674868201</v>
      </c>
      <c r="AE495" s="27">
        <v>540.54999999999995</v>
      </c>
      <c r="AF495" s="29">
        <v>0.953750809360836</v>
      </c>
      <c r="AG495" s="30">
        <v>5864.5513532513196</v>
      </c>
      <c r="AH495" s="31">
        <f t="shared" si="113"/>
        <v>1</v>
      </c>
      <c r="AI495" s="31">
        <f t="shared" si="114"/>
        <v>4.0421792618629174E-2</v>
      </c>
      <c r="AJ495" s="31">
        <f t="shared" si="115"/>
        <v>1.4059753954305799E-2</v>
      </c>
      <c r="AK495" s="31">
        <f t="shared" si="116"/>
        <v>0.95957820738137078</v>
      </c>
      <c r="AL495" s="29">
        <f t="shared" si="117"/>
        <v>0.41666666666666669</v>
      </c>
      <c r="AM495" s="29">
        <f t="shared" si="118"/>
        <v>515.54999999999995</v>
      </c>
      <c r="AN495" s="29">
        <f t="shared" si="119"/>
        <v>1.1036756861604113</v>
      </c>
      <c r="AO495" s="29">
        <f t="shared" si="120"/>
        <v>1.0526315789473684</v>
      </c>
      <c r="AP495" s="31">
        <f t="shared" si="121"/>
        <v>1.0484919018523908</v>
      </c>
      <c r="AQ495" s="31">
        <f t="shared" si="122"/>
        <v>0.95957820738137078</v>
      </c>
      <c r="AR495" s="31">
        <f t="shared" si="123"/>
        <v>0.95957820738137078</v>
      </c>
      <c r="AS495" s="29">
        <f t="shared" si="124"/>
        <v>34.396326889279436</v>
      </c>
      <c r="AT495" s="29">
        <f t="shared" si="125"/>
        <v>10.306768634888083</v>
      </c>
      <c r="AU495" s="27" t="str">
        <f t="shared" si="126"/>
        <v>Medium</v>
      </c>
      <c r="AV495" s="27" t="str">
        <f t="shared" si="127"/>
        <v>Normal</v>
      </c>
      <c r="AW495" s="27"/>
    </row>
    <row r="496" spans="1:49" x14ac:dyDescent="0.25">
      <c r="A496" s="27">
        <v>495</v>
      </c>
      <c r="B496" s="28">
        <v>46179</v>
      </c>
      <c r="C496" s="28" t="str">
        <f t="shared" si="112"/>
        <v>June</v>
      </c>
      <c r="D496" s="27" t="s">
        <v>47</v>
      </c>
      <c r="E496" s="27" t="s">
        <v>129</v>
      </c>
      <c r="F496" s="27" t="s">
        <v>130</v>
      </c>
      <c r="G496" s="27" t="s">
        <v>78</v>
      </c>
      <c r="H496" s="27" t="s">
        <v>57</v>
      </c>
      <c r="I496" s="27" t="s">
        <v>619</v>
      </c>
      <c r="J496" s="27" t="s">
        <v>107</v>
      </c>
      <c r="K496" s="27">
        <v>817</v>
      </c>
      <c r="L496" s="27">
        <v>588</v>
      </c>
      <c r="M496" s="27">
        <v>511</v>
      </c>
      <c r="N496" s="27">
        <v>77</v>
      </c>
      <c r="O496" s="27">
        <v>15</v>
      </c>
      <c r="P496" s="27">
        <v>68</v>
      </c>
      <c r="Q496" s="27" t="s">
        <v>75</v>
      </c>
      <c r="R496" s="27">
        <v>45</v>
      </c>
      <c r="S496" s="27">
        <v>51</v>
      </c>
      <c r="T496" s="29">
        <v>75</v>
      </c>
      <c r="U496" s="29">
        <v>2.48</v>
      </c>
      <c r="V496" s="29">
        <v>23.73</v>
      </c>
      <c r="W496" s="30">
        <v>11533.17</v>
      </c>
      <c r="X496" s="27">
        <v>6.27</v>
      </c>
      <c r="Y496" s="27" t="s">
        <v>55</v>
      </c>
      <c r="Z496" s="29">
        <v>35</v>
      </c>
      <c r="AA496" s="30">
        <v>18226.82</v>
      </c>
      <c r="AB496" s="29">
        <v>0.86904761904761896</v>
      </c>
      <c r="AC496" s="30">
        <v>14568.24</v>
      </c>
      <c r="AD496" s="30">
        <v>294.21352040816299</v>
      </c>
      <c r="AE496" s="27">
        <v>612.75</v>
      </c>
      <c r="AF496" s="29">
        <v>0.88902488780089794</v>
      </c>
      <c r="AG496" s="30">
        <v>3364.3664795918398</v>
      </c>
      <c r="AH496" s="31">
        <f t="shared" si="113"/>
        <v>0.7197062423500612</v>
      </c>
      <c r="AI496" s="31">
        <f t="shared" si="114"/>
        <v>0.13095238095238096</v>
      </c>
      <c r="AJ496" s="31">
        <f t="shared" si="115"/>
        <v>2.5510204081632654E-2</v>
      </c>
      <c r="AK496" s="31">
        <f t="shared" si="116"/>
        <v>0.86904761904761907</v>
      </c>
      <c r="AL496" s="29">
        <f t="shared" si="117"/>
        <v>1.1333333333333333</v>
      </c>
      <c r="AM496" s="29">
        <f t="shared" si="118"/>
        <v>544.75</v>
      </c>
      <c r="AN496" s="29">
        <f t="shared" si="119"/>
        <v>1.0793942175309774</v>
      </c>
      <c r="AO496" s="29">
        <f t="shared" si="120"/>
        <v>1.3333333333333333</v>
      </c>
      <c r="AP496" s="31">
        <f t="shared" si="121"/>
        <v>0.80954566314823306</v>
      </c>
      <c r="AQ496" s="31">
        <f t="shared" si="122"/>
        <v>0.86904761904761907</v>
      </c>
      <c r="AR496" s="31">
        <f t="shared" si="123"/>
        <v>0.62545899632802959</v>
      </c>
      <c r="AS496" s="29">
        <f t="shared" si="124"/>
        <v>24.775918367346939</v>
      </c>
      <c r="AT496" s="29">
        <f t="shared" si="125"/>
        <v>5.7217116999861224</v>
      </c>
      <c r="AU496" s="27" t="str">
        <f t="shared" si="126"/>
        <v>High</v>
      </c>
      <c r="AV496" s="27" t="str">
        <f t="shared" si="127"/>
        <v>Critical</v>
      </c>
      <c r="AW496" s="27"/>
    </row>
    <row r="497" spans="1:49" x14ac:dyDescent="0.25">
      <c r="A497" s="27">
        <v>496</v>
      </c>
      <c r="B497" s="28">
        <v>46074</v>
      </c>
      <c r="C497" s="28" t="str">
        <f t="shared" si="112"/>
        <v>February</v>
      </c>
      <c r="D497" s="27" t="s">
        <v>47</v>
      </c>
      <c r="E497" s="27" t="s">
        <v>129</v>
      </c>
      <c r="F497" s="27" t="s">
        <v>151</v>
      </c>
      <c r="G497" s="27" t="s">
        <v>78</v>
      </c>
      <c r="H497" s="27" t="s">
        <v>51</v>
      </c>
      <c r="I497" s="27" t="s">
        <v>620</v>
      </c>
      <c r="J497" s="27" t="s">
        <v>74</v>
      </c>
      <c r="K497" s="27">
        <v>915</v>
      </c>
      <c r="L497" s="27">
        <v>728</v>
      </c>
      <c r="M497" s="27">
        <v>686</v>
      </c>
      <c r="N497" s="27">
        <v>42</v>
      </c>
      <c r="O497" s="27">
        <v>11</v>
      </c>
      <c r="P497" s="27">
        <v>17</v>
      </c>
      <c r="Q497" s="27" t="s">
        <v>54</v>
      </c>
      <c r="R497" s="27">
        <v>42</v>
      </c>
      <c r="S497" s="27">
        <v>45</v>
      </c>
      <c r="T497" s="29">
        <v>73.5</v>
      </c>
      <c r="U497" s="29">
        <v>1.9</v>
      </c>
      <c r="V497" s="29">
        <v>26.01</v>
      </c>
      <c r="W497" s="30">
        <v>13419.31</v>
      </c>
      <c r="X497" s="27">
        <v>8.2799999999999994</v>
      </c>
      <c r="Y497" s="27" t="s">
        <v>55</v>
      </c>
      <c r="Z497" s="29">
        <v>38</v>
      </c>
      <c r="AA497" s="30">
        <v>22161.97</v>
      </c>
      <c r="AB497" s="29">
        <v>0.94230769230769196</v>
      </c>
      <c r="AC497" s="30">
        <v>17379.400000000001</v>
      </c>
      <c r="AD497" s="30">
        <v>202.764299450549</v>
      </c>
      <c r="AE497" s="27">
        <v>640.5</v>
      </c>
      <c r="AF497" s="29">
        <v>0.97345823575331802</v>
      </c>
      <c r="AG497" s="30">
        <v>4579.8057005494502</v>
      </c>
      <c r="AH497" s="31">
        <f t="shared" si="113"/>
        <v>0.7956284153005464</v>
      </c>
      <c r="AI497" s="31">
        <f t="shared" si="114"/>
        <v>5.7692307692307696E-2</v>
      </c>
      <c r="AJ497" s="31">
        <f t="shared" si="115"/>
        <v>1.510989010989011E-2</v>
      </c>
      <c r="AK497" s="31">
        <f t="shared" si="116"/>
        <v>0.94230769230769229</v>
      </c>
      <c r="AL497" s="29">
        <f t="shared" si="117"/>
        <v>0.28333333333333333</v>
      </c>
      <c r="AM497" s="29">
        <f t="shared" si="118"/>
        <v>623.5</v>
      </c>
      <c r="AN497" s="29">
        <f t="shared" si="119"/>
        <v>1.1676022453889334</v>
      </c>
      <c r="AO497" s="29">
        <f t="shared" si="120"/>
        <v>1.4285714285714286</v>
      </c>
      <c r="AP497" s="31">
        <f t="shared" si="121"/>
        <v>0.8173215717722534</v>
      </c>
      <c r="AQ497" s="31">
        <f t="shared" si="122"/>
        <v>0.94230769230769229</v>
      </c>
      <c r="AR497" s="31">
        <f t="shared" si="123"/>
        <v>0.74972677595628445</v>
      </c>
      <c r="AS497" s="29">
        <f t="shared" si="124"/>
        <v>23.872802197802201</v>
      </c>
      <c r="AT497" s="29">
        <f t="shared" si="125"/>
        <v>6.2909418963591346</v>
      </c>
      <c r="AU497" s="27" t="str">
        <f t="shared" si="126"/>
        <v>High</v>
      </c>
      <c r="AV497" s="27" t="str">
        <f t="shared" si="127"/>
        <v>Critical</v>
      </c>
      <c r="AW497" s="27"/>
    </row>
    <row r="498" spans="1:49" x14ac:dyDescent="0.25">
      <c r="A498" s="27">
        <v>497</v>
      </c>
      <c r="B498" s="28">
        <v>46199</v>
      </c>
      <c r="C498" s="28" t="str">
        <f t="shared" si="112"/>
        <v>June</v>
      </c>
      <c r="D498" s="27" t="s">
        <v>67</v>
      </c>
      <c r="E498" s="27" t="s">
        <v>98</v>
      </c>
      <c r="F498" s="27" t="s">
        <v>99</v>
      </c>
      <c r="G498" s="27" t="s">
        <v>78</v>
      </c>
      <c r="H498" s="27" t="s">
        <v>124</v>
      </c>
      <c r="I498" s="27" t="s">
        <v>621</v>
      </c>
      <c r="J498" s="27" t="s">
        <v>150</v>
      </c>
      <c r="K498" s="27">
        <v>545</v>
      </c>
      <c r="L498" s="27">
        <v>357</v>
      </c>
      <c r="M498" s="27">
        <v>334</v>
      </c>
      <c r="N498" s="27">
        <v>23</v>
      </c>
      <c r="O498" s="27">
        <v>9</v>
      </c>
      <c r="P498" s="27">
        <v>37</v>
      </c>
      <c r="Q498" s="27" t="s">
        <v>104</v>
      </c>
      <c r="R498" s="27">
        <v>57</v>
      </c>
      <c r="S498" s="27">
        <v>59</v>
      </c>
      <c r="T498" s="29">
        <v>73.8</v>
      </c>
      <c r="U498" s="29">
        <v>3.16</v>
      </c>
      <c r="V498" s="29">
        <v>16.22</v>
      </c>
      <c r="W498" s="30">
        <v>9904.7800000000007</v>
      </c>
      <c r="X498" s="27">
        <v>5.93</v>
      </c>
      <c r="Y498" s="27" t="s">
        <v>55</v>
      </c>
      <c r="Z498" s="29">
        <v>15</v>
      </c>
      <c r="AA498" s="30">
        <v>15205.3</v>
      </c>
      <c r="AB498" s="29">
        <v>0.93557422969187698</v>
      </c>
      <c r="AC498" s="30">
        <v>12719.26</v>
      </c>
      <c r="AD498" s="30">
        <v>249.70033613445401</v>
      </c>
      <c r="AE498" s="27">
        <v>517.75</v>
      </c>
      <c r="AF498" s="29">
        <v>0.92853693867696796</v>
      </c>
      <c r="AG498" s="30">
        <v>2236.3396638655499</v>
      </c>
      <c r="AH498" s="31">
        <f t="shared" si="113"/>
        <v>0.65504587155963301</v>
      </c>
      <c r="AI498" s="31">
        <f t="shared" si="114"/>
        <v>6.4425770308123242E-2</v>
      </c>
      <c r="AJ498" s="31">
        <f t="shared" si="115"/>
        <v>2.5210084033613446E-2</v>
      </c>
      <c r="AK498" s="31">
        <f t="shared" si="116"/>
        <v>0.93557422969187676</v>
      </c>
      <c r="AL498" s="29">
        <f t="shared" si="117"/>
        <v>0.6166666666666667</v>
      </c>
      <c r="AM498" s="29">
        <f t="shared" si="118"/>
        <v>480.75</v>
      </c>
      <c r="AN498" s="29">
        <f t="shared" si="119"/>
        <v>0.74258970358814358</v>
      </c>
      <c r="AO498" s="29">
        <f t="shared" si="120"/>
        <v>1.0526315789473684</v>
      </c>
      <c r="AP498" s="31">
        <f t="shared" si="121"/>
        <v>0.70546021840873641</v>
      </c>
      <c r="AQ498" s="31">
        <f t="shared" si="122"/>
        <v>0.93557422969187676</v>
      </c>
      <c r="AR498" s="31">
        <f t="shared" si="123"/>
        <v>0.61284403669724796</v>
      </c>
      <c r="AS498" s="29">
        <f t="shared" si="124"/>
        <v>35.628179271708682</v>
      </c>
      <c r="AT498" s="29">
        <f t="shared" si="125"/>
        <v>6.2642567615281513</v>
      </c>
      <c r="AU498" s="27" t="str">
        <f t="shared" si="126"/>
        <v>High</v>
      </c>
      <c r="AV498" s="27" t="str">
        <f t="shared" si="127"/>
        <v>Critical</v>
      </c>
      <c r="AW498" s="27"/>
    </row>
    <row r="499" spans="1:49" x14ac:dyDescent="0.25">
      <c r="A499" s="27">
        <v>498</v>
      </c>
      <c r="B499" s="28">
        <v>46162</v>
      </c>
      <c r="C499" s="28" t="str">
        <f t="shared" si="112"/>
        <v>May</v>
      </c>
      <c r="D499" s="27" t="s">
        <v>67</v>
      </c>
      <c r="E499" s="27" t="s">
        <v>76</v>
      </c>
      <c r="F499" s="27" t="s">
        <v>113</v>
      </c>
      <c r="G499" s="27" t="s">
        <v>78</v>
      </c>
      <c r="H499" s="27" t="s">
        <v>57</v>
      </c>
      <c r="I499" s="27" t="s">
        <v>622</v>
      </c>
      <c r="J499" s="27" t="s">
        <v>153</v>
      </c>
      <c r="K499" s="27">
        <v>714</v>
      </c>
      <c r="L499" s="27">
        <v>617</v>
      </c>
      <c r="M499" s="27">
        <v>588</v>
      </c>
      <c r="N499" s="27">
        <v>29</v>
      </c>
      <c r="O499" s="27">
        <v>7</v>
      </c>
      <c r="P499" s="27">
        <v>18</v>
      </c>
      <c r="Q499" s="27" t="s">
        <v>97</v>
      </c>
      <c r="R499" s="27">
        <v>45</v>
      </c>
      <c r="S499" s="27">
        <v>47</v>
      </c>
      <c r="T499" s="29">
        <v>73.2</v>
      </c>
      <c r="U499" s="29">
        <v>1.32</v>
      </c>
      <c r="V499" s="29">
        <v>19.989999999999998</v>
      </c>
      <c r="W499" s="30">
        <v>12191.61</v>
      </c>
      <c r="X499" s="27">
        <v>8.99</v>
      </c>
      <c r="Y499" s="27" t="s">
        <v>55</v>
      </c>
      <c r="Z499" s="29">
        <v>38</v>
      </c>
      <c r="AA499" s="30">
        <v>20707.95</v>
      </c>
      <c r="AB499" s="29">
        <v>0.95299837925445696</v>
      </c>
      <c r="AC499" s="30">
        <v>16417.02</v>
      </c>
      <c r="AD499" s="30">
        <v>138.316482982172</v>
      </c>
      <c r="AE499" s="27">
        <v>535.5</v>
      </c>
      <c r="AF499" s="29">
        <v>0.96638655462184897</v>
      </c>
      <c r="AG499" s="30">
        <v>4152.6135170178304</v>
      </c>
      <c r="AH499" s="31">
        <f t="shared" si="113"/>
        <v>0.86414565826330536</v>
      </c>
      <c r="AI499" s="31">
        <f t="shared" si="114"/>
        <v>4.7001620745542948E-2</v>
      </c>
      <c r="AJ499" s="31">
        <f t="shared" si="115"/>
        <v>1.1345218800648298E-2</v>
      </c>
      <c r="AK499" s="31">
        <f t="shared" si="116"/>
        <v>0.95299837925445707</v>
      </c>
      <c r="AL499" s="29">
        <f t="shared" si="117"/>
        <v>0.3</v>
      </c>
      <c r="AM499" s="29">
        <f t="shared" si="118"/>
        <v>517.5</v>
      </c>
      <c r="AN499" s="29">
        <f t="shared" si="119"/>
        <v>1.1922705314009663</v>
      </c>
      <c r="AO499" s="29">
        <f t="shared" si="120"/>
        <v>1.3333333333333333</v>
      </c>
      <c r="AP499" s="31">
        <f t="shared" si="121"/>
        <v>0.89420289855072477</v>
      </c>
      <c r="AQ499" s="31">
        <f t="shared" si="122"/>
        <v>0.95299837925445707</v>
      </c>
      <c r="AR499" s="31">
        <f t="shared" si="123"/>
        <v>0.82352941176470629</v>
      </c>
      <c r="AS499" s="29">
        <f t="shared" si="124"/>
        <v>26.607811993517018</v>
      </c>
      <c r="AT499" s="29">
        <f t="shared" si="125"/>
        <v>6.7303298492995633</v>
      </c>
      <c r="AU499" s="27" t="str">
        <f t="shared" si="126"/>
        <v>Medium</v>
      </c>
      <c r="AV499" s="27" t="str">
        <f t="shared" si="127"/>
        <v>Warning</v>
      </c>
      <c r="AW499" s="27"/>
    </row>
    <row r="500" spans="1:49" x14ac:dyDescent="0.25">
      <c r="A500" s="27">
        <v>499</v>
      </c>
      <c r="B500" s="28">
        <v>46028</v>
      </c>
      <c r="C500" s="28" t="str">
        <f t="shared" si="112"/>
        <v>January</v>
      </c>
      <c r="D500" s="27" t="s">
        <v>47</v>
      </c>
      <c r="E500" s="27" t="s">
        <v>48</v>
      </c>
      <c r="F500" s="27" t="s">
        <v>49</v>
      </c>
      <c r="G500" s="27" t="s">
        <v>50</v>
      </c>
      <c r="H500" s="27" t="s">
        <v>79</v>
      </c>
      <c r="I500" s="27" t="s">
        <v>623</v>
      </c>
      <c r="J500" s="27" t="s">
        <v>186</v>
      </c>
      <c r="K500" s="27">
        <v>644</v>
      </c>
      <c r="L500" s="27">
        <v>715</v>
      </c>
      <c r="M500" s="27">
        <v>672</v>
      </c>
      <c r="N500" s="27">
        <v>43</v>
      </c>
      <c r="O500" s="27">
        <v>8</v>
      </c>
      <c r="P500" s="27">
        <v>57</v>
      </c>
      <c r="Q500" s="27" t="s">
        <v>75</v>
      </c>
      <c r="R500" s="27">
        <v>49</v>
      </c>
      <c r="S500" s="27">
        <v>51</v>
      </c>
      <c r="T500" s="29">
        <v>76.3</v>
      </c>
      <c r="U500" s="29">
        <v>2.86</v>
      </c>
      <c r="V500" s="29">
        <v>22.93</v>
      </c>
      <c r="W500" s="30">
        <v>15840.03</v>
      </c>
      <c r="X500" s="27">
        <v>8.41</v>
      </c>
      <c r="Y500" s="27" t="s">
        <v>66</v>
      </c>
      <c r="Z500" s="29">
        <v>57</v>
      </c>
      <c r="AA500" s="30">
        <v>25556.68</v>
      </c>
      <c r="AB500" s="29">
        <v>0.93986013986014005</v>
      </c>
      <c r="AC500" s="30">
        <v>19830.900000000001</v>
      </c>
      <c r="AD500" s="30">
        <v>177.23110489510501</v>
      </c>
      <c r="AE500" s="27">
        <v>525.93333333333305</v>
      </c>
      <c r="AF500" s="29">
        <v>0.89162124477119997</v>
      </c>
      <c r="AG500" s="30">
        <v>5548.5488951049001</v>
      </c>
      <c r="AH500" s="31">
        <f t="shared" si="113"/>
        <v>1.110248447204969</v>
      </c>
      <c r="AI500" s="31">
        <f t="shared" si="114"/>
        <v>6.0139860139860141E-2</v>
      </c>
      <c r="AJ500" s="31">
        <f t="shared" si="115"/>
        <v>1.1188811188811189E-2</v>
      </c>
      <c r="AK500" s="31">
        <f t="shared" si="116"/>
        <v>0.93986013986013983</v>
      </c>
      <c r="AL500" s="29">
        <f t="shared" si="117"/>
        <v>0.95</v>
      </c>
      <c r="AM500" s="29">
        <f t="shared" si="118"/>
        <v>468.93333333333305</v>
      </c>
      <c r="AN500" s="29">
        <f t="shared" si="119"/>
        <v>1.524736991754337</v>
      </c>
      <c r="AO500" s="29">
        <f t="shared" si="120"/>
        <v>1.2244897959183674</v>
      </c>
      <c r="AP500" s="31">
        <f t="shared" si="121"/>
        <v>1.2452018765993751</v>
      </c>
      <c r="AQ500" s="31">
        <f t="shared" si="122"/>
        <v>0.93986013986013983</v>
      </c>
      <c r="AR500" s="31">
        <f t="shared" si="123"/>
        <v>1.0434782608695652</v>
      </c>
      <c r="AS500" s="29">
        <f t="shared" si="124"/>
        <v>27.735524475524478</v>
      </c>
      <c r="AT500" s="29">
        <f t="shared" si="125"/>
        <v>7.7602082449019578</v>
      </c>
      <c r="AU500" s="27" t="str">
        <f t="shared" si="126"/>
        <v>Medium</v>
      </c>
      <c r="AV500" s="27" t="str">
        <f t="shared" si="127"/>
        <v>Normal</v>
      </c>
      <c r="AW500" s="27"/>
    </row>
    <row r="501" spans="1:49" x14ac:dyDescent="0.25">
      <c r="A501" s="27">
        <v>500</v>
      </c>
      <c r="B501" s="28">
        <v>46045</v>
      </c>
      <c r="C501" s="28" t="str">
        <f t="shared" si="112"/>
        <v>January</v>
      </c>
      <c r="D501" s="27" t="s">
        <v>67</v>
      </c>
      <c r="E501" s="27" t="s">
        <v>76</v>
      </c>
      <c r="F501" s="27" t="s">
        <v>113</v>
      </c>
      <c r="G501" s="27" t="s">
        <v>78</v>
      </c>
      <c r="H501" s="27" t="s">
        <v>57</v>
      </c>
      <c r="I501" s="27" t="s">
        <v>624</v>
      </c>
      <c r="J501" s="27" t="s">
        <v>74</v>
      </c>
      <c r="K501" s="27">
        <v>821</v>
      </c>
      <c r="L501" s="27">
        <v>596</v>
      </c>
      <c r="M501" s="27">
        <v>565</v>
      </c>
      <c r="N501" s="27">
        <v>31</v>
      </c>
      <c r="O501" s="27">
        <v>11</v>
      </c>
      <c r="P501" s="27">
        <v>60</v>
      </c>
      <c r="Q501" s="27" t="s">
        <v>54</v>
      </c>
      <c r="R501" s="27">
        <v>45</v>
      </c>
      <c r="S501" s="27">
        <v>47</v>
      </c>
      <c r="T501" s="29">
        <v>74.7</v>
      </c>
      <c r="U501" s="29">
        <v>2.59</v>
      </c>
      <c r="V501" s="29">
        <v>26.79</v>
      </c>
      <c r="W501" s="30">
        <v>12788.92</v>
      </c>
      <c r="X501" s="27">
        <v>6.19</v>
      </c>
      <c r="Y501" s="27" t="s">
        <v>55</v>
      </c>
      <c r="Z501" s="29">
        <v>16</v>
      </c>
      <c r="AA501" s="30">
        <v>19921.759999999998</v>
      </c>
      <c r="AB501" s="29">
        <v>0.94798657718120805</v>
      </c>
      <c r="AC501" s="30">
        <v>15815.53</v>
      </c>
      <c r="AD501" s="30">
        <v>236.03711409396001</v>
      </c>
      <c r="AE501" s="27">
        <v>615.75</v>
      </c>
      <c r="AF501" s="29">
        <v>0.90255785627283802</v>
      </c>
      <c r="AG501" s="30">
        <v>3870.1928859060399</v>
      </c>
      <c r="AH501" s="31">
        <f t="shared" si="113"/>
        <v>0.72594397076735684</v>
      </c>
      <c r="AI501" s="31">
        <f t="shared" si="114"/>
        <v>5.2013422818791948E-2</v>
      </c>
      <c r="AJ501" s="31">
        <f t="shared" si="115"/>
        <v>1.8456375838926176E-2</v>
      </c>
      <c r="AK501" s="31">
        <f t="shared" si="116"/>
        <v>0.94798657718120805</v>
      </c>
      <c r="AL501" s="29">
        <f t="shared" si="117"/>
        <v>1</v>
      </c>
      <c r="AM501" s="29">
        <f t="shared" si="118"/>
        <v>555.75</v>
      </c>
      <c r="AN501" s="29">
        <f t="shared" si="119"/>
        <v>1.0724246513720197</v>
      </c>
      <c r="AO501" s="29">
        <f t="shared" si="120"/>
        <v>1.3333333333333333</v>
      </c>
      <c r="AP501" s="31">
        <f t="shared" si="121"/>
        <v>0.80431848852901477</v>
      </c>
      <c r="AQ501" s="31">
        <f t="shared" si="122"/>
        <v>0.94798657718120805</v>
      </c>
      <c r="AR501" s="31">
        <f t="shared" si="123"/>
        <v>0.68818514007308151</v>
      </c>
      <c r="AS501" s="29">
        <f t="shared" si="124"/>
        <v>26.536124161073825</v>
      </c>
      <c r="AT501" s="29">
        <f t="shared" si="125"/>
        <v>6.493612224674564</v>
      </c>
      <c r="AU501" s="27" t="str">
        <f t="shared" si="126"/>
        <v>High</v>
      </c>
      <c r="AV501" s="27" t="str">
        <f t="shared" si="127"/>
        <v>Critical</v>
      </c>
      <c r="AW501" s="27"/>
    </row>
    <row r="502" spans="1:49" x14ac:dyDescent="0.25">
      <c r="A502" s="27">
        <v>501</v>
      </c>
      <c r="B502" s="28">
        <v>46122</v>
      </c>
      <c r="C502" s="28" t="str">
        <f t="shared" si="112"/>
        <v>April</v>
      </c>
      <c r="D502" s="27" t="s">
        <v>47</v>
      </c>
      <c r="E502" s="27" t="s">
        <v>48</v>
      </c>
      <c r="F502" s="27" t="s">
        <v>72</v>
      </c>
      <c r="G502" s="27" t="s">
        <v>50</v>
      </c>
      <c r="H502" s="27" t="s">
        <v>51</v>
      </c>
      <c r="I502" s="27" t="s">
        <v>625</v>
      </c>
      <c r="J502" s="27" t="s">
        <v>286</v>
      </c>
      <c r="K502" s="27">
        <v>887</v>
      </c>
      <c r="L502" s="27">
        <v>946</v>
      </c>
      <c r="M502" s="27">
        <v>920</v>
      </c>
      <c r="N502" s="27">
        <v>26</v>
      </c>
      <c r="O502" s="27">
        <v>7</v>
      </c>
      <c r="P502" s="27">
        <v>11</v>
      </c>
      <c r="Q502" s="27" t="s">
        <v>82</v>
      </c>
      <c r="R502" s="27">
        <v>42</v>
      </c>
      <c r="S502" s="27">
        <v>46</v>
      </c>
      <c r="T502" s="29">
        <v>67.099999999999994</v>
      </c>
      <c r="U502" s="29">
        <v>1.78</v>
      </c>
      <c r="V502" s="29">
        <v>28.35</v>
      </c>
      <c r="W502" s="30">
        <v>18434.490000000002</v>
      </c>
      <c r="X502" s="27">
        <v>7.82</v>
      </c>
      <c r="Y502" s="27" t="s">
        <v>55</v>
      </c>
      <c r="Z502" s="29">
        <v>19</v>
      </c>
      <c r="AA502" s="30">
        <v>29172.43</v>
      </c>
      <c r="AB502" s="29">
        <v>0.97251585623678705</v>
      </c>
      <c r="AC502" s="30">
        <v>22208.639999999999</v>
      </c>
      <c r="AD502" s="30">
        <v>136.40743128964101</v>
      </c>
      <c r="AE502" s="27">
        <v>620.9</v>
      </c>
      <c r="AF502" s="29">
        <v>0.98228378160734398</v>
      </c>
      <c r="AG502" s="30">
        <v>6827.3825687103599</v>
      </c>
      <c r="AH502" s="31">
        <f t="shared" si="113"/>
        <v>1.0665163472378805</v>
      </c>
      <c r="AI502" s="31">
        <f t="shared" si="114"/>
        <v>2.748414376321353E-2</v>
      </c>
      <c r="AJ502" s="31">
        <f t="shared" si="115"/>
        <v>7.3995771670190271E-3</v>
      </c>
      <c r="AK502" s="31">
        <f t="shared" si="116"/>
        <v>0.97251585623678649</v>
      </c>
      <c r="AL502" s="29">
        <f t="shared" si="117"/>
        <v>0.18333333333333332</v>
      </c>
      <c r="AM502" s="29">
        <f t="shared" si="118"/>
        <v>609.9</v>
      </c>
      <c r="AN502" s="29">
        <f t="shared" si="119"/>
        <v>1.5510739465486145</v>
      </c>
      <c r="AO502" s="29">
        <f t="shared" si="120"/>
        <v>1.4285714285714286</v>
      </c>
      <c r="AP502" s="31">
        <f t="shared" si="121"/>
        <v>1.0857517625840301</v>
      </c>
      <c r="AQ502" s="31">
        <f t="shared" si="122"/>
        <v>0.97251585623678649</v>
      </c>
      <c r="AR502" s="31">
        <f t="shared" si="123"/>
        <v>1.037204058624577</v>
      </c>
      <c r="AS502" s="29">
        <f t="shared" si="124"/>
        <v>23.476363636363637</v>
      </c>
      <c r="AT502" s="29">
        <f t="shared" si="125"/>
        <v>7.2171063094189849</v>
      </c>
      <c r="AU502" s="27" t="str">
        <f t="shared" si="126"/>
        <v>Low</v>
      </c>
      <c r="AV502" s="27" t="str">
        <f t="shared" si="127"/>
        <v>Normal</v>
      </c>
      <c r="AW502" s="27"/>
    </row>
    <row r="503" spans="1:49" x14ac:dyDescent="0.25">
      <c r="A503" s="27">
        <v>502</v>
      </c>
      <c r="B503" s="28">
        <v>46040</v>
      </c>
      <c r="C503" s="28" t="str">
        <f t="shared" si="112"/>
        <v>January</v>
      </c>
      <c r="D503" s="27" t="s">
        <v>67</v>
      </c>
      <c r="E503" s="27" t="s">
        <v>129</v>
      </c>
      <c r="F503" s="27" t="s">
        <v>167</v>
      </c>
      <c r="G503" s="27" t="s">
        <v>63</v>
      </c>
      <c r="H503" s="27" t="s">
        <v>51</v>
      </c>
      <c r="I503" s="27" t="s">
        <v>626</v>
      </c>
      <c r="J503" s="27" t="s">
        <v>65</v>
      </c>
      <c r="K503" s="27">
        <v>937</v>
      </c>
      <c r="L503" s="27">
        <v>959</v>
      </c>
      <c r="M503" s="27">
        <v>885</v>
      </c>
      <c r="N503" s="27">
        <v>74</v>
      </c>
      <c r="O503" s="27">
        <v>30</v>
      </c>
      <c r="P503" s="27">
        <v>28</v>
      </c>
      <c r="Q503" s="27" t="s">
        <v>82</v>
      </c>
      <c r="R503" s="27">
        <v>42</v>
      </c>
      <c r="S503" s="27">
        <v>40</v>
      </c>
      <c r="T503" s="29">
        <v>80.599999999999994</v>
      </c>
      <c r="U503" s="29">
        <v>1.37</v>
      </c>
      <c r="V503" s="29">
        <v>29.12</v>
      </c>
      <c r="W503" s="30">
        <v>18495.560000000001</v>
      </c>
      <c r="X503" s="27">
        <v>8.07</v>
      </c>
      <c r="Y503" s="27" t="s">
        <v>55</v>
      </c>
      <c r="Z503" s="29">
        <v>20</v>
      </c>
      <c r="AA503" s="30">
        <v>28215.58</v>
      </c>
      <c r="AB503" s="29">
        <v>0.92283628779979099</v>
      </c>
      <c r="AC503" s="30">
        <v>22389.14</v>
      </c>
      <c r="AD503" s="30">
        <v>578.58894681960396</v>
      </c>
      <c r="AE503" s="27">
        <v>655.9</v>
      </c>
      <c r="AF503" s="29">
        <v>0.95731056563500505</v>
      </c>
      <c r="AG503" s="30">
        <v>5247.8510531804004</v>
      </c>
      <c r="AH503" s="31">
        <f t="shared" si="113"/>
        <v>1.0234791889007471</v>
      </c>
      <c r="AI503" s="31">
        <f t="shared" si="114"/>
        <v>7.7163712200208553E-2</v>
      </c>
      <c r="AJ503" s="31">
        <f t="shared" si="115"/>
        <v>3.1282586027111578E-2</v>
      </c>
      <c r="AK503" s="31">
        <f t="shared" si="116"/>
        <v>0.92283628779979143</v>
      </c>
      <c r="AL503" s="29">
        <f t="shared" si="117"/>
        <v>0.46666666666666667</v>
      </c>
      <c r="AM503" s="29">
        <f t="shared" si="118"/>
        <v>627.9</v>
      </c>
      <c r="AN503" s="29">
        <f t="shared" si="119"/>
        <v>1.5273132664437012</v>
      </c>
      <c r="AO503" s="29">
        <f t="shared" si="120"/>
        <v>1.4285714285714286</v>
      </c>
      <c r="AP503" s="31">
        <f t="shared" si="121"/>
        <v>1.0691192865105907</v>
      </c>
      <c r="AQ503" s="31">
        <f t="shared" si="122"/>
        <v>0.92283628779979143</v>
      </c>
      <c r="AR503" s="31">
        <f t="shared" si="123"/>
        <v>0.94450373532550647</v>
      </c>
      <c r="AS503" s="29">
        <f t="shared" si="124"/>
        <v>23.346339937434827</v>
      </c>
      <c r="AT503" s="29">
        <f t="shared" si="125"/>
        <v>5.4722117342861321</v>
      </c>
      <c r="AU503" s="27" t="str">
        <f t="shared" si="126"/>
        <v>Medium</v>
      </c>
      <c r="AV503" s="27" t="str">
        <f t="shared" si="127"/>
        <v>Warning</v>
      </c>
      <c r="AW503" s="27"/>
    </row>
    <row r="504" spans="1:49" x14ac:dyDescent="0.25">
      <c r="A504" s="27">
        <v>503</v>
      </c>
      <c r="B504" s="28">
        <v>46073</v>
      </c>
      <c r="C504" s="28" t="str">
        <f t="shared" si="112"/>
        <v>February</v>
      </c>
      <c r="D504" s="27" t="s">
        <v>47</v>
      </c>
      <c r="E504" s="27" t="s">
        <v>61</v>
      </c>
      <c r="F504" s="27" t="s">
        <v>95</v>
      </c>
      <c r="G504" s="27" t="s">
        <v>78</v>
      </c>
      <c r="H504" s="27" t="s">
        <v>51</v>
      </c>
      <c r="I504" s="27" t="s">
        <v>627</v>
      </c>
      <c r="J504" s="27" t="s">
        <v>134</v>
      </c>
      <c r="K504" s="27">
        <v>979</v>
      </c>
      <c r="L504" s="27">
        <v>930</v>
      </c>
      <c r="M504" s="27">
        <v>877</v>
      </c>
      <c r="N504" s="27">
        <v>53</v>
      </c>
      <c r="O504" s="27">
        <v>22</v>
      </c>
      <c r="P504" s="27">
        <v>13</v>
      </c>
      <c r="Q504" s="27" t="s">
        <v>91</v>
      </c>
      <c r="R504" s="27">
        <v>42</v>
      </c>
      <c r="S504" s="27">
        <v>42</v>
      </c>
      <c r="T504" s="29">
        <v>72.5</v>
      </c>
      <c r="U504" s="29">
        <v>2.0699999999999998</v>
      </c>
      <c r="V504" s="29">
        <v>36.35</v>
      </c>
      <c r="W504" s="30">
        <v>16699.759999999998</v>
      </c>
      <c r="X504" s="27">
        <v>7.19</v>
      </c>
      <c r="Y504" s="27" t="s">
        <v>66</v>
      </c>
      <c r="Z504" s="29">
        <v>23</v>
      </c>
      <c r="AA504" s="30">
        <v>27234.3</v>
      </c>
      <c r="AB504" s="29">
        <v>0.94301075268817203</v>
      </c>
      <c r="AC504" s="30">
        <v>20262.41</v>
      </c>
      <c r="AD504" s="30">
        <v>395.04808602150501</v>
      </c>
      <c r="AE504" s="27">
        <v>685.3</v>
      </c>
      <c r="AF504" s="29">
        <v>0.98103020574930699</v>
      </c>
      <c r="AG504" s="30">
        <v>6576.8419139784901</v>
      </c>
      <c r="AH504" s="31">
        <f t="shared" si="113"/>
        <v>0.94994892747701731</v>
      </c>
      <c r="AI504" s="31">
        <f t="shared" si="114"/>
        <v>5.6989247311827959E-2</v>
      </c>
      <c r="AJ504" s="31">
        <f t="shared" si="115"/>
        <v>2.3655913978494623E-2</v>
      </c>
      <c r="AK504" s="31">
        <f t="shared" si="116"/>
        <v>0.94301075268817203</v>
      </c>
      <c r="AL504" s="29">
        <f t="shared" si="117"/>
        <v>0.21666666666666667</v>
      </c>
      <c r="AM504" s="29">
        <f t="shared" si="118"/>
        <v>672.3</v>
      </c>
      <c r="AN504" s="29">
        <f t="shared" si="119"/>
        <v>1.3833110218652389</v>
      </c>
      <c r="AO504" s="29">
        <f t="shared" si="120"/>
        <v>1.4285714285714286</v>
      </c>
      <c r="AP504" s="31">
        <f t="shared" si="121"/>
        <v>0.96831771530566724</v>
      </c>
      <c r="AQ504" s="31">
        <f t="shared" si="122"/>
        <v>0.94301075268817203</v>
      </c>
      <c r="AR504" s="31">
        <f t="shared" si="123"/>
        <v>0.89581205311542411</v>
      </c>
      <c r="AS504" s="29">
        <f t="shared" si="124"/>
        <v>21.787537634408601</v>
      </c>
      <c r="AT504" s="29">
        <f t="shared" si="125"/>
        <v>7.0718730257833231</v>
      </c>
      <c r="AU504" s="27" t="str">
        <f t="shared" si="126"/>
        <v>Low</v>
      </c>
      <c r="AV504" s="27" t="str">
        <f t="shared" si="127"/>
        <v>Normal</v>
      </c>
      <c r="AW504" s="27"/>
    </row>
    <row r="505" spans="1:49" x14ac:dyDescent="0.25">
      <c r="A505" s="27">
        <v>504</v>
      </c>
      <c r="B505" s="28">
        <v>46130</v>
      </c>
      <c r="C505" s="28" t="str">
        <f t="shared" si="112"/>
        <v>April</v>
      </c>
      <c r="D505" s="27" t="s">
        <v>67</v>
      </c>
      <c r="E505" s="27" t="s">
        <v>48</v>
      </c>
      <c r="F505" s="27" t="s">
        <v>56</v>
      </c>
      <c r="G505" s="27" t="s">
        <v>50</v>
      </c>
      <c r="H505" s="27" t="s">
        <v>79</v>
      </c>
      <c r="I505" s="27" t="s">
        <v>628</v>
      </c>
      <c r="J505" s="27" t="s">
        <v>93</v>
      </c>
      <c r="K505" s="27">
        <v>842</v>
      </c>
      <c r="L505" s="27">
        <v>901</v>
      </c>
      <c r="M505" s="27">
        <v>860</v>
      </c>
      <c r="N505" s="27">
        <v>41</v>
      </c>
      <c r="O505" s="27">
        <v>17</v>
      </c>
      <c r="P505" s="27">
        <v>15</v>
      </c>
      <c r="Q505" s="27" t="s">
        <v>91</v>
      </c>
      <c r="R505" s="27">
        <v>49</v>
      </c>
      <c r="S505" s="27">
        <v>52</v>
      </c>
      <c r="T505" s="29">
        <v>75.8</v>
      </c>
      <c r="U505" s="29">
        <v>1.22</v>
      </c>
      <c r="V505" s="29">
        <v>34.840000000000003</v>
      </c>
      <c r="W505" s="30">
        <v>18740.599999999999</v>
      </c>
      <c r="X505" s="27">
        <v>10.7</v>
      </c>
      <c r="Y505" s="27" t="s">
        <v>55</v>
      </c>
      <c r="Z505" s="29">
        <v>13</v>
      </c>
      <c r="AA505" s="30">
        <v>31717.78</v>
      </c>
      <c r="AB505" s="29">
        <v>0.95449500554939004</v>
      </c>
      <c r="AC505" s="30">
        <v>23869.16</v>
      </c>
      <c r="AD505" s="30">
        <v>353.59622641509401</v>
      </c>
      <c r="AE505" s="27">
        <v>687.63333333333298</v>
      </c>
      <c r="AF505" s="29">
        <v>0.9781860487663</v>
      </c>
      <c r="AG505" s="30">
        <v>7495.0237735849096</v>
      </c>
      <c r="AH505" s="31">
        <f t="shared" si="113"/>
        <v>1.0700712589073633</v>
      </c>
      <c r="AI505" s="31">
        <f t="shared" si="114"/>
        <v>4.5504994450610431E-2</v>
      </c>
      <c r="AJ505" s="31">
        <f t="shared" si="115"/>
        <v>1.8867924528301886E-2</v>
      </c>
      <c r="AK505" s="31">
        <f t="shared" si="116"/>
        <v>0.9544950055493896</v>
      </c>
      <c r="AL505" s="29">
        <f t="shared" si="117"/>
        <v>0.25</v>
      </c>
      <c r="AM505" s="29">
        <f t="shared" si="118"/>
        <v>672.63333333333298</v>
      </c>
      <c r="AN505" s="29">
        <f t="shared" si="119"/>
        <v>1.3395113732097732</v>
      </c>
      <c r="AO505" s="29">
        <f t="shared" si="120"/>
        <v>1.2244897959183674</v>
      </c>
      <c r="AP505" s="31">
        <f t="shared" si="121"/>
        <v>1.0939342881213148</v>
      </c>
      <c r="AQ505" s="31">
        <f t="shared" si="122"/>
        <v>0.9544950055493896</v>
      </c>
      <c r="AR505" s="31">
        <f t="shared" si="123"/>
        <v>1.0213776722090266</v>
      </c>
      <c r="AS505" s="29">
        <f t="shared" si="124"/>
        <v>26.491853496115429</v>
      </c>
      <c r="AT505" s="29">
        <f t="shared" si="125"/>
        <v>8.3185613469310873</v>
      </c>
      <c r="AU505" s="27" t="str">
        <f t="shared" si="126"/>
        <v>Low</v>
      </c>
      <c r="AV505" s="27" t="str">
        <f t="shared" si="127"/>
        <v>Normal</v>
      </c>
      <c r="AW505" s="27"/>
    </row>
    <row r="506" spans="1:49" x14ac:dyDescent="0.25">
      <c r="A506" s="27">
        <v>505</v>
      </c>
      <c r="B506" s="28">
        <v>46155</v>
      </c>
      <c r="C506" s="28" t="str">
        <f t="shared" si="112"/>
        <v>May</v>
      </c>
      <c r="D506" s="27" t="s">
        <v>47</v>
      </c>
      <c r="E506" s="27" t="s">
        <v>98</v>
      </c>
      <c r="F506" s="27" t="s">
        <v>126</v>
      </c>
      <c r="G506" s="27" t="s">
        <v>63</v>
      </c>
      <c r="H506" s="27" t="s">
        <v>51</v>
      </c>
      <c r="I506" s="27" t="s">
        <v>629</v>
      </c>
      <c r="J506" s="27" t="s">
        <v>161</v>
      </c>
      <c r="K506" s="27">
        <v>870</v>
      </c>
      <c r="L506" s="27">
        <v>775</v>
      </c>
      <c r="M506" s="27">
        <v>723</v>
      </c>
      <c r="N506" s="27">
        <v>52</v>
      </c>
      <c r="O506" s="27">
        <v>11</v>
      </c>
      <c r="P506" s="27">
        <v>28</v>
      </c>
      <c r="Q506" s="27" t="s">
        <v>97</v>
      </c>
      <c r="R506" s="27">
        <v>42</v>
      </c>
      <c r="S506" s="27">
        <v>46</v>
      </c>
      <c r="T506" s="29">
        <v>62.9</v>
      </c>
      <c r="U506" s="29">
        <v>2.4900000000000002</v>
      </c>
      <c r="V506" s="29">
        <v>28.04</v>
      </c>
      <c r="W506" s="30">
        <v>14553.1</v>
      </c>
      <c r="X506" s="27">
        <v>9.09</v>
      </c>
      <c r="Y506" s="27" t="s">
        <v>55</v>
      </c>
      <c r="Z506" s="29">
        <v>17</v>
      </c>
      <c r="AA506" s="30">
        <v>22887.62</v>
      </c>
      <c r="AB506" s="29">
        <v>0.93290322580645202</v>
      </c>
      <c r="AC506" s="30">
        <v>18895.96</v>
      </c>
      <c r="AD506" s="30">
        <v>206.560129032258</v>
      </c>
      <c r="AE506" s="27">
        <v>609</v>
      </c>
      <c r="AF506" s="29">
        <v>0.95402298850574696</v>
      </c>
      <c r="AG506" s="30">
        <v>3785.0998709677401</v>
      </c>
      <c r="AH506" s="31">
        <f t="shared" si="113"/>
        <v>0.89080459770114939</v>
      </c>
      <c r="AI506" s="31">
        <f t="shared" si="114"/>
        <v>6.7096774193548384E-2</v>
      </c>
      <c r="AJ506" s="31">
        <f t="shared" si="115"/>
        <v>1.4193548387096775E-2</v>
      </c>
      <c r="AK506" s="31">
        <f t="shared" si="116"/>
        <v>0.93290322580645157</v>
      </c>
      <c r="AL506" s="29">
        <f t="shared" si="117"/>
        <v>0.46666666666666667</v>
      </c>
      <c r="AM506" s="29">
        <f t="shared" si="118"/>
        <v>581</v>
      </c>
      <c r="AN506" s="29">
        <f t="shared" si="119"/>
        <v>1.3339070567986231</v>
      </c>
      <c r="AO506" s="29">
        <f t="shared" si="120"/>
        <v>1.4285714285714286</v>
      </c>
      <c r="AP506" s="31">
        <f t="shared" si="121"/>
        <v>0.9337349397590361</v>
      </c>
      <c r="AQ506" s="31">
        <f t="shared" si="122"/>
        <v>0.93290322580645157</v>
      </c>
      <c r="AR506" s="31">
        <f t="shared" si="123"/>
        <v>0.83103448275862057</v>
      </c>
      <c r="AS506" s="29">
        <f t="shared" si="124"/>
        <v>24.381883870967741</v>
      </c>
      <c r="AT506" s="29">
        <f t="shared" si="125"/>
        <v>4.8839998335067616</v>
      </c>
      <c r="AU506" s="27" t="str">
        <f t="shared" si="126"/>
        <v>Medium</v>
      </c>
      <c r="AV506" s="27" t="str">
        <f t="shared" si="127"/>
        <v>Warning</v>
      </c>
      <c r="AW506" s="27"/>
    </row>
    <row r="507" spans="1:49" x14ac:dyDescent="0.25">
      <c r="A507" s="27">
        <v>506</v>
      </c>
      <c r="B507" s="28">
        <v>46029</v>
      </c>
      <c r="C507" s="28" t="str">
        <f t="shared" si="112"/>
        <v>January</v>
      </c>
      <c r="D507" s="27" t="s">
        <v>67</v>
      </c>
      <c r="E507" s="27" t="s">
        <v>48</v>
      </c>
      <c r="F507" s="27" t="s">
        <v>56</v>
      </c>
      <c r="G507" s="27" t="s">
        <v>50</v>
      </c>
      <c r="H507" s="27" t="s">
        <v>68</v>
      </c>
      <c r="I507" s="27" t="s">
        <v>630</v>
      </c>
      <c r="J507" s="27" t="s">
        <v>107</v>
      </c>
      <c r="K507" s="27">
        <v>461</v>
      </c>
      <c r="L507" s="27">
        <v>411</v>
      </c>
      <c r="M507" s="27">
        <v>374</v>
      </c>
      <c r="N507" s="27">
        <v>37</v>
      </c>
      <c r="O507" s="27">
        <v>11</v>
      </c>
      <c r="P507" s="27">
        <v>35</v>
      </c>
      <c r="Q507" s="27" t="s">
        <v>54</v>
      </c>
      <c r="R507" s="27">
        <v>64</v>
      </c>
      <c r="S507" s="27">
        <v>62</v>
      </c>
      <c r="T507" s="29">
        <v>74</v>
      </c>
      <c r="U507" s="29">
        <v>2.69</v>
      </c>
      <c r="V507" s="29">
        <v>16.21</v>
      </c>
      <c r="W507" s="30">
        <v>12649.9</v>
      </c>
      <c r="X507" s="27">
        <v>8.94</v>
      </c>
      <c r="Y507" s="27" t="s">
        <v>71</v>
      </c>
      <c r="Z507" s="29">
        <v>46</v>
      </c>
      <c r="AA507" s="30">
        <v>18865.400000000001</v>
      </c>
      <c r="AB507" s="29">
        <v>0.90997566909975702</v>
      </c>
      <c r="AC507" s="30">
        <v>16818.79</v>
      </c>
      <c r="AD507" s="30">
        <v>338.56180048661798</v>
      </c>
      <c r="AE507" s="27">
        <v>491.73333333333301</v>
      </c>
      <c r="AF507" s="29">
        <v>0.92882321041214799</v>
      </c>
      <c r="AG507" s="30">
        <v>1708.04819951338</v>
      </c>
      <c r="AH507" s="31">
        <f t="shared" si="113"/>
        <v>0.89154013015184386</v>
      </c>
      <c r="AI507" s="31">
        <f t="shared" si="114"/>
        <v>9.002433090024331E-2</v>
      </c>
      <c r="AJ507" s="31">
        <f t="shared" si="115"/>
        <v>2.6763990267639901E-2</v>
      </c>
      <c r="AK507" s="31">
        <f t="shared" si="116"/>
        <v>0.90997566909975669</v>
      </c>
      <c r="AL507" s="29">
        <f t="shared" si="117"/>
        <v>0.58333333333333337</v>
      </c>
      <c r="AM507" s="29">
        <f t="shared" si="118"/>
        <v>456.73333333333301</v>
      </c>
      <c r="AN507" s="29">
        <f t="shared" si="119"/>
        <v>0.89986863231645076</v>
      </c>
      <c r="AO507" s="29">
        <f t="shared" si="120"/>
        <v>0.9375</v>
      </c>
      <c r="AP507" s="31">
        <f t="shared" si="121"/>
        <v>0.95985987447088084</v>
      </c>
      <c r="AQ507" s="31">
        <f t="shared" si="122"/>
        <v>0.90997566909975669</v>
      </c>
      <c r="AR507" s="31">
        <f t="shared" si="123"/>
        <v>0.81127982646420915</v>
      </c>
      <c r="AS507" s="29">
        <f t="shared" si="124"/>
        <v>40.921630170316305</v>
      </c>
      <c r="AT507" s="29">
        <f t="shared" si="125"/>
        <v>4.1558350353123599</v>
      </c>
      <c r="AU507" s="27" t="str">
        <f t="shared" si="126"/>
        <v>High</v>
      </c>
      <c r="AV507" s="27" t="str">
        <f t="shared" si="127"/>
        <v>Warning</v>
      </c>
      <c r="AW507" s="27"/>
    </row>
    <row r="508" spans="1:49" x14ac:dyDescent="0.25">
      <c r="A508" s="27">
        <v>507</v>
      </c>
      <c r="B508" s="28">
        <v>46144</v>
      </c>
      <c r="C508" s="28" t="str">
        <f t="shared" si="112"/>
        <v>May</v>
      </c>
      <c r="D508" s="27" t="s">
        <v>67</v>
      </c>
      <c r="E508" s="27" t="s">
        <v>129</v>
      </c>
      <c r="F508" s="27" t="s">
        <v>167</v>
      </c>
      <c r="G508" s="27" t="s">
        <v>50</v>
      </c>
      <c r="H508" s="27" t="s">
        <v>124</v>
      </c>
      <c r="I508" s="27" t="s">
        <v>631</v>
      </c>
      <c r="J508" s="27" t="s">
        <v>53</v>
      </c>
      <c r="K508" s="27">
        <v>642</v>
      </c>
      <c r="L508" s="27">
        <v>618</v>
      </c>
      <c r="M508" s="27">
        <v>563</v>
      </c>
      <c r="N508" s="27">
        <v>55</v>
      </c>
      <c r="O508" s="27">
        <v>14</v>
      </c>
      <c r="P508" s="27">
        <v>7</v>
      </c>
      <c r="Q508" s="27" t="s">
        <v>54</v>
      </c>
      <c r="R508" s="27">
        <v>57</v>
      </c>
      <c r="S508" s="27">
        <v>59</v>
      </c>
      <c r="T508" s="29">
        <v>69.400000000000006</v>
      </c>
      <c r="U508" s="29">
        <v>1.73</v>
      </c>
      <c r="V508" s="29">
        <v>22.56</v>
      </c>
      <c r="W508" s="30">
        <v>16486.52</v>
      </c>
      <c r="X508" s="27">
        <v>9.25</v>
      </c>
      <c r="Y508" s="27" t="s">
        <v>55</v>
      </c>
      <c r="Z508" s="29">
        <v>31</v>
      </c>
      <c r="AA508" s="30">
        <v>26225.03</v>
      </c>
      <c r="AB508" s="29">
        <v>0.91100323624595503</v>
      </c>
      <c r="AC508" s="30">
        <v>20852.060000000001</v>
      </c>
      <c r="AD508" s="30">
        <v>373.481035598706</v>
      </c>
      <c r="AE508" s="27">
        <v>609.9</v>
      </c>
      <c r="AF508" s="29">
        <v>0.98852270864076097</v>
      </c>
      <c r="AG508" s="30">
        <v>4999.4889644012901</v>
      </c>
      <c r="AH508" s="31">
        <f t="shared" si="113"/>
        <v>0.96261682242990654</v>
      </c>
      <c r="AI508" s="31">
        <f t="shared" si="114"/>
        <v>8.8996763754045305E-2</v>
      </c>
      <c r="AJ508" s="31">
        <f t="shared" si="115"/>
        <v>2.2653721682847898E-2</v>
      </c>
      <c r="AK508" s="31">
        <f t="shared" si="116"/>
        <v>0.9110032362459547</v>
      </c>
      <c r="AL508" s="29">
        <f t="shared" si="117"/>
        <v>0.11666666666666667</v>
      </c>
      <c r="AM508" s="29">
        <f t="shared" si="118"/>
        <v>602.9</v>
      </c>
      <c r="AN508" s="29">
        <f t="shared" si="119"/>
        <v>1.0250456128711229</v>
      </c>
      <c r="AO508" s="29">
        <f t="shared" si="120"/>
        <v>1.0526315789473684</v>
      </c>
      <c r="AP508" s="31">
        <f t="shared" si="121"/>
        <v>0.97379333222756681</v>
      </c>
      <c r="AQ508" s="31">
        <f t="shared" si="122"/>
        <v>0.9110032362459547</v>
      </c>
      <c r="AR508" s="31">
        <f t="shared" si="123"/>
        <v>0.87694704049844252</v>
      </c>
      <c r="AS508" s="29">
        <f t="shared" si="124"/>
        <v>33.741197411003242</v>
      </c>
      <c r="AT508" s="29">
        <f t="shared" si="125"/>
        <v>8.0897879682868776</v>
      </c>
      <c r="AU508" s="27" t="str">
        <f t="shared" si="126"/>
        <v>Medium</v>
      </c>
      <c r="AV508" s="27" t="str">
        <f t="shared" si="127"/>
        <v>Warning</v>
      </c>
      <c r="AW508" s="27"/>
    </row>
    <row r="509" spans="1:49" x14ac:dyDescent="0.25">
      <c r="A509" s="27">
        <v>508</v>
      </c>
      <c r="B509" s="28">
        <v>46141</v>
      </c>
      <c r="C509" s="28" t="str">
        <f t="shared" si="112"/>
        <v>April</v>
      </c>
      <c r="D509" s="27" t="s">
        <v>67</v>
      </c>
      <c r="E509" s="27" t="s">
        <v>98</v>
      </c>
      <c r="F509" s="27" t="s">
        <v>99</v>
      </c>
      <c r="G509" s="27" t="s">
        <v>63</v>
      </c>
      <c r="H509" s="27" t="s">
        <v>57</v>
      </c>
      <c r="I509" s="27" t="s">
        <v>632</v>
      </c>
      <c r="J509" s="27" t="s">
        <v>86</v>
      </c>
      <c r="K509" s="27">
        <v>877</v>
      </c>
      <c r="L509" s="27">
        <v>736</v>
      </c>
      <c r="M509" s="27">
        <v>705</v>
      </c>
      <c r="N509" s="27">
        <v>31</v>
      </c>
      <c r="O509" s="27">
        <v>6</v>
      </c>
      <c r="P509" s="27">
        <v>33</v>
      </c>
      <c r="Q509" s="27" t="s">
        <v>54</v>
      </c>
      <c r="R509" s="27">
        <v>45</v>
      </c>
      <c r="S509" s="27">
        <v>47</v>
      </c>
      <c r="T509" s="29">
        <v>73.900000000000006</v>
      </c>
      <c r="U509" s="29">
        <v>1.77</v>
      </c>
      <c r="V509" s="29">
        <v>27.5</v>
      </c>
      <c r="W509" s="30">
        <v>14522.65</v>
      </c>
      <c r="X509" s="27">
        <v>8.4499999999999993</v>
      </c>
      <c r="Y509" s="27" t="s">
        <v>71</v>
      </c>
      <c r="Z509" s="29">
        <v>7</v>
      </c>
      <c r="AA509" s="30">
        <v>24535.32</v>
      </c>
      <c r="AB509" s="29">
        <v>0.95788043478260898</v>
      </c>
      <c r="AC509" s="30">
        <v>18572.650000000001</v>
      </c>
      <c r="AD509" s="30">
        <v>118.39116847826099</v>
      </c>
      <c r="AE509" s="27">
        <v>657.75</v>
      </c>
      <c r="AF509" s="29">
        <v>0.94982896237172199</v>
      </c>
      <c r="AG509" s="30">
        <v>5844.2788315217404</v>
      </c>
      <c r="AH509" s="31">
        <f t="shared" si="113"/>
        <v>0.83922462941847209</v>
      </c>
      <c r="AI509" s="31">
        <f t="shared" si="114"/>
        <v>4.2119565217391304E-2</v>
      </c>
      <c r="AJ509" s="31">
        <f t="shared" si="115"/>
        <v>8.152173913043478E-3</v>
      </c>
      <c r="AK509" s="31">
        <f t="shared" si="116"/>
        <v>0.95788043478260865</v>
      </c>
      <c r="AL509" s="29">
        <f t="shared" si="117"/>
        <v>0.55000000000000004</v>
      </c>
      <c r="AM509" s="29">
        <f t="shared" si="118"/>
        <v>624.75</v>
      </c>
      <c r="AN509" s="29">
        <f t="shared" si="119"/>
        <v>1.1780712284913966</v>
      </c>
      <c r="AO509" s="29">
        <f t="shared" si="120"/>
        <v>1.3333333333333333</v>
      </c>
      <c r="AP509" s="31">
        <f t="shared" si="121"/>
        <v>0.88355342136854742</v>
      </c>
      <c r="AQ509" s="31">
        <f t="shared" si="122"/>
        <v>0.95788043478260865</v>
      </c>
      <c r="AR509" s="31">
        <f t="shared" si="123"/>
        <v>0.80387685290763977</v>
      </c>
      <c r="AS509" s="29">
        <f t="shared" si="124"/>
        <v>25.234578804347827</v>
      </c>
      <c r="AT509" s="29">
        <f t="shared" si="125"/>
        <v>7.9405962384806257</v>
      </c>
      <c r="AU509" s="27" t="str">
        <f t="shared" si="126"/>
        <v>High</v>
      </c>
      <c r="AV509" s="27" t="str">
        <f t="shared" si="127"/>
        <v>Warning</v>
      </c>
      <c r="AW509" s="27"/>
    </row>
    <row r="510" spans="1:49" x14ac:dyDescent="0.25">
      <c r="A510" s="27">
        <v>509</v>
      </c>
      <c r="B510" s="28">
        <v>46077</v>
      </c>
      <c r="C510" s="28" t="str">
        <f t="shared" si="112"/>
        <v>February</v>
      </c>
      <c r="D510" s="27" t="s">
        <v>67</v>
      </c>
      <c r="E510" s="27" t="s">
        <v>76</v>
      </c>
      <c r="F510" s="27" t="s">
        <v>119</v>
      </c>
      <c r="G510" s="27" t="s">
        <v>63</v>
      </c>
      <c r="H510" s="27" t="s">
        <v>51</v>
      </c>
      <c r="I510" s="27" t="s">
        <v>633</v>
      </c>
      <c r="J510" s="27" t="s">
        <v>109</v>
      </c>
      <c r="K510" s="27">
        <v>892</v>
      </c>
      <c r="L510" s="27">
        <v>803</v>
      </c>
      <c r="M510" s="27">
        <v>734</v>
      </c>
      <c r="N510" s="27">
        <v>69</v>
      </c>
      <c r="O510" s="27">
        <v>18</v>
      </c>
      <c r="P510" s="27">
        <v>18</v>
      </c>
      <c r="Q510" s="27" t="s">
        <v>94</v>
      </c>
      <c r="R510" s="27">
        <v>42</v>
      </c>
      <c r="S510" s="27">
        <v>45</v>
      </c>
      <c r="T510" s="29">
        <v>65.7</v>
      </c>
      <c r="U510" s="29">
        <v>1.85</v>
      </c>
      <c r="V510" s="29">
        <v>30.51</v>
      </c>
      <c r="W510" s="30">
        <v>14189.19</v>
      </c>
      <c r="X510" s="27">
        <v>7.16</v>
      </c>
      <c r="Y510" s="27" t="s">
        <v>66</v>
      </c>
      <c r="Z510" s="29">
        <v>31</v>
      </c>
      <c r="AA510" s="30">
        <v>22939.98</v>
      </c>
      <c r="AB510" s="29">
        <v>0.91407222914072195</v>
      </c>
      <c r="AC510" s="30">
        <v>17685.78</v>
      </c>
      <c r="AD510" s="30">
        <v>318.06403486924</v>
      </c>
      <c r="AE510" s="27">
        <v>624.4</v>
      </c>
      <c r="AF510" s="29">
        <v>0.97117232543241505</v>
      </c>
      <c r="AG510" s="30">
        <v>4936.1359651307603</v>
      </c>
      <c r="AH510" s="31">
        <f t="shared" si="113"/>
        <v>0.90022421524663676</v>
      </c>
      <c r="AI510" s="31">
        <f t="shared" si="114"/>
        <v>8.5927770859277705E-2</v>
      </c>
      <c r="AJ510" s="31">
        <f t="shared" si="115"/>
        <v>2.2415940224159402E-2</v>
      </c>
      <c r="AK510" s="31">
        <f t="shared" si="116"/>
        <v>0.91407222914072228</v>
      </c>
      <c r="AL510" s="29">
        <f t="shared" si="117"/>
        <v>0.3</v>
      </c>
      <c r="AM510" s="29">
        <f t="shared" si="118"/>
        <v>606.4</v>
      </c>
      <c r="AN510" s="29">
        <f t="shared" si="119"/>
        <v>1.3242084432717678</v>
      </c>
      <c r="AO510" s="29">
        <f t="shared" si="120"/>
        <v>1.4285714285714286</v>
      </c>
      <c r="AP510" s="31">
        <f t="shared" si="121"/>
        <v>0.92694591029023743</v>
      </c>
      <c r="AQ510" s="31">
        <f t="shared" si="122"/>
        <v>0.91407222914072228</v>
      </c>
      <c r="AR510" s="31">
        <f t="shared" si="123"/>
        <v>0.82286995515695061</v>
      </c>
      <c r="AS510" s="29">
        <f t="shared" si="124"/>
        <v>22.024632627646326</v>
      </c>
      <c r="AT510" s="29">
        <f t="shared" si="125"/>
        <v>6.1471182629274725</v>
      </c>
      <c r="AU510" s="27" t="str">
        <f t="shared" si="126"/>
        <v>Medium</v>
      </c>
      <c r="AV510" s="27" t="str">
        <f t="shared" si="127"/>
        <v>Warning</v>
      </c>
      <c r="AW510" s="27"/>
    </row>
    <row r="511" spans="1:49" x14ac:dyDescent="0.25">
      <c r="A511" s="27">
        <v>510</v>
      </c>
      <c r="B511" s="28">
        <v>46163</v>
      </c>
      <c r="C511" s="28" t="str">
        <f t="shared" si="112"/>
        <v>May</v>
      </c>
      <c r="D511" s="27" t="s">
        <v>67</v>
      </c>
      <c r="E511" s="27" t="s">
        <v>98</v>
      </c>
      <c r="F511" s="27" t="s">
        <v>99</v>
      </c>
      <c r="G511" s="27" t="s">
        <v>50</v>
      </c>
      <c r="H511" s="27" t="s">
        <v>79</v>
      </c>
      <c r="I511" s="27" t="s">
        <v>634</v>
      </c>
      <c r="J511" s="27" t="s">
        <v>140</v>
      </c>
      <c r="K511" s="27">
        <v>878</v>
      </c>
      <c r="L511" s="27">
        <v>722</v>
      </c>
      <c r="M511" s="27">
        <v>694</v>
      </c>
      <c r="N511" s="27">
        <v>28</v>
      </c>
      <c r="O511" s="27">
        <v>10</v>
      </c>
      <c r="P511" s="27">
        <v>39</v>
      </c>
      <c r="Q511" s="27" t="s">
        <v>94</v>
      </c>
      <c r="R511" s="27">
        <v>49</v>
      </c>
      <c r="S511" s="27">
        <v>48</v>
      </c>
      <c r="T511" s="29">
        <v>68.3</v>
      </c>
      <c r="U511" s="29">
        <v>1.35</v>
      </c>
      <c r="V511" s="29">
        <v>27.73</v>
      </c>
      <c r="W511" s="30">
        <v>16003.86</v>
      </c>
      <c r="X511" s="27">
        <v>7.36</v>
      </c>
      <c r="Y511" s="27" t="s">
        <v>55</v>
      </c>
      <c r="Z511" s="29">
        <v>36</v>
      </c>
      <c r="AA511" s="30">
        <v>26424.46</v>
      </c>
      <c r="AB511" s="29">
        <v>0.96121883656509699</v>
      </c>
      <c r="AC511" s="30">
        <v>19565.43</v>
      </c>
      <c r="AD511" s="30">
        <v>221.66011080332399</v>
      </c>
      <c r="AE511" s="27">
        <v>717.03333333333296</v>
      </c>
      <c r="AF511" s="29">
        <v>0.94560922318813601</v>
      </c>
      <c r="AG511" s="30">
        <v>6637.3698891966797</v>
      </c>
      <c r="AH511" s="31">
        <f t="shared" si="113"/>
        <v>0.82232346241457854</v>
      </c>
      <c r="AI511" s="31">
        <f t="shared" si="114"/>
        <v>3.8781163434903045E-2</v>
      </c>
      <c r="AJ511" s="31">
        <f t="shared" si="115"/>
        <v>1.3850415512465374E-2</v>
      </c>
      <c r="AK511" s="31">
        <f t="shared" si="116"/>
        <v>0.96121883656509699</v>
      </c>
      <c r="AL511" s="29">
        <f t="shared" si="117"/>
        <v>0.65</v>
      </c>
      <c r="AM511" s="29">
        <f t="shared" si="118"/>
        <v>678.03333333333296</v>
      </c>
      <c r="AN511" s="29">
        <f t="shared" si="119"/>
        <v>1.0648444029300435</v>
      </c>
      <c r="AO511" s="29">
        <f t="shared" si="120"/>
        <v>1.2244897959183674</v>
      </c>
      <c r="AP511" s="31">
        <f t="shared" si="121"/>
        <v>0.86962292905953542</v>
      </c>
      <c r="AQ511" s="31">
        <f t="shared" si="122"/>
        <v>0.96121883656509699</v>
      </c>
      <c r="AR511" s="31">
        <f t="shared" si="123"/>
        <v>0.79043280182232367</v>
      </c>
      <c r="AS511" s="29">
        <f t="shared" si="124"/>
        <v>27.098933518005541</v>
      </c>
      <c r="AT511" s="29">
        <f t="shared" si="125"/>
        <v>9.1930330875300275</v>
      </c>
      <c r="AU511" s="27" t="str">
        <f t="shared" si="126"/>
        <v>High</v>
      </c>
      <c r="AV511" s="27" t="str">
        <f t="shared" si="127"/>
        <v>Warning</v>
      </c>
      <c r="AW511" s="27"/>
    </row>
    <row r="512" spans="1:49" x14ac:dyDescent="0.25">
      <c r="A512" s="27">
        <v>511</v>
      </c>
      <c r="B512" s="28">
        <v>46161</v>
      </c>
      <c r="C512" s="28" t="str">
        <f t="shared" si="112"/>
        <v>May</v>
      </c>
      <c r="D512" s="27" t="s">
        <v>47</v>
      </c>
      <c r="E512" s="27" t="s">
        <v>76</v>
      </c>
      <c r="F512" s="27" t="s">
        <v>77</v>
      </c>
      <c r="G512" s="27" t="s">
        <v>50</v>
      </c>
      <c r="H512" s="27" t="s">
        <v>51</v>
      </c>
      <c r="I512" s="27" t="s">
        <v>635</v>
      </c>
      <c r="J512" s="27" t="s">
        <v>65</v>
      </c>
      <c r="K512" s="27">
        <v>835</v>
      </c>
      <c r="L512" s="27">
        <v>894</v>
      </c>
      <c r="M512" s="27">
        <v>834</v>
      </c>
      <c r="N512" s="27">
        <v>60</v>
      </c>
      <c r="O512" s="27">
        <v>24</v>
      </c>
      <c r="P512" s="27">
        <v>13</v>
      </c>
      <c r="Q512" s="27" t="s">
        <v>97</v>
      </c>
      <c r="R512" s="27">
        <v>42</v>
      </c>
      <c r="S512" s="27">
        <v>44</v>
      </c>
      <c r="T512" s="29">
        <v>68.900000000000006</v>
      </c>
      <c r="U512" s="29">
        <v>3.15</v>
      </c>
      <c r="V512" s="29">
        <v>37.25</v>
      </c>
      <c r="W512" s="30">
        <v>16475.5</v>
      </c>
      <c r="X512" s="27">
        <v>8.19</v>
      </c>
      <c r="Y512" s="27" t="s">
        <v>71</v>
      </c>
      <c r="Z512" s="29">
        <v>24</v>
      </c>
      <c r="AA512" s="30">
        <v>25887.93</v>
      </c>
      <c r="AB512" s="29">
        <v>0.932885906040268</v>
      </c>
      <c r="AC512" s="30">
        <v>20496.25</v>
      </c>
      <c r="AD512" s="30">
        <v>442.295302013423</v>
      </c>
      <c r="AE512" s="27">
        <v>584.5</v>
      </c>
      <c r="AF512" s="29">
        <v>0.97775876817792995</v>
      </c>
      <c r="AG512" s="30">
        <v>4949.3846979865802</v>
      </c>
      <c r="AH512" s="31">
        <f t="shared" si="113"/>
        <v>1.0706586826347306</v>
      </c>
      <c r="AI512" s="31">
        <f t="shared" si="114"/>
        <v>6.7114093959731544E-2</v>
      </c>
      <c r="AJ512" s="31">
        <f t="shared" si="115"/>
        <v>2.6845637583892617E-2</v>
      </c>
      <c r="AK512" s="31">
        <f t="shared" si="116"/>
        <v>0.93288590604026844</v>
      </c>
      <c r="AL512" s="29">
        <f t="shared" si="117"/>
        <v>0.21666666666666667</v>
      </c>
      <c r="AM512" s="29">
        <f t="shared" si="118"/>
        <v>571.5</v>
      </c>
      <c r="AN512" s="29">
        <f t="shared" si="119"/>
        <v>1.5643044619422573</v>
      </c>
      <c r="AO512" s="29">
        <f t="shared" si="120"/>
        <v>1.4285714285714286</v>
      </c>
      <c r="AP512" s="31">
        <f t="shared" si="121"/>
        <v>1.0950131233595801</v>
      </c>
      <c r="AQ512" s="31">
        <f t="shared" si="122"/>
        <v>0.93288590604026844</v>
      </c>
      <c r="AR512" s="31">
        <f t="shared" si="123"/>
        <v>0.99880239520958092</v>
      </c>
      <c r="AS512" s="29">
        <f t="shared" si="124"/>
        <v>22.926454138702461</v>
      </c>
      <c r="AT512" s="29">
        <f t="shared" si="125"/>
        <v>5.5362244943921484</v>
      </c>
      <c r="AU512" s="27" t="str">
        <f t="shared" si="126"/>
        <v>High</v>
      </c>
      <c r="AV512" s="27" t="str">
        <f t="shared" si="127"/>
        <v>Warning</v>
      </c>
      <c r="AW512" s="27"/>
    </row>
    <row r="513" spans="1:49" x14ac:dyDescent="0.25">
      <c r="A513" s="27">
        <v>512</v>
      </c>
      <c r="B513" s="28">
        <v>46087</v>
      </c>
      <c r="C513" s="28" t="str">
        <f t="shared" si="112"/>
        <v>March</v>
      </c>
      <c r="D513" s="27" t="s">
        <v>67</v>
      </c>
      <c r="E513" s="27" t="s">
        <v>98</v>
      </c>
      <c r="F513" s="27" t="s">
        <v>126</v>
      </c>
      <c r="G513" s="27" t="s">
        <v>63</v>
      </c>
      <c r="H513" s="27" t="s">
        <v>68</v>
      </c>
      <c r="I513" s="27" t="s">
        <v>636</v>
      </c>
      <c r="J513" s="27" t="s">
        <v>150</v>
      </c>
      <c r="K513" s="27">
        <v>643</v>
      </c>
      <c r="L513" s="27">
        <v>604</v>
      </c>
      <c r="M513" s="27">
        <v>551</v>
      </c>
      <c r="N513" s="27">
        <v>53</v>
      </c>
      <c r="O513" s="27">
        <v>15</v>
      </c>
      <c r="P513" s="27">
        <v>42</v>
      </c>
      <c r="Q513" s="27" t="s">
        <v>82</v>
      </c>
      <c r="R513" s="27">
        <v>64</v>
      </c>
      <c r="S513" s="27">
        <v>70</v>
      </c>
      <c r="T513" s="29">
        <v>72.400000000000006</v>
      </c>
      <c r="U513" s="29">
        <v>2.9</v>
      </c>
      <c r="V513" s="29">
        <v>21.3</v>
      </c>
      <c r="W513" s="30">
        <v>17759.04</v>
      </c>
      <c r="X513" s="27">
        <v>9.75</v>
      </c>
      <c r="Y513" s="27" t="s">
        <v>55</v>
      </c>
      <c r="Z513" s="29">
        <v>16</v>
      </c>
      <c r="AA513" s="30">
        <v>29326.99</v>
      </c>
      <c r="AB513" s="29">
        <v>0.91225165562913901</v>
      </c>
      <c r="AC513" s="30">
        <v>22338.240000000002</v>
      </c>
      <c r="AD513" s="30">
        <v>441.03576158940399</v>
      </c>
      <c r="AE513" s="27">
        <v>685.86666666666702</v>
      </c>
      <c r="AF513" s="29">
        <v>0.93876360808709203</v>
      </c>
      <c r="AG513" s="30">
        <v>6547.7142384106</v>
      </c>
      <c r="AH513" s="31">
        <f t="shared" si="113"/>
        <v>0.93934681181959567</v>
      </c>
      <c r="AI513" s="31">
        <f t="shared" si="114"/>
        <v>8.7748344370860931E-2</v>
      </c>
      <c r="AJ513" s="31">
        <f t="shared" si="115"/>
        <v>2.4834437086092714E-2</v>
      </c>
      <c r="AK513" s="31">
        <f t="shared" si="116"/>
        <v>0.91225165562913912</v>
      </c>
      <c r="AL513" s="29">
        <f t="shared" si="117"/>
        <v>0.7</v>
      </c>
      <c r="AM513" s="29">
        <f t="shared" si="118"/>
        <v>643.86666666666702</v>
      </c>
      <c r="AN513" s="29">
        <f t="shared" si="119"/>
        <v>0.93808241872023146</v>
      </c>
      <c r="AO513" s="29">
        <f t="shared" si="120"/>
        <v>0.9375</v>
      </c>
      <c r="AP513" s="31">
        <f t="shared" si="121"/>
        <v>1.0006212466349136</v>
      </c>
      <c r="AQ513" s="31">
        <f t="shared" si="122"/>
        <v>0.91225165562913912</v>
      </c>
      <c r="AR513" s="31">
        <f t="shared" si="123"/>
        <v>0.85692068429237933</v>
      </c>
      <c r="AS513" s="29">
        <f t="shared" si="124"/>
        <v>36.983841059602653</v>
      </c>
      <c r="AT513" s="29">
        <f t="shared" si="125"/>
        <v>10.840586487434768</v>
      </c>
      <c r="AU513" s="27" t="str">
        <f t="shared" si="126"/>
        <v>Medium</v>
      </c>
      <c r="AV513" s="27" t="str">
        <f t="shared" si="127"/>
        <v>Warning</v>
      </c>
      <c r="AW513" s="27"/>
    </row>
    <row r="514" spans="1:49" x14ac:dyDescent="0.25">
      <c r="A514" s="27">
        <v>513</v>
      </c>
      <c r="B514" s="28">
        <v>46054</v>
      </c>
      <c r="C514" s="28" t="str">
        <f t="shared" ref="C514:C577" si="128">TEXT(B514,"mmmm")</f>
        <v>February</v>
      </c>
      <c r="D514" s="27" t="s">
        <v>47</v>
      </c>
      <c r="E514" s="27" t="s">
        <v>98</v>
      </c>
      <c r="F514" s="27" t="s">
        <v>99</v>
      </c>
      <c r="G514" s="27" t="s">
        <v>50</v>
      </c>
      <c r="H514" s="27" t="s">
        <v>79</v>
      </c>
      <c r="I514" s="27" t="s">
        <v>637</v>
      </c>
      <c r="J514" s="27" t="s">
        <v>70</v>
      </c>
      <c r="K514" s="27">
        <v>625</v>
      </c>
      <c r="L514" s="27">
        <v>622</v>
      </c>
      <c r="M514" s="27">
        <v>593</v>
      </c>
      <c r="N514" s="27">
        <v>29</v>
      </c>
      <c r="O514" s="27">
        <v>6</v>
      </c>
      <c r="P514" s="27">
        <v>18</v>
      </c>
      <c r="Q514" s="27" t="s">
        <v>82</v>
      </c>
      <c r="R514" s="27">
        <v>49</v>
      </c>
      <c r="S514" s="27">
        <v>51</v>
      </c>
      <c r="T514" s="29">
        <v>77.3</v>
      </c>
      <c r="U514" s="29">
        <v>2.2999999999999998</v>
      </c>
      <c r="V514" s="29">
        <v>25.71</v>
      </c>
      <c r="W514" s="30">
        <v>14045.27</v>
      </c>
      <c r="X514" s="27">
        <v>10.039999999999999</v>
      </c>
      <c r="Y514" s="27" t="s">
        <v>110</v>
      </c>
      <c r="Z514" s="29">
        <v>9</v>
      </c>
      <c r="AA514" s="30">
        <v>21913.38</v>
      </c>
      <c r="AB514" s="29">
        <v>0.95337620578778104</v>
      </c>
      <c r="AC514" s="30">
        <v>18794.66</v>
      </c>
      <c r="AD514" s="30">
        <v>135.484919614148</v>
      </c>
      <c r="AE514" s="27">
        <v>510.41666666666703</v>
      </c>
      <c r="AF514" s="29">
        <v>0.96473469387755095</v>
      </c>
      <c r="AG514" s="30">
        <v>2983.2350803858499</v>
      </c>
      <c r="AH514" s="31">
        <f t="shared" ref="AH514:AH577" si="129">IFERROR(L514/K514,0)</f>
        <v>0.99519999999999997</v>
      </c>
      <c r="AI514" s="31">
        <f t="shared" ref="AI514:AI577" si="130">IFERROR(N514/L514,0)</f>
        <v>4.6623794212218649E-2</v>
      </c>
      <c r="AJ514" s="31">
        <f t="shared" ref="AJ514:AJ577" si="131">IFERROR(O514/L514,0)</f>
        <v>9.6463022508038593E-3</v>
      </c>
      <c r="AK514" s="31">
        <f t="shared" ref="AK514:AK577" si="132">IFERROR(M514/L514,0)</f>
        <v>0.95337620578778137</v>
      </c>
      <c r="AL514" s="29">
        <f t="shared" ref="AL514:AL577" si="133">P514/60</f>
        <v>0.3</v>
      </c>
      <c r="AM514" s="29">
        <f t="shared" ref="AM514:AM577" si="134">MAX(0,AE514-P514)</f>
        <v>492.41666666666703</v>
      </c>
      <c r="AN514" s="29">
        <f t="shared" ref="AN514:AN577" si="135">IFERROR(L514/AM514,0)</f>
        <v>1.2631578947368411</v>
      </c>
      <c r="AO514" s="29">
        <f t="shared" ref="AO514:AO577" si="136">IFERROR(60/R514,0)</f>
        <v>1.2244897959183674</v>
      </c>
      <c r="AP514" s="31">
        <f t="shared" ref="AP514:AP577" si="137">IFERROR(AN514/AO514,0)</f>
        <v>1.0315789473684203</v>
      </c>
      <c r="AQ514" s="31">
        <f t="shared" ref="AQ514:AQ577" si="138">IFERROR(M514/L514,0)</f>
        <v>0.95337620578778137</v>
      </c>
      <c r="AR514" s="31">
        <f t="shared" ref="AR514:AR577" si="139">AF514*AP514*AQ514</f>
        <v>0.94879999999999931</v>
      </c>
      <c r="AS514" s="29">
        <f t="shared" ref="AS514:AS577" si="140">IFERROR(AC514/L514,0)</f>
        <v>30.216495176848873</v>
      </c>
      <c r="AT514" s="29">
        <f t="shared" ref="AT514:AT577" si="141">IFERROR(AG514/L514,0)</f>
        <v>4.7961978784338424</v>
      </c>
      <c r="AU514" s="27" t="str">
        <f t="shared" ref="AU514:AU577" si="142">IF(OR(Y514="Overdue",P514&gt;=120,T514&gt;=85,U514&gt;=4,AI514&gt;=0.12,AR514&lt;0.8),"High",IF(OR(Y514="Pending",Z514&gt;=30,P514&gt;=60,T514&gt;=80,U514&gt;=3,AI514&gt;=0.08,AR514&lt;0.85),"Medium","Low"))</f>
        <v>Medium</v>
      </c>
      <c r="AV514" s="27" t="str">
        <f t="shared" ref="AV514:AV577" si="143">IF(OR(P514&gt;=120,T514&gt;=90,U514&gt;=4.5,AI514&gt;=0.15,AR514&lt;0.75),"Critical",IF(OR(P514&gt;=60,T514&gt;=80,U514&gt;=3,AI514&gt;=0.08,AR514&lt;0.85),"Warning","Normal"))</f>
        <v>Normal</v>
      </c>
      <c r="AW514" s="27"/>
    </row>
    <row r="515" spans="1:49" x14ac:dyDescent="0.25">
      <c r="A515" s="27">
        <v>514</v>
      </c>
      <c r="B515" s="28">
        <v>46088</v>
      </c>
      <c r="C515" s="28" t="str">
        <f t="shared" si="128"/>
        <v>March</v>
      </c>
      <c r="D515" s="27" t="s">
        <v>47</v>
      </c>
      <c r="E515" s="27" t="s">
        <v>61</v>
      </c>
      <c r="F515" s="27" t="s">
        <v>62</v>
      </c>
      <c r="G515" s="27" t="s">
        <v>63</v>
      </c>
      <c r="H515" s="27" t="s">
        <v>68</v>
      </c>
      <c r="I515" s="27" t="s">
        <v>638</v>
      </c>
      <c r="J515" s="27" t="s">
        <v>186</v>
      </c>
      <c r="K515" s="27">
        <v>644</v>
      </c>
      <c r="L515" s="27">
        <v>624</v>
      </c>
      <c r="M515" s="27">
        <v>587</v>
      </c>
      <c r="N515" s="27">
        <v>37</v>
      </c>
      <c r="O515" s="27">
        <v>11</v>
      </c>
      <c r="P515" s="27">
        <v>14</v>
      </c>
      <c r="Q515" s="27" t="s">
        <v>91</v>
      </c>
      <c r="R515" s="27">
        <v>64</v>
      </c>
      <c r="S515" s="27">
        <v>70</v>
      </c>
      <c r="T515" s="29">
        <v>74.5</v>
      </c>
      <c r="U515" s="29">
        <v>1.8</v>
      </c>
      <c r="V515" s="29">
        <v>23.9</v>
      </c>
      <c r="W515" s="30">
        <v>18314.87</v>
      </c>
      <c r="X515" s="27">
        <v>7.31</v>
      </c>
      <c r="Y515" s="27" t="s">
        <v>66</v>
      </c>
      <c r="Z515" s="29">
        <v>10</v>
      </c>
      <c r="AA515" s="30">
        <v>31150.95</v>
      </c>
      <c r="AB515" s="29">
        <v>0.94070512820512797</v>
      </c>
      <c r="AC515" s="30">
        <v>21819.47</v>
      </c>
      <c r="AD515" s="30">
        <v>322.85828525641</v>
      </c>
      <c r="AE515" s="27">
        <v>686.93333333333305</v>
      </c>
      <c r="AF515" s="29">
        <v>0.97961956521739102</v>
      </c>
      <c r="AG515" s="30">
        <v>9008.6217147435891</v>
      </c>
      <c r="AH515" s="31">
        <f t="shared" si="129"/>
        <v>0.96894409937888204</v>
      </c>
      <c r="AI515" s="31">
        <f t="shared" si="130"/>
        <v>5.9294871794871792E-2</v>
      </c>
      <c r="AJ515" s="31">
        <f t="shared" si="131"/>
        <v>1.7628205128205128E-2</v>
      </c>
      <c r="AK515" s="31">
        <f t="shared" si="132"/>
        <v>0.94070512820512819</v>
      </c>
      <c r="AL515" s="29">
        <f t="shared" si="133"/>
        <v>0.23333333333333334</v>
      </c>
      <c r="AM515" s="29">
        <f t="shared" si="134"/>
        <v>672.93333333333305</v>
      </c>
      <c r="AN515" s="29">
        <f t="shared" si="135"/>
        <v>0.92728353477313297</v>
      </c>
      <c r="AO515" s="29">
        <f t="shared" si="136"/>
        <v>0.9375</v>
      </c>
      <c r="AP515" s="31">
        <f t="shared" si="137"/>
        <v>0.98910243709134182</v>
      </c>
      <c r="AQ515" s="31">
        <f t="shared" si="138"/>
        <v>0.94070512820512819</v>
      </c>
      <c r="AR515" s="31">
        <f t="shared" si="139"/>
        <v>0.91149068322981386</v>
      </c>
      <c r="AS515" s="29">
        <f t="shared" si="140"/>
        <v>34.967099358974359</v>
      </c>
      <c r="AT515" s="29">
        <f t="shared" si="141"/>
        <v>14.436893773627547</v>
      </c>
      <c r="AU515" s="27" t="str">
        <f t="shared" si="142"/>
        <v>Low</v>
      </c>
      <c r="AV515" s="27" t="str">
        <f t="shared" si="143"/>
        <v>Normal</v>
      </c>
      <c r="AW515" s="27"/>
    </row>
    <row r="516" spans="1:49" x14ac:dyDescent="0.25">
      <c r="A516" s="27">
        <v>515</v>
      </c>
      <c r="B516" s="28">
        <v>46093</v>
      </c>
      <c r="C516" s="28" t="str">
        <f t="shared" si="128"/>
        <v>March</v>
      </c>
      <c r="D516" s="27" t="s">
        <v>67</v>
      </c>
      <c r="E516" s="27" t="s">
        <v>76</v>
      </c>
      <c r="F516" s="27" t="s">
        <v>119</v>
      </c>
      <c r="G516" s="27" t="s">
        <v>50</v>
      </c>
      <c r="H516" s="27" t="s">
        <v>57</v>
      </c>
      <c r="I516" s="27" t="s">
        <v>639</v>
      </c>
      <c r="J516" s="27" t="s">
        <v>170</v>
      </c>
      <c r="K516" s="27">
        <v>722</v>
      </c>
      <c r="L516" s="27">
        <v>661</v>
      </c>
      <c r="M516" s="27">
        <v>578</v>
      </c>
      <c r="N516" s="27">
        <v>83</v>
      </c>
      <c r="O516" s="27">
        <v>26</v>
      </c>
      <c r="P516" s="27">
        <v>7</v>
      </c>
      <c r="Q516" s="27" t="s">
        <v>54</v>
      </c>
      <c r="R516" s="27">
        <v>45</v>
      </c>
      <c r="S516" s="27">
        <v>48</v>
      </c>
      <c r="T516" s="29">
        <v>89.1</v>
      </c>
      <c r="U516" s="29">
        <v>2.38</v>
      </c>
      <c r="V516" s="29">
        <v>24.21</v>
      </c>
      <c r="W516" s="30">
        <v>13822.96</v>
      </c>
      <c r="X516" s="27">
        <v>6.72</v>
      </c>
      <c r="Y516" s="27" t="s">
        <v>55</v>
      </c>
      <c r="Z516" s="29">
        <v>20</v>
      </c>
      <c r="AA516" s="30">
        <v>20640.509999999998</v>
      </c>
      <c r="AB516" s="29">
        <v>0.874432677760968</v>
      </c>
      <c r="AC516" s="30">
        <v>17064.849999999999</v>
      </c>
      <c r="AD516" s="30">
        <v>543.71703479576399</v>
      </c>
      <c r="AE516" s="27">
        <v>541.5</v>
      </c>
      <c r="AF516" s="29">
        <v>0.987072945521699</v>
      </c>
      <c r="AG516" s="30">
        <v>3031.94296520424</v>
      </c>
      <c r="AH516" s="31">
        <f t="shared" si="129"/>
        <v>0.91551246537396125</v>
      </c>
      <c r="AI516" s="31">
        <f t="shared" si="130"/>
        <v>0.12556732223903178</v>
      </c>
      <c r="AJ516" s="31">
        <f t="shared" si="131"/>
        <v>3.9334341906202726E-2</v>
      </c>
      <c r="AK516" s="31">
        <f t="shared" si="132"/>
        <v>0.87443267776096822</v>
      </c>
      <c r="AL516" s="29">
        <f t="shared" si="133"/>
        <v>0.11666666666666667</v>
      </c>
      <c r="AM516" s="29">
        <f t="shared" si="134"/>
        <v>534.5</v>
      </c>
      <c r="AN516" s="29">
        <f t="shared" si="135"/>
        <v>1.23666978484565</v>
      </c>
      <c r="AO516" s="29">
        <f t="shared" si="136"/>
        <v>1.3333333333333333</v>
      </c>
      <c r="AP516" s="31">
        <f t="shared" si="137"/>
        <v>0.92750233863423759</v>
      </c>
      <c r="AQ516" s="31">
        <f t="shared" si="138"/>
        <v>0.87443267776096822</v>
      </c>
      <c r="AR516" s="31">
        <f t="shared" si="139"/>
        <v>0.80055401662049863</v>
      </c>
      <c r="AS516" s="29">
        <f t="shared" si="140"/>
        <v>25.816717095310135</v>
      </c>
      <c r="AT516" s="29">
        <f t="shared" si="141"/>
        <v>4.5869031243634488</v>
      </c>
      <c r="AU516" s="27" t="str">
        <f t="shared" si="142"/>
        <v>High</v>
      </c>
      <c r="AV516" s="27" t="str">
        <f t="shared" si="143"/>
        <v>Warning</v>
      </c>
      <c r="AW516" s="27"/>
    </row>
    <row r="517" spans="1:49" x14ac:dyDescent="0.25">
      <c r="A517" s="27">
        <v>516</v>
      </c>
      <c r="B517" s="28">
        <v>46187</v>
      </c>
      <c r="C517" s="28" t="str">
        <f t="shared" si="128"/>
        <v>June</v>
      </c>
      <c r="D517" s="27" t="s">
        <v>47</v>
      </c>
      <c r="E517" s="27" t="s">
        <v>76</v>
      </c>
      <c r="F517" s="27" t="s">
        <v>77</v>
      </c>
      <c r="G517" s="27" t="s">
        <v>50</v>
      </c>
      <c r="H517" s="27" t="s">
        <v>57</v>
      </c>
      <c r="I517" s="27" t="s">
        <v>640</v>
      </c>
      <c r="J517" s="27" t="s">
        <v>155</v>
      </c>
      <c r="K517" s="27">
        <v>895</v>
      </c>
      <c r="L517" s="27">
        <v>919</v>
      </c>
      <c r="M517" s="27">
        <v>868</v>
      </c>
      <c r="N517" s="27">
        <v>51</v>
      </c>
      <c r="O517" s="27">
        <v>14</v>
      </c>
      <c r="P517" s="27">
        <v>21</v>
      </c>
      <c r="Q517" s="27" t="s">
        <v>102</v>
      </c>
      <c r="R517" s="27">
        <v>45</v>
      </c>
      <c r="S517" s="27">
        <v>46</v>
      </c>
      <c r="T517" s="29">
        <v>62.3</v>
      </c>
      <c r="U517" s="29">
        <v>2.31</v>
      </c>
      <c r="V517" s="29">
        <v>36.71</v>
      </c>
      <c r="W517" s="30">
        <v>18685.310000000001</v>
      </c>
      <c r="X517" s="27">
        <v>10.47</v>
      </c>
      <c r="Y517" s="27" t="s">
        <v>55</v>
      </c>
      <c r="Z517" s="29">
        <v>11</v>
      </c>
      <c r="AA517" s="30">
        <v>29798.05</v>
      </c>
      <c r="AB517" s="29">
        <v>0.94450489662676795</v>
      </c>
      <c r="AC517" s="30">
        <v>23727.200000000001</v>
      </c>
      <c r="AD517" s="30">
        <v>284.65107725788903</v>
      </c>
      <c r="AE517" s="27">
        <v>671.25</v>
      </c>
      <c r="AF517" s="29">
        <v>0.96871508379888305</v>
      </c>
      <c r="AG517" s="30">
        <v>5786.19892274211</v>
      </c>
      <c r="AH517" s="31">
        <f t="shared" si="129"/>
        <v>1.0268156424581005</v>
      </c>
      <c r="AI517" s="31">
        <f t="shared" si="130"/>
        <v>5.5495103373231776E-2</v>
      </c>
      <c r="AJ517" s="31">
        <f t="shared" si="131"/>
        <v>1.5233949945593036E-2</v>
      </c>
      <c r="AK517" s="31">
        <f t="shared" si="132"/>
        <v>0.94450489662676818</v>
      </c>
      <c r="AL517" s="29">
        <f t="shared" si="133"/>
        <v>0.35</v>
      </c>
      <c r="AM517" s="29">
        <f t="shared" si="134"/>
        <v>650.25</v>
      </c>
      <c r="AN517" s="29">
        <f t="shared" si="135"/>
        <v>1.4133025759323337</v>
      </c>
      <c r="AO517" s="29">
        <f t="shared" si="136"/>
        <v>1.3333333333333333</v>
      </c>
      <c r="AP517" s="31">
        <f t="shared" si="137"/>
        <v>1.0599769319492502</v>
      </c>
      <c r="AQ517" s="31">
        <f t="shared" si="138"/>
        <v>0.94450489662676818</v>
      </c>
      <c r="AR517" s="31">
        <f t="shared" si="139"/>
        <v>0.96983240223463718</v>
      </c>
      <c r="AS517" s="29">
        <f t="shared" si="140"/>
        <v>25.818498367791079</v>
      </c>
      <c r="AT517" s="29">
        <f t="shared" si="141"/>
        <v>6.2961903403069748</v>
      </c>
      <c r="AU517" s="27" t="str">
        <f t="shared" si="142"/>
        <v>Low</v>
      </c>
      <c r="AV517" s="27" t="str">
        <f t="shared" si="143"/>
        <v>Normal</v>
      </c>
      <c r="AW517" s="27"/>
    </row>
    <row r="518" spans="1:49" x14ac:dyDescent="0.25">
      <c r="A518" s="27">
        <v>517</v>
      </c>
      <c r="B518" s="28">
        <v>46184</v>
      </c>
      <c r="C518" s="28" t="str">
        <f t="shared" si="128"/>
        <v>June</v>
      </c>
      <c r="D518" s="27" t="s">
        <v>67</v>
      </c>
      <c r="E518" s="27" t="s">
        <v>48</v>
      </c>
      <c r="F518" s="27" t="s">
        <v>56</v>
      </c>
      <c r="G518" s="27" t="s">
        <v>78</v>
      </c>
      <c r="H518" s="27" t="s">
        <v>57</v>
      </c>
      <c r="I518" s="27" t="s">
        <v>641</v>
      </c>
      <c r="J518" s="27" t="s">
        <v>117</v>
      </c>
      <c r="K518" s="27">
        <v>809</v>
      </c>
      <c r="L518" s="27">
        <v>722</v>
      </c>
      <c r="M518" s="27">
        <v>673</v>
      </c>
      <c r="N518" s="27">
        <v>49</v>
      </c>
      <c r="O518" s="27">
        <v>11</v>
      </c>
      <c r="P518" s="27">
        <v>8</v>
      </c>
      <c r="Q518" s="27" t="s">
        <v>97</v>
      </c>
      <c r="R518" s="27">
        <v>45</v>
      </c>
      <c r="S518" s="27">
        <v>46</v>
      </c>
      <c r="T518" s="29">
        <v>67.7</v>
      </c>
      <c r="U518" s="29">
        <v>1.87</v>
      </c>
      <c r="V518" s="29">
        <v>26.01</v>
      </c>
      <c r="W518" s="30">
        <v>15064.38</v>
      </c>
      <c r="X518" s="27">
        <v>8.61</v>
      </c>
      <c r="Y518" s="27" t="s">
        <v>66</v>
      </c>
      <c r="Z518" s="29">
        <v>19</v>
      </c>
      <c r="AA518" s="30">
        <v>23952.09</v>
      </c>
      <c r="AB518" s="29">
        <v>0.93213296398891998</v>
      </c>
      <c r="AC518" s="30">
        <v>19172.97</v>
      </c>
      <c r="AD518" s="30">
        <v>229.51271468144</v>
      </c>
      <c r="AE518" s="27">
        <v>606.75</v>
      </c>
      <c r="AF518" s="29">
        <v>0.98681499793984295</v>
      </c>
      <c r="AG518" s="30">
        <v>4549.6072853185597</v>
      </c>
      <c r="AH518" s="31">
        <f t="shared" si="129"/>
        <v>0.892459826946848</v>
      </c>
      <c r="AI518" s="31">
        <f t="shared" si="130"/>
        <v>6.7867036011080337E-2</v>
      </c>
      <c r="AJ518" s="31">
        <f t="shared" si="131"/>
        <v>1.5235457063711912E-2</v>
      </c>
      <c r="AK518" s="31">
        <f t="shared" si="132"/>
        <v>0.93213296398891965</v>
      </c>
      <c r="AL518" s="29">
        <f t="shared" si="133"/>
        <v>0.13333333333333333</v>
      </c>
      <c r="AM518" s="29">
        <f t="shared" si="134"/>
        <v>598.75</v>
      </c>
      <c r="AN518" s="29">
        <f t="shared" si="135"/>
        <v>1.2058455114822546</v>
      </c>
      <c r="AO518" s="29">
        <f t="shared" si="136"/>
        <v>1.3333333333333333</v>
      </c>
      <c r="AP518" s="31">
        <f t="shared" si="137"/>
        <v>0.90438413361169101</v>
      </c>
      <c r="AQ518" s="31">
        <f t="shared" si="138"/>
        <v>0.93213296398891965</v>
      </c>
      <c r="AR518" s="31">
        <f t="shared" si="139"/>
        <v>0.83189122373300328</v>
      </c>
      <c r="AS518" s="29">
        <f t="shared" si="140"/>
        <v>26.555360110803324</v>
      </c>
      <c r="AT518" s="29">
        <f t="shared" si="141"/>
        <v>6.3013951320201658</v>
      </c>
      <c r="AU518" s="27" t="str">
        <f t="shared" si="142"/>
        <v>Medium</v>
      </c>
      <c r="AV518" s="27" t="str">
        <f t="shared" si="143"/>
        <v>Warning</v>
      </c>
      <c r="AW518" s="27"/>
    </row>
    <row r="519" spans="1:49" x14ac:dyDescent="0.25">
      <c r="A519" s="27">
        <v>518</v>
      </c>
      <c r="B519" s="28">
        <v>46067</v>
      </c>
      <c r="C519" s="28" t="str">
        <f t="shared" si="128"/>
        <v>February</v>
      </c>
      <c r="D519" s="27" t="s">
        <v>67</v>
      </c>
      <c r="E519" s="27" t="s">
        <v>48</v>
      </c>
      <c r="F519" s="27" t="s">
        <v>56</v>
      </c>
      <c r="G519" s="27" t="s">
        <v>50</v>
      </c>
      <c r="H519" s="27" t="s">
        <v>124</v>
      </c>
      <c r="I519" s="27" t="s">
        <v>642</v>
      </c>
      <c r="J519" s="27" t="s">
        <v>286</v>
      </c>
      <c r="K519" s="27">
        <v>601</v>
      </c>
      <c r="L519" s="27">
        <v>642</v>
      </c>
      <c r="M519" s="27">
        <v>608</v>
      </c>
      <c r="N519" s="27">
        <v>34</v>
      </c>
      <c r="O519" s="27">
        <v>8</v>
      </c>
      <c r="P519" s="27">
        <v>42</v>
      </c>
      <c r="Q519" s="27" t="s">
        <v>102</v>
      </c>
      <c r="R519" s="27">
        <v>57</v>
      </c>
      <c r="S519" s="27">
        <v>57</v>
      </c>
      <c r="T519" s="29">
        <v>68.8</v>
      </c>
      <c r="U519" s="29">
        <v>2.08</v>
      </c>
      <c r="V519" s="29">
        <v>25.94</v>
      </c>
      <c r="W519" s="30">
        <v>18303.07</v>
      </c>
      <c r="X519" s="27">
        <v>10.85</v>
      </c>
      <c r="Y519" s="27" t="s">
        <v>66</v>
      </c>
      <c r="Z519" s="29">
        <v>7</v>
      </c>
      <c r="AA519" s="30">
        <v>28738.76</v>
      </c>
      <c r="AB519" s="29">
        <v>0.94704049844236804</v>
      </c>
      <c r="AC519" s="30">
        <v>23419.03</v>
      </c>
      <c r="AD519" s="30">
        <v>228.07563862928299</v>
      </c>
      <c r="AE519" s="27">
        <v>570.95000000000005</v>
      </c>
      <c r="AF519" s="29">
        <v>0.92643839215342905</v>
      </c>
      <c r="AG519" s="30">
        <v>5091.6543613707199</v>
      </c>
      <c r="AH519" s="31">
        <f t="shared" si="129"/>
        <v>1.0682196339434276</v>
      </c>
      <c r="AI519" s="31">
        <f t="shared" si="130"/>
        <v>5.2959501557632398E-2</v>
      </c>
      <c r="AJ519" s="31">
        <f t="shared" si="131"/>
        <v>1.2461059190031152E-2</v>
      </c>
      <c r="AK519" s="31">
        <f t="shared" si="132"/>
        <v>0.9470404984423676</v>
      </c>
      <c r="AL519" s="29">
        <f t="shared" si="133"/>
        <v>0.7</v>
      </c>
      <c r="AM519" s="29">
        <f t="shared" si="134"/>
        <v>528.95000000000005</v>
      </c>
      <c r="AN519" s="29">
        <f t="shared" si="135"/>
        <v>1.2137253048492296</v>
      </c>
      <c r="AO519" s="29">
        <f t="shared" si="136"/>
        <v>1.0526315789473684</v>
      </c>
      <c r="AP519" s="31">
        <f t="shared" si="137"/>
        <v>1.1530390396067682</v>
      </c>
      <c r="AQ519" s="31">
        <f t="shared" si="138"/>
        <v>0.9470404984423676</v>
      </c>
      <c r="AR519" s="31">
        <f t="shared" si="139"/>
        <v>1.011647254575708</v>
      </c>
      <c r="AS519" s="29">
        <f t="shared" si="140"/>
        <v>36.478239875389406</v>
      </c>
      <c r="AT519" s="29">
        <f t="shared" si="141"/>
        <v>7.9309257965276014</v>
      </c>
      <c r="AU519" s="27" t="str">
        <f t="shared" si="142"/>
        <v>Low</v>
      </c>
      <c r="AV519" s="27" t="str">
        <f t="shared" si="143"/>
        <v>Normal</v>
      </c>
      <c r="AW519" s="27"/>
    </row>
    <row r="520" spans="1:49" x14ac:dyDescent="0.25">
      <c r="A520" s="27">
        <v>519</v>
      </c>
      <c r="B520" s="28">
        <v>46105</v>
      </c>
      <c r="C520" s="28" t="str">
        <f t="shared" si="128"/>
        <v>March</v>
      </c>
      <c r="D520" s="27" t="s">
        <v>47</v>
      </c>
      <c r="E520" s="27" t="s">
        <v>48</v>
      </c>
      <c r="F520" s="27" t="s">
        <v>72</v>
      </c>
      <c r="G520" s="27" t="s">
        <v>63</v>
      </c>
      <c r="H520" s="27" t="s">
        <v>68</v>
      </c>
      <c r="I520" s="27" t="s">
        <v>643</v>
      </c>
      <c r="J520" s="27" t="s">
        <v>143</v>
      </c>
      <c r="K520" s="27">
        <v>643</v>
      </c>
      <c r="L520" s="27">
        <v>591</v>
      </c>
      <c r="M520" s="27">
        <v>570</v>
      </c>
      <c r="N520" s="27">
        <v>21</v>
      </c>
      <c r="O520" s="27">
        <v>5</v>
      </c>
      <c r="P520" s="27">
        <v>40</v>
      </c>
      <c r="Q520" s="27" t="s">
        <v>54</v>
      </c>
      <c r="R520" s="27">
        <v>64</v>
      </c>
      <c r="S520" s="27">
        <v>62</v>
      </c>
      <c r="T520" s="29">
        <v>61.2</v>
      </c>
      <c r="U520" s="29">
        <v>1.58</v>
      </c>
      <c r="V520" s="29">
        <v>20.88</v>
      </c>
      <c r="W520" s="30">
        <v>18068.7</v>
      </c>
      <c r="X520" s="27">
        <v>9.18</v>
      </c>
      <c r="Y520" s="27" t="s">
        <v>110</v>
      </c>
      <c r="Z520" s="29">
        <v>31</v>
      </c>
      <c r="AA520" s="30">
        <v>30309.5</v>
      </c>
      <c r="AB520" s="29">
        <v>0.96446700507614203</v>
      </c>
      <c r="AC520" s="30">
        <v>22387.62</v>
      </c>
      <c r="AD520" s="30">
        <v>152.865482233503</v>
      </c>
      <c r="AE520" s="27">
        <v>685.86666666666702</v>
      </c>
      <c r="AF520" s="29">
        <v>0.94167962674961103</v>
      </c>
      <c r="AG520" s="30">
        <v>7769.0145177664999</v>
      </c>
      <c r="AH520" s="31">
        <f t="shared" si="129"/>
        <v>0.91912908242612756</v>
      </c>
      <c r="AI520" s="31">
        <f t="shared" si="130"/>
        <v>3.553299492385787E-2</v>
      </c>
      <c r="AJ520" s="31">
        <f t="shared" si="131"/>
        <v>8.4602368866328256E-3</v>
      </c>
      <c r="AK520" s="31">
        <f t="shared" si="132"/>
        <v>0.96446700507614214</v>
      </c>
      <c r="AL520" s="29">
        <f t="shared" si="133"/>
        <v>0.66666666666666663</v>
      </c>
      <c r="AM520" s="29">
        <f t="shared" si="134"/>
        <v>645.86666666666702</v>
      </c>
      <c r="AN520" s="29">
        <f t="shared" si="135"/>
        <v>0.91504954582989217</v>
      </c>
      <c r="AO520" s="29">
        <f t="shared" si="136"/>
        <v>0.9375</v>
      </c>
      <c r="AP520" s="31">
        <f t="shared" si="137"/>
        <v>0.97605284888521837</v>
      </c>
      <c r="AQ520" s="31">
        <f t="shared" si="138"/>
        <v>0.96446700507614214</v>
      </c>
      <c r="AR520" s="31">
        <f t="shared" si="139"/>
        <v>0.88646967340590921</v>
      </c>
      <c r="AS520" s="29">
        <f t="shared" si="140"/>
        <v>37.880913705583758</v>
      </c>
      <c r="AT520" s="29">
        <f t="shared" si="141"/>
        <v>13.145540639198815</v>
      </c>
      <c r="AU520" s="27" t="str">
        <f t="shared" si="142"/>
        <v>Medium</v>
      </c>
      <c r="AV520" s="27" t="str">
        <f t="shared" si="143"/>
        <v>Normal</v>
      </c>
      <c r="AW520" s="27"/>
    </row>
    <row r="521" spans="1:49" x14ac:dyDescent="0.25">
      <c r="A521" s="27">
        <v>520</v>
      </c>
      <c r="B521" s="28">
        <v>46098</v>
      </c>
      <c r="C521" s="28" t="str">
        <f t="shared" si="128"/>
        <v>March</v>
      </c>
      <c r="D521" s="27" t="s">
        <v>47</v>
      </c>
      <c r="E521" s="27" t="s">
        <v>129</v>
      </c>
      <c r="F521" s="27" t="s">
        <v>167</v>
      </c>
      <c r="G521" s="27" t="s">
        <v>63</v>
      </c>
      <c r="H521" s="27" t="s">
        <v>51</v>
      </c>
      <c r="I521" s="27" t="s">
        <v>644</v>
      </c>
      <c r="J521" s="27" t="s">
        <v>101</v>
      </c>
      <c r="K521" s="27">
        <v>860</v>
      </c>
      <c r="L521" s="27">
        <v>742</v>
      </c>
      <c r="M521" s="27">
        <v>684</v>
      </c>
      <c r="N521" s="27">
        <v>58</v>
      </c>
      <c r="O521" s="27">
        <v>15</v>
      </c>
      <c r="P521" s="27">
        <v>28</v>
      </c>
      <c r="Q521" s="27" t="s">
        <v>54</v>
      </c>
      <c r="R521" s="27">
        <v>42</v>
      </c>
      <c r="S521" s="27">
        <v>45</v>
      </c>
      <c r="T521" s="29">
        <v>63.5</v>
      </c>
      <c r="U521" s="29">
        <v>2.4300000000000002</v>
      </c>
      <c r="V521" s="29">
        <v>32.020000000000003</v>
      </c>
      <c r="W521" s="30">
        <v>13699.45</v>
      </c>
      <c r="X521" s="27">
        <v>7.46</v>
      </c>
      <c r="Y521" s="27" t="s">
        <v>66</v>
      </c>
      <c r="Z521" s="29">
        <v>3</v>
      </c>
      <c r="AA521" s="30">
        <v>22542.5</v>
      </c>
      <c r="AB521" s="29">
        <v>0.92183288409703501</v>
      </c>
      <c r="AC521" s="30">
        <v>17344.63</v>
      </c>
      <c r="AD521" s="30">
        <v>276.94305929919102</v>
      </c>
      <c r="AE521" s="27">
        <v>602</v>
      </c>
      <c r="AF521" s="29">
        <v>0.95348837209302295</v>
      </c>
      <c r="AG521" s="30">
        <v>4920.9269407008096</v>
      </c>
      <c r="AH521" s="31">
        <f t="shared" si="129"/>
        <v>0.86279069767441863</v>
      </c>
      <c r="AI521" s="31">
        <f t="shared" si="130"/>
        <v>7.8167115902964962E-2</v>
      </c>
      <c r="AJ521" s="31">
        <f t="shared" si="131"/>
        <v>2.0215633423180591E-2</v>
      </c>
      <c r="AK521" s="31">
        <f t="shared" si="132"/>
        <v>0.92183288409703501</v>
      </c>
      <c r="AL521" s="29">
        <f t="shared" si="133"/>
        <v>0.46666666666666667</v>
      </c>
      <c r="AM521" s="29">
        <f t="shared" si="134"/>
        <v>574</v>
      </c>
      <c r="AN521" s="29">
        <f t="shared" si="135"/>
        <v>1.2926829268292683</v>
      </c>
      <c r="AO521" s="29">
        <f t="shared" si="136"/>
        <v>1.4285714285714286</v>
      </c>
      <c r="AP521" s="31">
        <f t="shared" si="137"/>
        <v>0.90487804878048783</v>
      </c>
      <c r="AQ521" s="31">
        <f t="shared" si="138"/>
        <v>0.92183288409703501</v>
      </c>
      <c r="AR521" s="31">
        <f t="shared" si="139"/>
        <v>0.79534883720930216</v>
      </c>
      <c r="AS521" s="29">
        <f t="shared" si="140"/>
        <v>23.375512129380056</v>
      </c>
      <c r="AT521" s="29">
        <f t="shared" si="141"/>
        <v>6.6319770090307406</v>
      </c>
      <c r="AU521" s="27" t="str">
        <f t="shared" si="142"/>
        <v>High</v>
      </c>
      <c r="AV521" s="27" t="str">
        <f t="shared" si="143"/>
        <v>Warning</v>
      </c>
      <c r="AW521" s="27"/>
    </row>
    <row r="522" spans="1:49" x14ac:dyDescent="0.25">
      <c r="A522" s="27">
        <v>521</v>
      </c>
      <c r="B522" s="28">
        <v>46072</v>
      </c>
      <c r="C522" s="28" t="str">
        <f t="shared" si="128"/>
        <v>February</v>
      </c>
      <c r="D522" s="27" t="s">
        <v>67</v>
      </c>
      <c r="E522" s="27" t="s">
        <v>98</v>
      </c>
      <c r="F522" s="27" t="s">
        <v>126</v>
      </c>
      <c r="G522" s="27" t="s">
        <v>63</v>
      </c>
      <c r="H522" s="27" t="s">
        <v>124</v>
      </c>
      <c r="I522" s="27" t="s">
        <v>645</v>
      </c>
      <c r="J522" s="27" t="s">
        <v>90</v>
      </c>
      <c r="K522" s="27">
        <v>711</v>
      </c>
      <c r="L522" s="27">
        <v>664</v>
      </c>
      <c r="M522" s="27">
        <v>612</v>
      </c>
      <c r="N522" s="27">
        <v>52</v>
      </c>
      <c r="O522" s="27">
        <v>13</v>
      </c>
      <c r="P522" s="27">
        <v>9</v>
      </c>
      <c r="Q522" s="27" t="s">
        <v>104</v>
      </c>
      <c r="R522" s="27">
        <v>57</v>
      </c>
      <c r="S522" s="27">
        <v>58</v>
      </c>
      <c r="T522" s="29">
        <v>70.400000000000006</v>
      </c>
      <c r="U522" s="29">
        <v>1.93</v>
      </c>
      <c r="V522" s="29">
        <v>26.3</v>
      </c>
      <c r="W522" s="30">
        <v>18907.62</v>
      </c>
      <c r="X522" s="27">
        <v>8.51</v>
      </c>
      <c r="Y522" s="27" t="s">
        <v>55</v>
      </c>
      <c r="Z522" s="29">
        <v>27</v>
      </c>
      <c r="AA522" s="30">
        <v>28857.17</v>
      </c>
      <c r="AB522" s="29">
        <v>0.92168674698795205</v>
      </c>
      <c r="AC522" s="30">
        <v>22973.82</v>
      </c>
      <c r="AD522" s="30">
        <v>370.179307228916</v>
      </c>
      <c r="AE522" s="27">
        <v>675.45</v>
      </c>
      <c r="AF522" s="29">
        <v>0.98667554963357795</v>
      </c>
      <c r="AG522" s="30">
        <v>5513.1706927710802</v>
      </c>
      <c r="AH522" s="31">
        <f t="shared" si="129"/>
        <v>0.93389592123769338</v>
      </c>
      <c r="AI522" s="31">
        <f t="shared" si="130"/>
        <v>7.8313253012048195E-2</v>
      </c>
      <c r="AJ522" s="31">
        <f t="shared" si="131"/>
        <v>1.9578313253012049E-2</v>
      </c>
      <c r="AK522" s="31">
        <f t="shared" si="132"/>
        <v>0.92168674698795183</v>
      </c>
      <c r="AL522" s="29">
        <f t="shared" si="133"/>
        <v>0.15</v>
      </c>
      <c r="AM522" s="29">
        <f t="shared" si="134"/>
        <v>666.45</v>
      </c>
      <c r="AN522" s="29">
        <f t="shared" si="135"/>
        <v>0.99632380523670183</v>
      </c>
      <c r="AO522" s="29">
        <f t="shared" si="136"/>
        <v>1.0526315789473684</v>
      </c>
      <c r="AP522" s="31">
        <f t="shared" si="137"/>
        <v>0.9465076149748668</v>
      </c>
      <c r="AQ522" s="31">
        <f t="shared" si="138"/>
        <v>0.92168674698795183</v>
      </c>
      <c r="AR522" s="31">
        <f t="shared" si="139"/>
        <v>0.86075949367088644</v>
      </c>
      <c r="AS522" s="29">
        <f t="shared" si="140"/>
        <v>34.599126506024099</v>
      </c>
      <c r="AT522" s="29">
        <f t="shared" si="141"/>
        <v>8.3029679107998202</v>
      </c>
      <c r="AU522" s="27" t="str">
        <f t="shared" si="142"/>
        <v>Low</v>
      </c>
      <c r="AV522" s="27" t="str">
        <f t="shared" si="143"/>
        <v>Normal</v>
      </c>
      <c r="AW522" s="27"/>
    </row>
    <row r="523" spans="1:49" x14ac:dyDescent="0.25">
      <c r="A523" s="27">
        <v>522</v>
      </c>
      <c r="B523" s="28">
        <v>46152</v>
      </c>
      <c r="C523" s="28" t="str">
        <f t="shared" si="128"/>
        <v>May</v>
      </c>
      <c r="D523" s="27" t="s">
        <v>67</v>
      </c>
      <c r="E523" s="27" t="s">
        <v>76</v>
      </c>
      <c r="F523" s="27" t="s">
        <v>119</v>
      </c>
      <c r="G523" s="27" t="s">
        <v>50</v>
      </c>
      <c r="H523" s="27" t="s">
        <v>57</v>
      </c>
      <c r="I523" s="27" t="s">
        <v>646</v>
      </c>
      <c r="J523" s="27" t="s">
        <v>286</v>
      </c>
      <c r="K523" s="27">
        <v>858</v>
      </c>
      <c r="L523" s="27">
        <v>858</v>
      </c>
      <c r="M523" s="27">
        <v>777</v>
      </c>
      <c r="N523" s="27">
        <v>81</v>
      </c>
      <c r="O523" s="27">
        <v>23</v>
      </c>
      <c r="P523" s="27">
        <v>13</v>
      </c>
      <c r="Q523" s="27" t="s">
        <v>104</v>
      </c>
      <c r="R523" s="27">
        <v>45</v>
      </c>
      <c r="S523" s="27">
        <v>49</v>
      </c>
      <c r="T523" s="29">
        <v>78.599999999999994</v>
      </c>
      <c r="U523" s="29">
        <v>2.35</v>
      </c>
      <c r="V523" s="29">
        <v>35.200000000000003</v>
      </c>
      <c r="W523" s="30">
        <v>17715.55</v>
      </c>
      <c r="X523" s="27">
        <v>9.0399999999999991</v>
      </c>
      <c r="Y523" s="27" t="s">
        <v>55</v>
      </c>
      <c r="Z523" s="29">
        <v>22</v>
      </c>
      <c r="AA523" s="30">
        <v>26946.33</v>
      </c>
      <c r="AB523" s="29">
        <v>0.90559440559440596</v>
      </c>
      <c r="AC523" s="30">
        <v>22100.35</v>
      </c>
      <c r="AD523" s="30">
        <v>474.892365967366</v>
      </c>
      <c r="AE523" s="27">
        <v>643.5</v>
      </c>
      <c r="AF523" s="29">
        <v>0.97979797979798</v>
      </c>
      <c r="AG523" s="30">
        <v>4371.0876340326404</v>
      </c>
      <c r="AH523" s="31">
        <f t="shared" si="129"/>
        <v>1</v>
      </c>
      <c r="AI523" s="31">
        <f t="shared" si="130"/>
        <v>9.4405594405594401E-2</v>
      </c>
      <c r="AJ523" s="31">
        <f t="shared" si="131"/>
        <v>2.6806526806526808E-2</v>
      </c>
      <c r="AK523" s="31">
        <f t="shared" si="132"/>
        <v>0.90559440559440563</v>
      </c>
      <c r="AL523" s="29">
        <f t="shared" si="133"/>
        <v>0.21666666666666667</v>
      </c>
      <c r="AM523" s="29">
        <f t="shared" si="134"/>
        <v>630.5</v>
      </c>
      <c r="AN523" s="29">
        <f t="shared" si="135"/>
        <v>1.3608247422680413</v>
      </c>
      <c r="AO523" s="29">
        <f t="shared" si="136"/>
        <v>1.3333333333333333</v>
      </c>
      <c r="AP523" s="31">
        <f t="shared" si="137"/>
        <v>1.0206185567010311</v>
      </c>
      <c r="AQ523" s="31">
        <f t="shared" si="138"/>
        <v>0.90559440559440563</v>
      </c>
      <c r="AR523" s="31">
        <f t="shared" si="139"/>
        <v>0.90559440559440607</v>
      </c>
      <c r="AS523" s="29">
        <f t="shared" si="140"/>
        <v>25.757983682983681</v>
      </c>
      <c r="AT523" s="29">
        <f t="shared" si="141"/>
        <v>5.0945077319727741</v>
      </c>
      <c r="AU523" s="27" t="str">
        <f t="shared" si="142"/>
        <v>Medium</v>
      </c>
      <c r="AV523" s="27" t="str">
        <f t="shared" si="143"/>
        <v>Warning</v>
      </c>
      <c r="AW523" s="27"/>
    </row>
    <row r="524" spans="1:49" x14ac:dyDescent="0.25">
      <c r="A524" s="27">
        <v>523</v>
      </c>
      <c r="B524" s="28">
        <v>46203</v>
      </c>
      <c r="C524" s="28" t="str">
        <f t="shared" si="128"/>
        <v>June</v>
      </c>
      <c r="D524" s="27" t="s">
        <v>47</v>
      </c>
      <c r="E524" s="27" t="s">
        <v>48</v>
      </c>
      <c r="F524" s="27" t="s">
        <v>49</v>
      </c>
      <c r="G524" s="27" t="s">
        <v>50</v>
      </c>
      <c r="H524" s="27" t="s">
        <v>68</v>
      </c>
      <c r="I524" s="27" t="s">
        <v>647</v>
      </c>
      <c r="J524" s="27" t="s">
        <v>109</v>
      </c>
      <c r="K524" s="27">
        <v>595</v>
      </c>
      <c r="L524" s="27">
        <v>578</v>
      </c>
      <c r="M524" s="27">
        <v>550</v>
      </c>
      <c r="N524" s="27">
        <v>28</v>
      </c>
      <c r="O524" s="27">
        <v>10</v>
      </c>
      <c r="P524" s="27">
        <v>18</v>
      </c>
      <c r="Q524" s="27" t="s">
        <v>102</v>
      </c>
      <c r="R524" s="27">
        <v>64</v>
      </c>
      <c r="S524" s="27">
        <v>65</v>
      </c>
      <c r="T524" s="29">
        <v>69.3</v>
      </c>
      <c r="U524" s="29">
        <v>1.53</v>
      </c>
      <c r="V524" s="29">
        <v>19.27</v>
      </c>
      <c r="W524" s="30">
        <v>18559.64</v>
      </c>
      <c r="X524" s="27">
        <v>8.6199999999999992</v>
      </c>
      <c r="Y524" s="27" t="s">
        <v>66</v>
      </c>
      <c r="Z524" s="29">
        <v>26</v>
      </c>
      <c r="AA524" s="30">
        <v>29056.97</v>
      </c>
      <c r="AB524" s="29">
        <v>0.95155709342560602</v>
      </c>
      <c r="AC524" s="30">
        <v>22612.07</v>
      </c>
      <c r="AD524" s="30">
        <v>321.10103806228398</v>
      </c>
      <c r="AE524" s="27">
        <v>634.66666666666697</v>
      </c>
      <c r="AF524" s="29">
        <v>0.97163865546218497</v>
      </c>
      <c r="AG524" s="30">
        <v>6123.7989619377204</v>
      </c>
      <c r="AH524" s="31">
        <f t="shared" si="129"/>
        <v>0.97142857142857142</v>
      </c>
      <c r="AI524" s="31">
        <f t="shared" si="130"/>
        <v>4.8442906574394463E-2</v>
      </c>
      <c r="AJ524" s="31">
        <f t="shared" si="131"/>
        <v>1.7301038062283738E-2</v>
      </c>
      <c r="AK524" s="31">
        <f t="shared" si="132"/>
        <v>0.95155709342560557</v>
      </c>
      <c r="AL524" s="29">
        <f t="shared" si="133"/>
        <v>0.3</v>
      </c>
      <c r="AM524" s="29">
        <f t="shared" si="134"/>
        <v>616.66666666666697</v>
      </c>
      <c r="AN524" s="29">
        <f t="shared" si="135"/>
        <v>0.93729729729729683</v>
      </c>
      <c r="AO524" s="29">
        <f t="shared" si="136"/>
        <v>0.9375</v>
      </c>
      <c r="AP524" s="31">
        <f t="shared" si="137"/>
        <v>0.9997837837837833</v>
      </c>
      <c r="AQ524" s="31">
        <f t="shared" si="138"/>
        <v>0.95155709342560557</v>
      </c>
      <c r="AR524" s="31">
        <f t="shared" si="139"/>
        <v>0.92436974789915938</v>
      </c>
      <c r="AS524" s="29">
        <f t="shared" si="140"/>
        <v>39.121228373702422</v>
      </c>
      <c r="AT524" s="29">
        <f t="shared" si="141"/>
        <v>10.594807892625814</v>
      </c>
      <c r="AU524" s="27" t="str">
        <f t="shared" si="142"/>
        <v>Low</v>
      </c>
      <c r="AV524" s="27" t="str">
        <f t="shared" si="143"/>
        <v>Normal</v>
      </c>
      <c r="AW524" s="27"/>
    </row>
    <row r="525" spans="1:49" x14ac:dyDescent="0.25">
      <c r="A525" s="27">
        <v>524</v>
      </c>
      <c r="B525" s="28">
        <v>46197</v>
      </c>
      <c r="C525" s="28" t="str">
        <f t="shared" si="128"/>
        <v>June</v>
      </c>
      <c r="D525" s="27" t="s">
        <v>67</v>
      </c>
      <c r="E525" s="27" t="s">
        <v>48</v>
      </c>
      <c r="F525" s="27" t="s">
        <v>49</v>
      </c>
      <c r="G525" s="27" t="s">
        <v>50</v>
      </c>
      <c r="H525" s="27" t="s">
        <v>57</v>
      </c>
      <c r="I525" s="27" t="s">
        <v>648</v>
      </c>
      <c r="J525" s="27" t="s">
        <v>197</v>
      </c>
      <c r="K525" s="27">
        <v>716</v>
      </c>
      <c r="L525" s="27">
        <v>750</v>
      </c>
      <c r="M525" s="27">
        <v>713</v>
      </c>
      <c r="N525" s="27">
        <v>37</v>
      </c>
      <c r="O525" s="27">
        <v>8</v>
      </c>
      <c r="P525" s="27">
        <v>0</v>
      </c>
      <c r="Q525" s="27" t="s">
        <v>60</v>
      </c>
      <c r="R525" s="27">
        <v>45</v>
      </c>
      <c r="S525" s="27">
        <v>48</v>
      </c>
      <c r="T525" s="29">
        <v>72.099999999999994</v>
      </c>
      <c r="U525" s="29">
        <v>2.66</v>
      </c>
      <c r="V525" s="29">
        <v>22.77</v>
      </c>
      <c r="W525" s="30">
        <v>15365.73</v>
      </c>
      <c r="X525" s="27">
        <v>7.95</v>
      </c>
      <c r="Y525" s="27" t="s">
        <v>55</v>
      </c>
      <c r="Z525" s="29">
        <v>34</v>
      </c>
      <c r="AA525" s="30">
        <v>25623.02</v>
      </c>
      <c r="AB525" s="29">
        <v>0.95066666666666699</v>
      </c>
      <c r="AC525" s="30">
        <v>19148.16</v>
      </c>
      <c r="AD525" s="30">
        <v>163.90111999999999</v>
      </c>
      <c r="AE525" s="27">
        <v>537</v>
      </c>
      <c r="AF525" s="29">
        <v>1</v>
      </c>
      <c r="AG525" s="30">
        <v>6310.9588800000001</v>
      </c>
      <c r="AH525" s="31">
        <f t="shared" si="129"/>
        <v>1.0474860335195531</v>
      </c>
      <c r="AI525" s="31">
        <f t="shared" si="130"/>
        <v>4.9333333333333333E-2</v>
      </c>
      <c r="AJ525" s="31">
        <f t="shared" si="131"/>
        <v>1.0666666666666666E-2</v>
      </c>
      <c r="AK525" s="31">
        <f t="shared" si="132"/>
        <v>0.95066666666666666</v>
      </c>
      <c r="AL525" s="29">
        <f t="shared" si="133"/>
        <v>0</v>
      </c>
      <c r="AM525" s="29">
        <f t="shared" si="134"/>
        <v>537</v>
      </c>
      <c r="AN525" s="29">
        <f t="shared" si="135"/>
        <v>1.3966480446927374</v>
      </c>
      <c r="AO525" s="29">
        <f t="shared" si="136"/>
        <v>1.3333333333333333</v>
      </c>
      <c r="AP525" s="31">
        <f t="shared" si="137"/>
        <v>1.0474860335195531</v>
      </c>
      <c r="AQ525" s="31">
        <f t="shared" si="138"/>
        <v>0.95066666666666666</v>
      </c>
      <c r="AR525" s="31">
        <f t="shared" si="139"/>
        <v>0.99581005586592175</v>
      </c>
      <c r="AS525" s="29">
        <f t="shared" si="140"/>
        <v>25.53088</v>
      </c>
      <c r="AT525" s="29">
        <f t="shared" si="141"/>
        <v>8.414611840000001</v>
      </c>
      <c r="AU525" s="27" t="str">
        <f t="shared" si="142"/>
        <v>Medium</v>
      </c>
      <c r="AV525" s="27" t="str">
        <f t="shared" si="143"/>
        <v>Normal</v>
      </c>
      <c r="AW525" s="27"/>
    </row>
    <row r="526" spans="1:49" x14ac:dyDescent="0.25">
      <c r="A526" s="27">
        <v>525</v>
      </c>
      <c r="B526" s="28">
        <v>46169</v>
      </c>
      <c r="C526" s="28" t="str">
        <f t="shared" si="128"/>
        <v>May</v>
      </c>
      <c r="D526" s="27" t="s">
        <v>67</v>
      </c>
      <c r="E526" s="27" t="s">
        <v>61</v>
      </c>
      <c r="F526" s="27" t="s">
        <v>62</v>
      </c>
      <c r="G526" s="27" t="s">
        <v>63</v>
      </c>
      <c r="H526" s="27" t="s">
        <v>51</v>
      </c>
      <c r="I526" s="27" t="s">
        <v>649</v>
      </c>
      <c r="J526" s="27" t="s">
        <v>226</v>
      </c>
      <c r="K526" s="27">
        <v>813</v>
      </c>
      <c r="L526" s="27">
        <v>740</v>
      </c>
      <c r="M526" s="27">
        <v>705</v>
      </c>
      <c r="N526" s="27">
        <v>35</v>
      </c>
      <c r="O526" s="27">
        <v>9</v>
      </c>
      <c r="P526" s="27">
        <v>40</v>
      </c>
      <c r="Q526" s="27" t="s">
        <v>97</v>
      </c>
      <c r="R526" s="27">
        <v>42</v>
      </c>
      <c r="S526" s="27">
        <v>43</v>
      </c>
      <c r="T526" s="29">
        <v>76.599999999999994</v>
      </c>
      <c r="U526" s="29">
        <v>2.25</v>
      </c>
      <c r="V526" s="29">
        <v>30.19</v>
      </c>
      <c r="W526" s="30">
        <v>12902.11</v>
      </c>
      <c r="X526" s="27">
        <v>8.3699999999999992</v>
      </c>
      <c r="Y526" s="27" t="s">
        <v>71</v>
      </c>
      <c r="Z526" s="29">
        <v>12</v>
      </c>
      <c r="AA526" s="30">
        <v>21963.26</v>
      </c>
      <c r="AB526" s="29">
        <v>0.95270270270270296</v>
      </c>
      <c r="AC526" s="30">
        <v>16940.32</v>
      </c>
      <c r="AD526" s="30">
        <v>156.91755405405399</v>
      </c>
      <c r="AE526" s="27">
        <v>569.1</v>
      </c>
      <c r="AF526" s="29">
        <v>0.92971358285011396</v>
      </c>
      <c r="AG526" s="30">
        <v>4866.0224459459496</v>
      </c>
      <c r="AH526" s="31">
        <f t="shared" si="129"/>
        <v>0.91020910209102091</v>
      </c>
      <c r="AI526" s="31">
        <f t="shared" si="130"/>
        <v>4.72972972972973E-2</v>
      </c>
      <c r="AJ526" s="31">
        <f t="shared" si="131"/>
        <v>1.2162162162162163E-2</v>
      </c>
      <c r="AK526" s="31">
        <f t="shared" si="132"/>
        <v>0.95270270270270274</v>
      </c>
      <c r="AL526" s="29">
        <f t="shared" si="133"/>
        <v>0.66666666666666663</v>
      </c>
      <c r="AM526" s="29">
        <f t="shared" si="134"/>
        <v>529.1</v>
      </c>
      <c r="AN526" s="29">
        <f t="shared" si="135"/>
        <v>1.3986013986013985</v>
      </c>
      <c r="AO526" s="29">
        <f t="shared" si="136"/>
        <v>1.4285714285714286</v>
      </c>
      <c r="AP526" s="31">
        <f t="shared" si="137"/>
        <v>0.97902097902097895</v>
      </c>
      <c r="AQ526" s="31">
        <f t="shared" si="138"/>
        <v>0.95270270270270274</v>
      </c>
      <c r="AR526" s="31">
        <f t="shared" si="139"/>
        <v>0.86715867158671556</v>
      </c>
      <c r="AS526" s="29">
        <f t="shared" si="140"/>
        <v>22.892324324324324</v>
      </c>
      <c r="AT526" s="29">
        <f t="shared" si="141"/>
        <v>6.5757060080350671</v>
      </c>
      <c r="AU526" s="27" t="str">
        <f t="shared" si="142"/>
        <v>High</v>
      </c>
      <c r="AV526" s="27" t="str">
        <f t="shared" si="143"/>
        <v>Normal</v>
      </c>
      <c r="AW526" s="27"/>
    </row>
    <row r="527" spans="1:49" x14ac:dyDescent="0.25">
      <c r="A527" s="27">
        <v>526</v>
      </c>
      <c r="B527" s="28">
        <v>46118</v>
      </c>
      <c r="C527" s="28" t="str">
        <f t="shared" si="128"/>
        <v>April</v>
      </c>
      <c r="D527" s="27" t="s">
        <v>47</v>
      </c>
      <c r="E527" s="27" t="s">
        <v>98</v>
      </c>
      <c r="F527" s="27" t="s">
        <v>105</v>
      </c>
      <c r="G527" s="27" t="s">
        <v>78</v>
      </c>
      <c r="H527" s="27" t="s">
        <v>124</v>
      </c>
      <c r="I527" s="27" t="s">
        <v>650</v>
      </c>
      <c r="J527" s="27" t="s">
        <v>132</v>
      </c>
      <c r="K527" s="27">
        <v>603</v>
      </c>
      <c r="L527" s="27">
        <v>457</v>
      </c>
      <c r="M527" s="27">
        <v>418</v>
      </c>
      <c r="N527" s="27">
        <v>39</v>
      </c>
      <c r="O527" s="27">
        <v>10</v>
      </c>
      <c r="P527" s="27">
        <v>76</v>
      </c>
      <c r="Q527" s="27" t="s">
        <v>94</v>
      </c>
      <c r="R527" s="27">
        <v>57</v>
      </c>
      <c r="S527" s="27">
        <v>63</v>
      </c>
      <c r="T527" s="29">
        <v>80.2</v>
      </c>
      <c r="U527" s="29">
        <v>2.46</v>
      </c>
      <c r="V527" s="29">
        <v>23.41</v>
      </c>
      <c r="W527" s="30">
        <v>12717.89</v>
      </c>
      <c r="X527" s="27">
        <v>6.89</v>
      </c>
      <c r="Y527" s="27" t="s">
        <v>71</v>
      </c>
      <c r="Z527" s="29">
        <v>58</v>
      </c>
      <c r="AA527" s="30">
        <v>19466.080000000002</v>
      </c>
      <c r="AB527" s="29">
        <v>0.91466083150984701</v>
      </c>
      <c r="AC527" s="30">
        <v>16029.08</v>
      </c>
      <c r="AD527" s="30">
        <v>278.29080962800901</v>
      </c>
      <c r="AE527" s="27">
        <v>572.85</v>
      </c>
      <c r="AF527" s="29">
        <v>0.86733001658374798</v>
      </c>
      <c r="AG527" s="30">
        <v>3158.7091903719902</v>
      </c>
      <c r="AH527" s="31">
        <f t="shared" si="129"/>
        <v>0.75787728026533996</v>
      </c>
      <c r="AI527" s="31">
        <f t="shared" si="130"/>
        <v>8.5339168490153175E-2</v>
      </c>
      <c r="AJ527" s="31">
        <f t="shared" si="131"/>
        <v>2.1881838074398249E-2</v>
      </c>
      <c r="AK527" s="31">
        <f t="shared" si="132"/>
        <v>0.91466083150984678</v>
      </c>
      <c r="AL527" s="29">
        <f t="shared" si="133"/>
        <v>1.2666666666666666</v>
      </c>
      <c r="AM527" s="29">
        <f t="shared" si="134"/>
        <v>496.85</v>
      </c>
      <c r="AN527" s="29">
        <f t="shared" si="135"/>
        <v>0.91979470665190699</v>
      </c>
      <c r="AO527" s="29">
        <f t="shared" si="136"/>
        <v>1.0526315789473684</v>
      </c>
      <c r="AP527" s="31">
        <f t="shared" si="137"/>
        <v>0.87380497131931167</v>
      </c>
      <c r="AQ527" s="31">
        <f t="shared" si="138"/>
        <v>0.91466083150984678</v>
      </c>
      <c r="AR527" s="31">
        <f t="shared" si="139"/>
        <v>0.69320066334991715</v>
      </c>
      <c r="AS527" s="29">
        <f t="shared" si="140"/>
        <v>35.074573304157546</v>
      </c>
      <c r="AT527" s="29">
        <f t="shared" si="141"/>
        <v>6.9118363027833487</v>
      </c>
      <c r="AU527" s="27" t="str">
        <f t="shared" si="142"/>
        <v>High</v>
      </c>
      <c r="AV527" s="27" t="str">
        <f t="shared" si="143"/>
        <v>Critical</v>
      </c>
      <c r="AW527" s="27"/>
    </row>
    <row r="528" spans="1:49" x14ac:dyDescent="0.25">
      <c r="A528" s="27">
        <v>527</v>
      </c>
      <c r="B528" s="28">
        <v>46068</v>
      </c>
      <c r="C528" s="28" t="str">
        <f t="shared" si="128"/>
        <v>February</v>
      </c>
      <c r="D528" s="27" t="s">
        <v>47</v>
      </c>
      <c r="E528" s="27" t="s">
        <v>61</v>
      </c>
      <c r="F528" s="27" t="s">
        <v>88</v>
      </c>
      <c r="G528" s="27" t="s">
        <v>63</v>
      </c>
      <c r="H528" s="27" t="s">
        <v>68</v>
      </c>
      <c r="I528" s="27" t="s">
        <v>651</v>
      </c>
      <c r="J528" s="27" t="s">
        <v>197</v>
      </c>
      <c r="K528" s="27">
        <v>656</v>
      </c>
      <c r="L528" s="27">
        <v>711</v>
      </c>
      <c r="M528" s="27">
        <v>679</v>
      </c>
      <c r="N528" s="27">
        <v>32</v>
      </c>
      <c r="O528" s="27">
        <v>8</v>
      </c>
      <c r="P528" s="27">
        <v>16</v>
      </c>
      <c r="Q528" s="27" t="s">
        <v>102</v>
      </c>
      <c r="R528" s="27">
        <v>64</v>
      </c>
      <c r="S528" s="27">
        <v>67</v>
      </c>
      <c r="T528" s="29">
        <v>74</v>
      </c>
      <c r="U528" s="29">
        <v>2.13</v>
      </c>
      <c r="V528" s="29">
        <v>25.09</v>
      </c>
      <c r="W528" s="30">
        <v>22918.51</v>
      </c>
      <c r="X528" s="27">
        <v>10.61</v>
      </c>
      <c r="Y528" s="27" t="s">
        <v>71</v>
      </c>
      <c r="Z528" s="29">
        <v>29</v>
      </c>
      <c r="AA528" s="30">
        <v>35665.4</v>
      </c>
      <c r="AB528" s="29">
        <v>0.95499296765119601</v>
      </c>
      <c r="AC528" s="30">
        <v>27918.82</v>
      </c>
      <c r="AD528" s="30">
        <v>257.87353023909998</v>
      </c>
      <c r="AE528" s="27">
        <v>699.73333333333301</v>
      </c>
      <c r="AF528" s="29">
        <v>0.97713414634146301</v>
      </c>
      <c r="AG528" s="30">
        <v>7488.7064697609003</v>
      </c>
      <c r="AH528" s="31">
        <f t="shared" si="129"/>
        <v>1.0838414634146341</v>
      </c>
      <c r="AI528" s="31">
        <f t="shared" si="130"/>
        <v>4.5007032348804502E-2</v>
      </c>
      <c r="AJ528" s="31">
        <f t="shared" si="131"/>
        <v>1.1251758087201125E-2</v>
      </c>
      <c r="AK528" s="31">
        <f t="shared" si="132"/>
        <v>0.95499296765119546</v>
      </c>
      <c r="AL528" s="29">
        <f t="shared" si="133"/>
        <v>0.26666666666666666</v>
      </c>
      <c r="AM528" s="29">
        <f t="shared" si="134"/>
        <v>683.73333333333301</v>
      </c>
      <c r="AN528" s="29">
        <f t="shared" si="135"/>
        <v>1.0398790951638071</v>
      </c>
      <c r="AO528" s="29">
        <f t="shared" si="136"/>
        <v>0.9375</v>
      </c>
      <c r="AP528" s="31">
        <f t="shared" si="137"/>
        <v>1.1092043681747275</v>
      </c>
      <c r="AQ528" s="31">
        <f t="shared" si="138"/>
        <v>0.95499296765119546</v>
      </c>
      <c r="AR528" s="31">
        <f t="shared" si="139"/>
        <v>1.035060975609756</v>
      </c>
      <c r="AS528" s="29">
        <f t="shared" si="140"/>
        <v>39.266976090014062</v>
      </c>
      <c r="AT528" s="29">
        <f t="shared" si="141"/>
        <v>10.53263919797595</v>
      </c>
      <c r="AU528" s="27" t="str">
        <f t="shared" si="142"/>
        <v>High</v>
      </c>
      <c r="AV528" s="27" t="str">
        <f t="shared" si="143"/>
        <v>Normal</v>
      </c>
      <c r="AW528" s="27"/>
    </row>
    <row r="529" spans="1:49" x14ac:dyDescent="0.25">
      <c r="A529" s="27">
        <v>528</v>
      </c>
      <c r="B529" s="28">
        <v>46039</v>
      </c>
      <c r="C529" s="28" t="str">
        <f t="shared" si="128"/>
        <v>January</v>
      </c>
      <c r="D529" s="27" t="s">
        <v>67</v>
      </c>
      <c r="E529" s="27" t="s">
        <v>98</v>
      </c>
      <c r="F529" s="27" t="s">
        <v>99</v>
      </c>
      <c r="G529" s="27" t="s">
        <v>50</v>
      </c>
      <c r="H529" s="27" t="s">
        <v>68</v>
      </c>
      <c r="I529" s="27" t="s">
        <v>652</v>
      </c>
      <c r="J529" s="27" t="s">
        <v>186</v>
      </c>
      <c r="K529" s="27">
        <v>498</v>
      </c>
      <c r="L529" s="27">
        <v>502</v>
      </c>
      <c r="M529" s="27">
        <v>473</v>
      </c>
      <c r="N529" s="27">
        <v>29</v>
      </c>
      <c r="O529" s="27">
        <v>9</v>
      </c>
      <c r="P529" s="27">
        <v>26</v>
      </c>
      <c r="Q529" s="27" t="s">
        <v>97</v>
      </c>
      <c r="R529" s="27">
        <v>64</v>
      </c>
      <c r="S529" s="27">
        <v>66</v>
      </c>
      <c r="T529" s="29">
        <v>76.099999999999994</v>
      </c>
      <c r="U529" s="29">
        <v>1.5</v>
      </c>
      <c r="V529" s="29">
        <v>20.59</v>
      </c>
      <c r="W529" s="30">
        <v>15851.09</v>
      </c>
      <c r="X529" s="27">
        <v>10.29</v>
      </c>
      <c r="Y529" s="27" t="s">
        <v>66</v>
      </c>
      <c r="Z529" s="29">
        <v>30</v>
      </c>
      <c r="AA529" s="30">
        <v>24894.41</v>
      </c>
      <c r="AB529" s="29">
        <v>0.94223107569721098</v>
      </c>
      <c r="AC529" s="30">
        <v>20666.900000000001</v>
      </c>
      <c r="AD529" s="30">
        <v>284.18288844621497</v>
      </c>
      <c r="AE529" s="27">
        <v>531.20000000000005</v>
      </c>
      <c r="AF529" s="29">
        <v>0.95105421686747005</v>
      </c>
      <c r="AG529" s="30">
        <v>3943.32711155378</v>
      </c>
      <c r="AH529" s="31">
        <f t="shared" si="129"/>
        <v>1.0080321285140563</v>
      </c>
      <c r="AI529" s="31">
        <f t="shared" si="130"/>
        <v>5.7768924302788842E-2</v>
      </c>
      <c r="AJ529" s="31">
        <f t="shared" si="131"/>
        <v>1.7928286852589643E-2</v>
      </c>
      <c r="AK529" s="31">
        <f t="shared" si="132"/>
        <v>0.94223107569721121</v>
      </c>
      <c r="AL529" s="29">
        <f t="shared" si="133"/>
        <v>0.43333333333333335</v>
      </c>
      <c r="AM529" s="29">
        <f t="shared" si="134"/>
        <v>505.20000000000005</v>
      </c>
      <c r="AN529" s="29">
        <f t="shared" si="135"/>
        <v>0.9936658749010292</v>
      </c>
      <c r="AO529" s="29">
        <f t="shared" si="136"/>
        <v>0.9375</v>
      </c>
      <c r="AP529" s="31">
        <f t="shared" si="137"/>
        <v>1.0599102665610978</v>
      </c>
      <c r="AQ529" s="31">
        <f t="shared" si="138"/>
        <v>0.94223107569721121</v>
      </c>
      <c r="AR529" s="31">
        <f t="shared" si="139"/>
        <v>0.94979919678714875</v>
      </c>
      <c r="AS529" s="29">
        <f t="shared" si="140"/>
        <v>41.169123505976096</v>
      </c>
      <c r="AT529" s="29">
        <f t="shared" si="141"/>
        <v>7.855233289947769</v>
      </c>
      <c r="AU529" s="27" t="str">
        <f t="shared" si="142"/>
        <v>Medium</v>
      </c>
      <c r="AV529" s="27" t="str">
        <f t="shared" si="143"/>
        <v>Normal</v>
      </c>
      <c r="AW529" s="27"/>
    </row>
    <row r="530" spans="1:49" x14ac:dyDescent="0.25">
      <c r="A530" s="27">
        <v>529</v>
      </c>
      <c r="B530" s="28">
        <v>46156</v>
      </c>
      <c r="C530" s="28" t="str">
        <f t="shared" si="128"/>
        <v>May</v>
      </c>
      <c r="D530" s="27" t="s">
        <v>67</v>
      </c>
      <c r="E530" s="27" t="s">
        <v>76</v>
      </c>
      <c r="F530" s="27" t="s">
        <v>113</v>
      </c>
      <c r="G530" s="27" t="s">
        <v>50</v>
      </c>
      <c r="H530" s="27" t="s">
        <v>79</v>
      </c>
      <c r="I530" s="27" t="s">
        <v>653</v>
      </c>
      <c r="J530" s="27" t="s">
        <v>218</v>
      </c>
      <c r="K530" s="27">
        <v>721</v>
      </c>
      <c r="L530" s="27">
        <v>675</v>
      </c>
      <c r="M530" s="27">
        <v>645</v>
      </c>
      <c r="N530" s="27">
        <v>30</v>
      </c>
      <c r="O530" s="27">
        <v>11</v>
      </c>
      <c r="P530" s="27">
        <v>9</v>
      </c>
      <c r="Q530" s="27" t="s">
        <v>75</v>
      </c>
      <c r="R530" s="27">
        <v>49</v>
      </c>
      <c r="S530" s="27">
        <v>50</v>
      </c>
      <c r="T530" s="29">
        <v>72.2</v>
      </c>
      <c r="U530" s="29">
        <v>1.61</v>
      </c>
      <c r="V530" s="29">
        <v>21.98</v>
      </c>
      <c r="W530" s="30">
        <v>14057.22</v>
      </c>
      <c r="X530" s="27">
        <v>9.31</v>
      </c>
      <c r="Y530" s="27" t="s">
        <v>55</v>
      </c>
      <c r="Z530" s="29">
        <v>15</v>
      </c>
      <c r="AA530" s="30">
        <v>23905.86</v>
      </c>
      <c r="AB530" s="29">
        <v>0.95555555555555605</v>
      </c>
      <c r="AC530" s="30">
        <v>18444.54</v>
      </c>
      <c r="AD530" s="30">
        <v>229.08062222222199</v>
      </c>
      <c r="AE530" s="27">
        <v>588.81666666666695</v>
      </c>
      <c r="AF530" s="29">
        <v>0.98471510656967398</v>
      </c>
      <c r="AG530" s="30">
        <v>5232.2393777777797</v>
      </c>
      <c r="AH530" s="31">
        <f t="shared" si="129"/>
        <v>0.93619972260748963</v>
      </c>
      <c r="AI530" s="31">
        <f t="shared" si="130"/>
        <v>4.4444444444444446E-2</v>
      </c>
      <c r="AJ530" s="31">
        <f t="shared" si="131"/>
        <v>1.6296296296296295E-2</v>
      </c>
      <c r="AK530" s="31">
        <f t="shared" si="132"/>
        <v>0.9555555555555556</v>
      </c>
      <c r="AL530" s="29">
        <f t="shared" si="133"/>
        <v>0.15</v>
      </c>
      <c r="AM530" s="29">
        <f t="shared" si="134"/>
        <v>579.81666666666695</v>
      </c>
      <c r="AN530" s="29">
        <f t="shared" si="135"/>
        <v>1.1641610854005571</v>
      </c>
      <c r="AO530" s="29">
        <f t="shared" si="136"/>
        <v>1.2244897959183674</v>
      </c>
      <c r="AP530" s="31">
        <f t="shared" si="137"/>
        <v>0.95073155307712154</v>
      </c>
      <c r="AQ530" s="31">
        <f t="shared" si="138"/>
        <v>0.9555555555555556</v>
      </c>
      <c r="AR530" s="31">
        <f t="shared" si="139"/>
        <v>0.89459084604715655</v>
      </c>
      <c r="AS530" s="29">
        <f t="shared" si="140"/>
        <v>27.325244444444447</v>
      </c>
      <c r="AT530" s="29">
        <f t="shared" si="141"/>
        <v>7.7514657448559703</v>
      </c>
      <c r="AU530" s="27" t="str">
        <f t="shared" si="142"/>
        <v>Low</v>
      </c>
      <c r="AV530" s="27" t="str">
        <f t="shared" si="143"/>
        <v>Normal</v>
      </c>
      <c r="AW530" s="27"/>
    </row>
    <row r="531" spans="1:49" x14ac:dyDescent="0.25">
      <c r="A531" s="27">
        <v>530</v>
      </c>
      <c r="B531" s="28">
        <v>46173</v>
      </c>
      <c r="C531" s="28" t="str">
        <f t="shared" si="128"/>
        <v>May</v>
      </c>
      <c r="D531" s="27" t="s">
        <v>47</v>
      </c>
      <c r="E531" s="27" t="s">
        <v>129</v>
      </c>
      <c r="F531" s="27" t="s">
        <v>130</v>
      </c>
      <c r="G531" s="27" t="s">
        <v>50</v>
      </c>
      <c r="H531" s="27" t="s">
        <v>51</v>
      </c>
      <c r="I531" s="27" t="s">
        <v>654</v>
      </c>
      <c r="J531" s="27" t="s">
        <v>121</v>
      </c>
      <c r="K531" s="27">
        <v>917</v>
      </c>
      <c r="L531" s="27">
        <v>757</v>
      </c>
      <c r="M531" s="27">
        <v>621</v>
      </c>
      <c r="N531" s="27">
        <v>136</v>
      </c>
      <c r="O531" s="27">
        <v>48</v>
      </c>
      <c r="P531" s="27">
        <v>67</v>
      </c>
      <c r="Q531" s="27" t="s">
        <v>91</v>
      </c>
      <c r="R531" s="27">
        <v>42</v>
      </c>
      <c r="S531" s="27">
        <v>45</v>
      </c>
      <c r="T531" s="29">
        <v>83.1</v>
      </c>
      <c r="U531" s="29">
        <v>4.95</v>
      </c>
      <c r="V531" s="29">
        <v>24.8</v>
      </c>
      <c r="W531" s="30">
        <v>13511.66</v>
      </c>
      <c r="X531" s="27">
        <v>7.69</v>
      </c>
      <c r="Y531" s="27" t="s">
        <v>55</v>
      </c>
      <c r="Z531" s="29">
        <v>47</v>
      </c>
      <c r="AA531" s="30">
        <v>20375.259999999998</v>
      </c>
      <c r="AB531" s="29">
        <v>0.82034346103038303</v>
      </c>
      <c r="AC531" s="30">
        <v>17195.36</v>
      </c>
      <c r="AD531" s="30">
        <v>856.74990752972303</v>
      </c>
      <c r="AE531" s="27">
        <v>641.9</v>
      </c>
      <c r="AF531" s="29">
        <v>0.89562237108583898</v>
      </c>
      <c r="AG531" s="30">
        <v>2323.15009247028</v>
      </c>
      <c r="AH531" s="31">
        <f t="shared" si="129"/>
        <v>0.82551799345692478</v>
      </c>
      <c r="AI531" s="31">
        <f t="shared" si="130"/>
        <v>0.17965653896961692</v>
      </c>
      <c r="AJ531" s="31">
        <f t="shared" si="131"/>
        <v>6.3408190224570671E-2</v>
      </c>
      <c r="AK531" s="31">
        <f t="shared" si="132"/>
        <v>0.82034346103038314</v>
      </c>
      <c r="AL531" s="29">
        <f t="shared" si="133"/>
        <v>1.1166666666666667</v>
      </c>
      <c r="AM531" s="29">
        <f t="shared" si="134"/>
        <v>574.9</v>
      </c>
      <c r="AN531" s="29">
        <f t="shared" si="135"/>
        <v>1.3167507392590017</v>
      </c>
      <c r="AO531" s="29">
        <f t="shared" si="136"/>
        <v>1.4285714285714286</v>
      </c>
      <c r="AP531" s="31">
        <f t="shared" si="137"/>
        <v>0.92172551748130116</v>
      </c>
      <c r="AQ531" s="31">
        <f t="shared" si="138"/>
        <v>0.82034346103038314</v>
      </c>
      <c r="AR531" s="31">
        <f t="shared" si="139"/>
        <v>0.67720828789531096</v>
      </c>
      <c r="AS531" s="29">
        <f t="shared" si="140"/>
        <v>22.715138705416116</v>
      </c>
      <c r="AT531" s="29">
        <f t="shared" si="141"/>
        <v>3.0688904788246765</v>
      </c>
      <c r="AU531" s="27" t="str">
        <f t="shared" si="142"/>
        <v>High</v>
      </c>
      <c r="AV531" s="27" t="str">
        <f t="shared" si="143"/>
        <v>Critical</v>
      </c>
      <c r="AW531" s="27"/>
    </row>
    <row r="532" spans="1:49" x14ac:dyDescent="0.25">
      <c r="A532" s="27">
        <v>531</v>
      </c>
      <c r="B532" s="28">
        <v>46075</v>
      </c>
      <c r="C532" s="28" t="str">
        <f t="shared" si="128"/>
        <v>February</v>
      </c>
      <c r="D532" s="27" t="s">
        <v>47</v>
      </c>
      <c r="E532" s="27" t="s">
        <v>129</v>
      </c>
      <c r="F532" s="27" t="s">
        <v>167</v>
      </c>
      <c r="G532" s="27" t="s">
        <v>78</v>
      </c>
      <c r="H532" s="27" t="s">
        <v>57</v>
      </c>
      <c r="I532" s="27" t="s">
        <v>655</v>
      </c>
      <c r="J532" s="27" t="s">
        <v>226</v>
      </c>
      <c r="K532" s="27">
        <v>770</v>
      </c>
      <c r="L532" s="27">
        <v>711</v>
      </c>
      <c r="M532" s="27">
        <v>646</v>
      </c>
      <c r="N532" s="27">
        <v>65</v>
      </c>
      <c r="O532" s="27">
        <v>21</v>
      </c>
      <c r="P532" s="27">
        <v>10</v>
      </c>
      <c r="Q532" s="27" t="s">
        <v>82</v>
      </c>
      <c r="R532" s="27">
        <v>45</v>
      </c>
      <c r="S532" s="27">
        <v>45</v>
      </c>
      <c r="T532" s="29">
        <v>74.900000000000006</v>
      </c>
      <c r="U532" s="29">
        <v>1.67</v>
      </c>
      <c r="V532" s="29">
        <v>28.49</v>
      </c>
      <c r="W532" s="30">
        <v>14059.31</v>
      </c>
      <c r="X532" s="27">
        <v>9.33</v>
      </c>
      <c r="Y532" s="27" t="s">
        <v>110</v>
      </c>
      <c r="Z532" s="29">
        <v>29</v>
      </c>
      <c r="AA532" s="30">
        <v>22301.53</v>
      </c>
      <c r="AB532" s="29">
        <v>0.90857946554149105</v>
      </c>
      <c r="AC532" s="30">
        <v>18514.22</v>
      </c>
      <c r="AD532" s="30">
        <v>415.25388185653998</v>
      </c>
      <c r="AE532" s="27">
        <v>577.5</v>
      </c>
      <c r="AF532" s="29">
        <v>0.98268398268398305</v>
      </c>
      <c r="AG532" s="30">
        <v>3372.05611814346</v>
      </c>
      <c r="AH532" s="31">
        <f t="shared" si="129"/>
        <v>0.92337662337662341</v>
      </c>
      <c r="AI532" s="31">
        <f t="shared" si="130"/>
        <v>9.1420534458509145E-2</v>
      </c>
      <c r="AJ532" s="31">
        <f t="shared" si="131"/>
        <v>2.9535864978902954E-2</v>
      </c>
      <c r="AK532" s="31">
        <f t="shared" si="132"/>
        <v>0.90857946554149083</v>
      </c>
      <c r="AL532" s="29">
        <f t="shared" si="133"/>
        <v>0.16666666666666666</v>
      </c>
      <c r="AM532" s="29">
        <f t="shared" si="134"/>
        <v>567.5</v>
      </c>
      <c r="AN532" s="29">
        <f t="shared" si="135"/>
        <v>1.2528634361233479</v>
      </c>
      <c r="AO532" s="29">
        <f t="shared" si="136"/>
        <v>1.3333333333333333</v>
      </c>
      <c r="AP532" s="31">
        <f t="shared" si="137"/>
        <v>0.93964757709251101</v>
      </c>
      <c r="AQ532" s="31">
        <f t="shared" si="138"/>
        <v>0.90857946554149083</v>
      </c>
      <c r="AR532" s="31">
        <f t="shared" si="139"/>
        <v>0.83896103896103924</v>
      </c>
      <c r="AS532" s="29">
        <f t="shared" si="140"/>
        <v>26.039690576652603</v>
      </c>
      <c r="AT532" s="29">
        <f t="shared" si="141"/>
        <v>4.7426949622270884</v>
      </c>
      <c r="AU532" s="27" t="str">
        <f t="shared" si="142"/>
        <v>Medium</v>
      </c>
      <c r="AV532" s="27" t="str">
        <f t="shared" si="143"/>
        <v>Warning</v>
      </c>
      <c r="AW532" s="27"/>
    </row>
    <row r="533" spans="1:49" x14ac:dyDescent="0.25">
      <c r="A533" s="27">
        <v>532</v>
      </c>
      <c r="B533" s="28">
        <v>46199</v>
      </c>
      <c r="C533" s="28" t="str">
        <f t="shared" si="128"/>
        <v>June</v>
      </c>
      <c r="D533" s="27" t="s">
        <v>47</v>
      </c>
      <c r="E533" s="27" t="s">
        <v>61</v>
      </c>
      <c r="F533" s="27" t="s">
        <v>62</v>
      </c>
      <c r="G533" s="27" t="s">
        <v>50</v>
      </c>
      <c r="H533" s="27" t="s">
        <v>57</v>
      </c>
      <c r="I533" s="27" t="s">
        <v>656</v>
      </c>
      <c r="J533" s="27" t="s">
        <v>138</v>
      </c>
      <c r="K533" s="27">
        <v>929</v>
      </c>
      <c r="L533" s="27">
        <v>889</v>
      </c>
      <c r="M533" s="27">
        <v>857</v>
      </c>
      <c r="N533" s="27">
        <v>32</v>
      </c>
      <c r="O533" s="27">
        <v>7</v>
      </c>
      <c r="P533" s="27">
        <v>45</v>
      </c>
      <c r="Q533" s="27" t="s">
        <v>54</v>
      </c>
      <c r="R533" s="27">
        <v>45</v>
      </c>
      <c r="S533" s="27">
        <v>48</v>
      </c>
      <c r="T533" s="29">
        <v>77.3</v>
      </c>
      <c r="U533" s="29">
        <v>2.5499999999999998</v>
      </c>
      <c r="V533" s="29">
        <v>29.73</v>
      </c>
      <c r="W533" s="30">
        <v>17276.46</v>
      </c>
      <c r="X533" s="27">
        <v>8.59</v>
      </c>
      <c r="Y533" s="27" t="s">
        <v>55</v>
      </c>
      <c r="Z533" s="29">
        <v>2</v>
      </c>
      <c r="AA533" s="30">
        <v>30427.1</v>
      </c>
      <c r="AB533" s="29">
        <v>0.96400449943757005</v>
      </c>
      <c r="AC533" s="30">
        <v>21409.53</v>
      </c>
      <c r="AD533" s="30">
        <v>136.035118110236</v>
      </c>
      <c r="AE533" s="27">
        <v>696.75</v>
      </c>
      <c r="AF533" s="29">
        <v>0.93541442411194797</v>
      </c>
      <c r="AG533" s="30">
        <v>8881.5348818897601</v>
      </c>
      <c r="AH533" s="31">
        <f t="shared" si="129"/>
        <v>0.95694294940796554</v>
      </c>
      <c r="AI533" s="31">
        <f t="shared" si="130"/>
        <v>3.59955005624297E-2</v>
      </c>
      <c r="AJ533" s="31">
        <f t="shared" si="131"/>
        <v>7.874015748031496E-3</v>
      </c>
      <c r="AK533" s="31">
        <f t="shared" si="132"/>
        <v>0.96400449943757027</v>
      </c>
      <c r="AL533" s="29">
        <f t="shared" si="133"/>
        <v>0.75</v>
      </c>
      <c r="AM533" s="29">
        <f t="shared" si="134"/>
        <v>651.75</v>
      </c>
      <c r="AN533" s="29">
        <f t="shared" si="135"/>
        <v>1.3640199462984273</v>
      </c>
      <c r="AO533" s="29">
        <f t="shared" si="136"/>
        <v>1.3333333333333333</v>
      </c>
      <c r="AP533" s="31">
        <f t="shared" si="137"/>
        <v>1.0230149597238205</v>
      </c>
      <c r="AQ533" s="31">
        <f t="shared" si="138"/>
        <v>0.96400449943757027</v>
      </c>
      <c r="AR533" s="31">
        <f t="shared" si="139"/>
        <v>0.92249730893433768</v>
      </c>
      <c r="AS533" s="29">
        <f t="shared" si="140"/>
        <v>24.082710911136108</v>
      </c>
      <c r="AT533" s="29">
        <f t="shared" si="141"/>
        <v>9.9904779323844313</v>
      </c>
      <c r="AU533" s="27" t="str">
        <f t="shared" si="142"/>
        <v>Low</v>
      </c>
      <c r="AV533" s="27" t="str">
        <f t="shared" si="143"/>
        <v>Normal</v>
      </c>
      <c r="AW533" s="27"/>
    </row>
    <row r="534" spans="1:49" x14ac:dyDescent="0.25">
      <c r="A534" s="27">
        <v>533</v>
      </c>
      <c r="B534" s="28">
        <v>46197</v>
      </c>
      <c r="C534" s="28" t="str">
        <f t="shared" si="128"/>
        <v>June</v>
      </c>
      <c r="D534" s="27" t="s">
        <v>67</v>
      </c>
      <c r="E534" s="27" t="s">
        <v>129</v>
      </c>
      <c r="F534" s="27" t="s">
        <v>130</v>
      </c>
      <c r="G534" s="27" t="s">
        <v>50</v>
      </c>
      <c r="H534" s="27" t="s">
        <v>68</v>
      </c>
      <c r="I534" s="27" t="s">
        <v>657</v>
      </c>
      <c r="J534" s="27" t="s">
        <v>59</v>
      </c>
      <c r="K534" s="27">
        <v>477</v>
      </c>
      <c r="L534" s="27">
        <v>508</v>
      </c>
      <c r="M534" s="27">
        <v>433</v>
      </c>
      <c r="N534" s="27">
        <v>75</v>
      </c>
      <c r="O534" s="27">
        <v>27</v>
      </c>
      <c r="P534" s="27">
        <v>47</v>
      </c>
      <c r="Q534" s="27" t="s">
        <v>94</v>
      </c>
      <c r="R534" s="27">
        <v>64</v>
      </c>
      <c r="S534" s="27">
        <v>68</v>
      </c>
      <c r="T534" s="29">
        <v>87.9</v>
      </c>
      <c r="U534" s="29">
        <v>3.22</v>
      </c>
      <c r="V534" s="29">
        <v>21.65</v>
      </c>
      <c r="W534" s="30">
        <v>15965.93</v>
      </c>
      <c r="X534" s="27">
        <v>9.2100000000000009</v>
      </c>
      <c r="Y534" s="27" t="s">
        <v>55</v>
      </c>
      <c r="Z534" s="29">
        <v>15</v>
      </c>
      <c r="AA534" s="30">
        <v>22647.05</v>
      </c>
      <c r="AB534" s="29">
        <v>0.85236220472441004</v>
      </c>
      <c r="AC534" s="30">
        <v>20305.28</v>
      </c>
      <c r="AD534" s="30">
        <v>848.58289370078705</v>
      </c>
      <c r="AE534" s="27">
        <v>508.8</v>
      </c>
      <c r="AF534" s="29">
        <v>0.90762578616352196</v>
      </c>
      <c r="AG534" s="30">
        <v>1493.18710629921</v>
      </c>
      <c r="AH534" s="31">
        <f t="shared" si="129"/>
        <v>1.0649895178197064</v>
      </c>
      <c r="AI534" s="31">
        <f t="shared" si="130"/>
        <v>0.14763779527559054</v>
      </c>
      <c r="AJ534" s="31">
        <f t="shared" si="131"/>
        <v>5.3149606299212601E-2</v>
      </c>
      <c r="AK534" s="31">
        <f t="shared" si="132"/>
        <v>0.85236220472440949</v>
      </c>
      <c r="AL534" s="29">
        <f t="shared" si="133"/>
        <v>0.78333333333333333</v>
      </c>
      <c r="AM534" s="29">
        <f t="shared" si="134"/>
        <v>461.8</v>
      </c>
      <c r="AN534" s="29">
        <f t="shared" si="135"/>
        <v>1.1000433087916848</v>
      </c>
      <c r="AO534" s="29">
        <f t="shared" si="136"/>
        <v>0.9375</v>
      </c>
      <c r="AP534" s="31">
        <f t="shared" si="137"/>
        <v>1.1733795293777971</v>
      </c>
      <c r="AQ534" s="31">
        <f t="shared" si="138"/>
        <v>0.85236220472440949</v>
      </c>
      <c r="AR534" s="31">
        <f t="shared" si="139"/>
        <v>0.90775681341719072</v>
      </c>
      <c r="AS534" s="29">
        <f t="shared" si="140"/>
        <v>39.971023622047241</v>
      </c>
      <c r="AT534" s="29">
        <f t="shared" si="141"/>
        <v>2.9393446974393895</v>
      </c>
      <c r="AU534" s="27" t="str">
        <f t="shared" si="142"/>
        <v>High</v>
      </c>
      <c r="AV534" s="27" t="str">
        <f t="shared" si="143"/>
        <v>Warning</v>
      </c>
      <c r="AW534" s="27"/>
    </row>
    <row r="535" spans="1:49" x14ac:dyDescent="0.25">
      <c r="A535" s="27">
        <v>534</v>
      </c>
      <c r="B535" s="28">
        <v>46033</v>
      </c>
      <c r="C535" s="28" t="str">
        <f t="shared" si="128"/>
        <v>January</v>
      </c>
      <c r="D535" s="27" t="s">
        <v>47</v>
      </c>
      <c r="E535" s="27" t="s">
        <v>98</v>
      </c>
      <c r="F535" s="27" t="s">
        <v>126</v>
      </c>
      <c r="G535" s="27" t="s">
        <v>50</v>
      </c>
      <c r="H535" s="27" t="s">
        <v>124</v>
      </c>
      <c r="I535" s="27" t="s">
        <v>658</v>
      </c>
      <c r="J535" s="27" t="s">
        <v>101</v>
      </c>
      <c r="K535" s="27">
        <v>607</v>
      </c>
      <c r="L535" s="27">
        <v>635</v>
      </c>
      <c r="M535" s="27">
        <v>587</v>
      </c>
      <c r="N535" s="27">
        <v>48</v>
      </c>
      <c r="O535" s="27">
        <v>11</v>
      </c>
      <c r="P535" s="27">
        <v>23</v>
      </c>
      <c r="Q535" s="27" t="s">
        <v>97</v>
      </c>
      <c r="R535" s="27">
        <v>57</v>
      </c>
      <c r="S535" s="27">
        <v>55</v>
      </c>
      <c r="T535" s="29">
        <v>63.2</v>
      </c>
      <c r="U535" s="29">
        <v>2.85</v>
      </c>
      <c r="V535" s="29">
        <v>24.07</v>
      </c>
      <c r="W535" s="30">
        <v>17925.98</v>
      </c>
      <c r="X535" s="27">
        <v>7.62</v>
      </c>
      <c r="Y535" s="27" t="s">
        <v>66</v>
      </c>
      <c r="Z535" s="29">
        <v>25</v>
      </c>
      <c r="AA535" s="30">
        <v>27558.39</v>
      </c>
      <c r="AB535" s="29">
        <v>0.92440944881889797</v>
      </c>
      <c r="AC535" s="30">
        <v>21571.61</v>
      </c>
      <c r="AD535" s="30">
        <v>310.52878740157502</v>
      </c>
      <c r="AE535" s="27">
        <v>576.65</v>
      </c>
      <c r="AF535" s="29">
        <v>0.96011445417497598</v>
      </c>
      <c r="AG535" s="30">
        <v>5676.2512125984204</v>
      </c>
      <c r="AH535" s="31">
        <f t="shared" si="129"/>
        <v>1.0461285008237233</v>
      </c>
      <c r="AI535" s="31">
        <f t="shared" si="130"/>
        <v>7.5590551181102361E-2</v>
      </c>
      <c r="AJ535" s="31">
        <f t="shared" si="131"/>
        <v>1.7322834645669291E-2</v>
      </c>
      <c r="AK535" s="31">
        <f t="shared" si="132"/>
        <v>0.92440944881889764</v>
      </c>
      <c r="AL535" s="29">
        <f t="shared" si="133"/>
        <v>0.38333333333333336</v>
      </c>
      <c r="AM535" s="29">
        <f t="shared" si="134"/>
        <v>553.65</v>
      </c>
      <c r="AN535" s="29">
        <f t="shared" si="135"/>
        <v>1.1469339835636232</v>
      </c>
      <c r="AO535" s="29">
        <f t="shared" si="136"/>
        <v>1.0526315789473684</v>
      </c>
      <c r="AP535" s="31">
        <f t="shared" si="137"/>
        <v>1.0895872843854422</v>
      </c>
      <c r="AQ535" s="31">
        <f t="shared" si="138"/>
        <v>0.92440944881889764</v>
      </c>
      <c r="AR535" s="31">
        <f t="shared" si="139"/>
        <v>0.96705107084019759</v>
      </c>
      <c r="AS535" s="29">
        <f t="shared" si="140"/>
        <v>33.971039370078742</v>
      </c>
      <c r="AT535" s="29">
        <f t="shared" si="141"/>
        <v>8.9389782875565675</v>
      </c>
      <c r="AU535" s="27" t="str">
        <f t="shared" si="142"/>
        <v>Low</v>
      </c>
      <c r="AV535" s="27" t="str">
        <f t="shared" si="143"/>
        <v>Normal</v>
      </c>
      <c r="AW535" s="27"/>
    </row>
    <row r="536" spans="1:49" x14ac:dyDescent="0.25">
      <c r="A536" s="27">
        <v>535</v>
      </c>
      <c r="B536" s="28">
        <v>46177</v>
      </c>
      <c r="C536" s="28" t="str">
        <f t="shared" si="128"/>
        <v>June</v>
      </c>
      <c r="D536" s="27" t="s">
        <v>67</v>
      </c>
      <c r="E536" s="27" t="s">
        <v>76</v>
      </c>
      <c r="F536" s="27" t="s">
        <v>77</v>
      </c>
      <c r="G536" s="27" t="s">
        <v>50</v>
      </c>
      <c r="H536" s="27" t="s">
        <v>68</v>
      </c>
      <c r="I536" s="27" t="s">
        <v>659</v>
      </c>
      <c r="J536" s="27" t="s">
        <v>150</v>
      </c>
      <c r="K536" s="27">
        <v>478</v>
      </c>
      <c r="L536" s="27">
        <v>500</v>
      </c>
      <c r="M536" s="27">
        <v>466</v>
      </c>
      <c r="N536" s="27">
        <v>34</v>
      </c>
      <c r="O536" s="27">
        <v>9</v>
      </c>
      <c r="P536" s="27">
        <v>33</v>
      </c>
      <c r="Q536" s="27" t="s">
        <v>102</v>
      </c>
      <c r="R536" s="27">
        <v>64</v>
      </c>
      <c r="S536" s="27">
        <v>63</v>
      </c>
      <c r="T536" s="29">
        <v>70</v>
      </c>
      <c r="U536" s="29">
        <v>2.2200000000000002</v>
      </c>
      <c r="V536" s="29">
        <v>19.89</v>
      </c>
      <c r="W536" s="30">
        <v>15999.77</v>
      </c>
      <c r="X536" s="27">
        <v>7.94</v>
      </c>
      <c r="Y536" s="27" t="s">
        <v>55</v>
      </c>
      <c r="Z536" s="29">
        <v>11</v>
      </c>
      <c r="AA536" s="30">
        <v>24418.52</v>
      </c>
      <c r="AB536" s="29">
        <v>0.93200000000000005</v>
      </c>
      <c r="AC536" s="30">
        <v>19751.78</v>
      </c>
      <c r="AD536" s="30">
        <v>287.99585999999999</v>
      </c>
      <c r="AE536" s="27">
        <v>509.86666666666702</v>
      </c>
      <c r="AF536" s="29">
        <v>0.93527719665272002</v>
      </c>
      <c r="AG536" s="30">
        <v>4378.7441399999998</v>
      </c>
      <c r="AH536" s="31">
        <f t="shared" si="129"/>
        <v>1.0460251046025104</v>
      </c>
      <c r="AI536" s="31">
        <f t="shared" si="130"/>
        <v>6.8000000000000005E-2</v>
      </c>
      <c r="AJ536" s="31">
        <f t="shared" si="131"/>
        <v>1.7999999999999999E-2</v>
      </c>
      <c r="AK536" s="31">
        <f t="shared" si="132"/>
        <v>0.93200000000000005</v>
      </c>
      <c r="AL536" s="29">
        <f t="shared" si="133"/>
        <v>0.55000000000000004</v>
      </c>
      <c r="AM536" s="29">
        <f t="shared" si="134"/>
        <v>476.86666666666702</v>
      </c>
      <c r="AN536" s="29">
        <f t="shared" si="135"/>
        <v>1.0485111142178098</v>
      </c>
      <c r="AO536" s="29">
        <f t="shared" si="136"/>
        <v>0.9375</v>
      </c>
      <c r="AP536" s="31">
        <f t="shared" si="137"/>
        <v>1.1184118551656639</v>
      </c>
      <c r="AQ536" s="31">
        <f t="shared" si="138"/>
        <v>0.93200000000000005</v>
      </c>
      <c r="AR536" s="31">
        <f t="shared" si="139"/>
        <v>0.97489539748953935</v>
      </c>
      <c r="AS536" s="29">
        <f t="shared" si="140"/>
        <v>39.50356</v>
      </c>
      <c r="AT536" s="29">
        <f t="shared" si="141"/>
        <v>8.7574882800000005</v>
      </c>
      <c r="AU536" s="27" t="str">
        <f t="shared" si="142"/>
        <v>Low</v>
      </c>
      <c r="AV536" s="27" t="str">
        <f t="shared" si="143"/>
        <v>Normal</v>
      </c>
      <c r="AW536" s="27"/>
    </row>
    <row r="537" spans="1:49" x14ac:dyDescent="0.25">
      <c r="A537" s="27">
        <v>536</v>
      </c>
      <c r="B537" s="28">
        <v>46167</v>
      </c>
      <c r="C537" s="28" t="str">
        <f t="shared" si="128"/>
        <v>May</v>
      </c>
      <c r="D537" s="27" t="s">
        <v>47</v>
      </c>
      <c r="E537" s="27" t="s">
        <v>48</v>
      </c>
      <c r="F537" s="27" t="s">
        <v>49</v>
      </c>
      <c r="G537" s="27" t="s">
        <v>78</v>
      </c>
      <c r="H537" s="27" t="s">
        <v>124</v>
      </c>
      <c r="I537" s="27" t="s">
        <v>660</v>
      </c>
      <c r="J537" s="27" t="s">
        <v>90</v>
      </c>
      <c r="K537" s="27">
        <v>592</v>
      </c>
      <c r="L537" s="27">
        <v>601</v>
      </c>
      <c r="M537" s="27">
        <v>564</v>
      </c>
      <c r="N537" s="27">
        <v>37</v>
      </c>
      <c r="O537" s="27">
        <v>12</v>
      </c>
      <c r="P537" s="27">
        <v>0</v>
      </c>
      <c r="Q537" s="27" t="s">
        <v>60</v>
      </c>
      <c r="R537" s="27">
        <v>57</v>
      </c>
      <c r="S537" s="27">
        <v>58</v>
      </c>
      <c r="T537" s="29">
        <v>68.2</v>
      </c>
      <c r="U537" s="29">
        <v>2.0699999999999998</v>
      </c>
      <c r="V537" s="29">
        <v>20.57</v>
      </c>
      <c r="W537" s="30">
        <v>16436.71</v>
      </c>
      <c r="X537" s="27">
        <v>10.26</v>
      </c>
      <c r="Y537" s="27" t="s">
        <v>55</v>
      </c>
      <c r="Z537" s="29">
        <v>28</v>
      </c>
      <c r="AA537" s="30">
        <v>25612.22</v>
      </c>
      <c r="AB537" s="29">
        <v>0.938435940099834</v>
      </c>
      <c r="AC537" s="30">
        <v>21238.84</v>
      </c>
      <c r="AD537" s="30">
        <v>328.18722129783703</v>
      </c>
      <c r="AE537" s="27">
        <v>562.4</v>
      </c>
      <c r="AF537" s="29">
        <v>1</v>
      </c>
      <c r="AG537" s="30">
        <v>4045.19277870216</v>
      </c>
      <c r="AH537" s="31">
        <f t="shared" si="129"/>
        <v>1.0152027027027026</v>
      </c>
      <c r="AI537" s="31">
        <f t="shared" si="130"/>
        <v>6.156405990016639E-2</v>
      </c>
      <c r="AJ537" s="31">
        <f t="shared" si="131"/>
        <v>1.9966722129783693E-2</v>
      </c>
      <c r="AK537" s="31">
        <f t="shared" si="132"/>
        <v>0.93843594009983367</v>
      </c>
      <c r="AL537" s="29">
        <f t="shared" si="133"/>
        <v>0</v>
      </c>
      <c r="AM537" s="29">
        <f t="shared" si="134"/>
        <v>562.4</v>
      </c>
      <c r="AN537" s="29">
        <f t="shared" si="135"/>
        <v>1.0686344238975818</v>
      </c>
      <c r="AO537" s="29">
        <f t="shared" si="136"/>
        <v>1.0526315789473684</v>
      </c>
      <c r="AP537" s="31">
        <f t="shared" si="137"/>
        <v>1.0152027027027029</v>
      </c>
      <c r="AQ537" s="31">
        <f t="shared" si="138"/>
        <v>0.93843594009983367</v>
      </c>
      <c r="AR537" s="31">
        <f t="shared" si="139"/>
        <v>0.95270270270270285</v>
      </c>
      <c r="AS537" s="29">
        <f t="shared" si="140"/>
        <v>35.339168053244592</v>
      </c>
      <c r="AT537" s="29">
        <f t="shared" si="141"/>
        <v>6.730770014479468</v>
      </c>
      <c r="AU537" s="27" t="str">
        <f t="shared" si="142"/>
        <v>Low</v>
      </c>
      <c r="AV537" s="27" t="str">
        <f t="shared" si="143"/>
        <v>Normal</v>
      </c>
      <c r="AW537" s="27"/>
    </row>
    <row r="538" spans="1:49" x14ac:dyDescent="0.25">
      <c r="A538" s="27">
        <v>537</v>
      </c>
      <c r="B538" s="28">
        <v>46067</v>
      </c>
      <c r="C538" s="28" t="str">
        <f t="shared" si="128"/>
        <v>February</v>
      </c>
      <c r="D538" s="27" t="s">
        <v>67</v>
      </c>
      <c r="E538" s="27" t="s">
        <v>129</v>
      </c>
      <c r="F538" s="27" t="s">
        <v>167</v>
      </c>
      <c r="G538" s="27" t="s">
        <v>50</v>
      </c>
      <c r="H538" s="27" t="s">
        <v>51</v>
      </c>
      <c r="I538" s="27" t="s">
        <v>661</v>
      </c>
      <c r="J538" s="27" t="s">
        <v>121</v>
      </c>
      <c r="K538" s="27">
        <v>793</v>
      </c>
      <c r="L538" s="27">
        <v>683</v>
      </c>
      <c r="M538" s="27">
        <v>620</v>
      </c>
      <c r="N538" s="27">
        <v>63</v>
      </c>
      <c r="O538" s="27">
        <v>18</v>
      </c>
      <c r="P538" s="27">
        <v>42</v>
      </c>
      <c r="Q538" s="27" t="s">
        <v>82</v>
      </c>
      <c r="R538" s="27">
        <v>42</v>
      </c>
      <c r="S538" s="27">
        <v>46</v>
      </c>
      <c r="T538" s="29">
        <v>77</v>
      </c>
      <c r="U538" s="29">
        <v>2.25</v>
      </c>
      <c r="V538" s="29">
        <v>26.21</v>
      </c>
      <c r="W538" s="30">
        <v>12580.18</v>
      </c>
      <c r="X538" s="27">
        <v>7.16</v>
      </c>
      <c r="Y538" s="27" t="s">
        <v>66</v>
      </c>
      <c r="Z538" s="29">
        <v>3</v>
      </c>
      <c r="AA538" s="30">
        <v>19403.259999999998</v>
      </c>
      <c r="AB538" s="29">
        <v>0.907759882869693</v>
      </c>
      <c r="AC538" s="30">
        <v>16038.07</v>
      </c>
      <c r="AD538" s="30">
        <v>331.54207906295801</v>
      </c>
      <c r="AE538" s="27">
        <v>555.1</v>
      </c>
      <c r="AF538" s="29">
        <v>0.92433795712484201</v>
      </c>
      <c r="AG538" s="30">
        <v>3033.64792093704</v>
      </c>
      <c r="AH538" s="31">
        <f t="shared" si="129"/>
        <v>0.86128625472887765</v>
      </c>
      <c r="AI538" s="31">
        <f t="shared" si="130"/>
        <v>9.224011713030747E-2</v>
      </c>
      <c r="AJ538" s="31">
        <f t="shared" si="131"/>
        <v>2.6354319180087848E-2</v>
      </c>
      <c r="AK538" s="31">
        <f t="shared" si="132"/>
        <v>0.90775988286969256</v>
      </c>
      <c r="AL538" s="29">
        <f t="shared" si="133"/>
        <v>0.7</v>
      </c>
      <c r="AM538" s="29">
        <f t="shared" si="134"/>
        <v>513.1</v>
      </c>
      <c r="AN538" s="29">
        <f t="shared" si="135"/>
        <v>1.3311245371272655</v>
      </c>
      <c r="AO538" s="29">
        <f t="shared" si="136"/>
        <v>1.4285714285714286</v>
      </c>
      <c r="AP538" s="31">
        <f t="shared" si="137"/>
        <v>0.93178717598908589</v>
      </c>
      <c r="AQ538" s="31">
        <f t="shared" si="138"/>
        <v>0.90775988286969256</v>
      </c>
      <c r="AR538" s="31">
        <f t="shared" si="139"/>
        <v>0.7818411097099619</v>
      </c>
      <c r="AS538" s="29">
        <f t="shared" si="140"/>
        <v>23.481800878477305</v>
      </c>
      <c r="AT538" s="29">
        <f t="shared" si="141"/>
        <v>4.4416514215769256</v>
      </c>
      <c r="AU538" s="27" t="str">
        <f t="shared" si="142"/>
        <v>High</v>
      </c>
      <c r="AV538" s="27" t="str">
        <f t="shared" si="143"/>
        <v>Warning</v>
      </c>
      <c r="AW538" s="27"/>
    </row>
    <row r="539" spans="1:49" x14ac:dyDescent="0.25">
      <c r="A539" s="27">
        <v>538</v>
      </c>
      <c r="B539" s="28">
        <v>46158</v>
      </c>
      <c r="C539" s="28" t="str">
        <f t="shared" si="128"/>
        <v>May</v>
      </c>
      <c r="D539" s="27" t="s">
        <v>47</v>
      </c>
      <c r="E539" s="27" t="s">
        <v>98</v>
      </c>
      <c r="F539" s="27" t="s">
        <v>105</v>
      </c>
      <c r="G539" s="27" t="s">
        <v>63</v>
      </c>
      <c r="H539" s="27" t="s">
        <v>124</v>
      </c>
      <c r="I539" s="27" t="s">
        <v>662</v>
      </c>
      <c r="J539" s="27" t="s">
        <v>155</v>
      </c>
      <c r="K539" s="27">
        <v>750</v>
      </c>
      <c r="L539" s="27">
        <v>623</v>
      </c>
      <c r="M539" s="27">
        <v>582</v>
      </c>
      <c r="N539" s="27">
        <v>41</v>
      </c>
      <c r="O539" s="27">
        <v>12</v>
      </c>
      <c r="P539" s="27">
        <v>44</v>
      </c>
      <c r="Q539" s="27" t="s">
        <v>75</v>
      </c>
      <c r="R539" s="27">
        <v>57</v>
      </c>
      <c r="S539" s="27">
        <v>57</v>
      </c>
      <c r="T539" s="29">
        <v>67.599999999999994</v>
      </c>
      <c r="U539" s="29">
        <v>2.41</v>
      </c>
      <c r="V539" s="29">
        <v>27.99</v>
      </c>
      <c r="W539" s="30">
        <v>17893.41</v>
      </c>
      <c r="X539" s="27">
        <v>7.11</v>
      </c>
      <c r="Y539" s="27" t="s">
        <v>55</v>
      </c>
      <c r="Z539" s="29">
        <v>35</v>
      </c>
      <c r="AA539" s="30">
        <v>26511.27</v>
      </c>
      <c r="AB539" s="29">
        <v>0.93418940609951895</v>
      </c>
      <c r="AC539" s="30">
        <v>21344.82</v>
      </c>
      <c r="AD539" s="30">
        <v>344.65637239165301</v>
      </c>
      <c r="AE539" s="27">
        <v>712.5</v>
      </c>
      <c r="AF539" s="29">
        <v>0.93824561403508799</v>
      </c>
      <c r="AG539" s="30">
        <v>4821.7936276083501</v>
      </c>
      <c r="AH539" s="31">
        <f t="shared" si="129"/>
        <v>0.83066666666666666</v>
      </c>
      <c r="AI539" s="31">
        <f t="shared" si="130"/>
        <v>6.5810593900481537E-2</v>
      </c>
      <c r="AJ539" s="31">
        <f t="shared" si="131"/>
        <v>1.9261637239165328E-2</v>
      </c>
      <c r="AK539" s="31">
        <f t="shared" si="132"/>
        <v>0.9341894060995185</v>
      </c>
      <c r="AL539" s="29">
        <f t="shared" si="133"/>
        <v>0.73333333333333328</v>
      </c>
      <c r="AM539" s="29">
        <f t="shared" si="134"/>
        <v>668.5</v>
      </c>
      <c r="AN539" s="29">
        <f t="shared" si="135"/>
        <v>0.93193717277486909</v>
      </c>
      <c r="AO539" s="29">
        <f t="shared" si="136"/>
        <v>1.0526315789473684</v>
      </c>
      <c r="AP539" s="31">
        <f t="shared" si="137"/>
        <v>0.88534031413612568</v>
      </c>
      <c r="AQ539" s="31">
        <f t="shared" si="138"/>
        <v>0.9341894060995185</v>
      </c>
      <c r="AR539" s="31">
        <f t="shared" si="139"/>
        <v>0.77600000000000025</v>
      </c>
      <c r="AS539" s="29">
        <f t="shared" si="140"/>
        <v>34.261348314606742</v>
      </c>
      <c r="AT539" s="29">
        <f t="shared" si="141"/>
        <v>7.739636641425923</v>
      </c>
      <c r="AU539" s="27" t="str">
        <f t="shared" si="142"/>
        <v>High</v>
      </c>
      <c r="AV539" s="27" t="str">
        <f t="shared" si="143"/>
        <v>Warning</v>
      </c>
      <c r="AW539" s="27"/>
    </row>
    <row r="540" spans="1:49" x14ac:dyDescent="0.25">
      <c r="A540" s="27">
        <v>539</v>
      </c>
      <c r="B540" s="28">
        <v>46063</v>
      </c>
      <c r="C540" s="28" t="str">
        <f t="shared" si="128"/>
        <v>February</v>
      </c>
      <c r="D540" s="27" t="s">
        <v>67</v>
      </c>
      <c r="E540" s="27" t="s">
        <v>76</v>
      </c>
      <c r="F540" s="27" t="s">
        <v>119</v>
      </c>
      <c r="G540" s="27" t="s">
        <v>50</v>
      </c>
      <c r="H540" s="27" t="s">
        <v>79</v>
      </c>
      <c r="I540" s="27" t="s">
        <v>663</v>
      </c>
      <c r="J540" s="27" t="s">
        <v>161</v>
      </c>
      <c r="K540" s="27">
        <v>817</v>
      </c>
      <c r="L540" s="27">
        <v>697</v>
      </c>
      <c r="M540" s="27">
        <v>635</v>
      </c>
      <c r="N540" s="27">
        <v>62</v>
      </c>
      <c r="O540" s="27">
        <v>22</v>
      </c>
      <c r="P540" s="27">
        <v>73</v>
      </c>
      <c r="Q540" s="27" t="s">
        <v>91</v>
      </c>
      <c r="R540" s="27">
        <v>49</v>
      </c>
      <c r="S540" s="27">
        <v>53</v>
      </c>
      <c r="T540" s="29">
        <v>67.900000000000006</v>
      </c>
      <c r="U540" s="29">
        <v>2.37</v>
      </c>
      <c r="V540" s="29">
        <v>30.4</v>
      </c>
      <c r="W540" s="30">
        <v>15537.07</v>
      </c>
      <c r="X540" s="27">
        <v>8.2899999999999991</v>
      </c>
      <c r="Y540" s="27" t="s">
        <v>66</v>
      </c>
      <c r="Z540" s="29">
        <v>40</v>
      </c>
      <c r="AA540" s="30">
        <v>24315.439999999999</v>
      </c>
      <c r="AB540" s="29">
        <v>0.91104734576757496</v>
      </c>
      <c r="AC540" s="30">
        <v>19541.169999999998</v>
      </c>
      <c r="AD540" s="30">
        <v>490.409670014347</v>
      </c>
      <c r="AE540" s="27">
        <v>667.21666666666704</v>
      </c>
      <c r="AF540" s="29">
        <v>0.89059026303299804</v>
      </c>
      <c r="AG540" s="30">
        <v>4283.8603299856504</v>
      </c>
      <c r="AH540" s="31">
        <f t="shared" si="129"/>
        <v>0.85312117503059981</v>
      </c>
      <c r="AI540" s="31">
        <f t="shared" si="130"/>
        <v>8.8952654232424683E-2</v>
      </c>
      <c r="AJ540" s="31">
        <f t="shared" si="131"/>
        <v>3.1563845050215207E-2</v>
      </c>
      <c r="AK540" s="31">
        <f t="shared" si="132"/>
        <v>0.91104734576757529</v>
      </c>
      <c r="AL540" s="29">
        <f t="shared" si="133"/>
        <v>1.2166666666666666</v>
      </c>
      <c r="AM540" s="29">
        <f t="shared" si="134"/>
        <v>594.21666666666704</v>
      </c>
      <c r="AN540" s="29">
        <f t="shared" si="135"/>
        <v>1.1729728213614554</v>
      </c>
      <c r="AO540" s="29">
        <f t="shared" si="136"/>
        <v>1.2244897959183674</v>
      </c>
      <c r="AP540" s="31">
        <f t="shared" si="137"/>
        <v>0.95792780411185519</v>
      </c>
      <c r="AQ540" s="31">
        <f t="shared" si="138"/>
        <v>0.91104734576757529</v>
      </c>
      <c r="AR540" s="31">
        <f t="shared" si="139"/>
        <v>0.77723378212974259</v>
      </c>
      <c r="AS540" s="29">
        <f t="shared" si="140"/>
        <v>28.036111908177904</v>
      </c>
      <c r="AT540" s="29">
        <f t="shared" si="141"/>
        <v>6.1461410760195845</v>
      </c>
      <c r="AU540" s="27" t="str">
        <f t="shared" si="142"/>
        <v>High</v>
      </c>
      <c r="AV540" s="27" t="str">
        <f t="shared" si="143"/>
        <v>Warning</v>
      </c>
      <c r="AW540" s="27"/>
    </row>
    <row r="541" spans="1:49" x14ac:dyDescent="0.25">
      <c r="A541" s="27">
        <v>540</v>
      </c>
      <c r="B541" s="28">
        <v>46032</v>
      </c>
      <c r="C541" s="28" t="str">
        <f t="shared" si="128"/>
        <v>January</v>
      </c>
      <c r="D541" s="27" t="s">
        <v>47</v>
      </c>
      <c r="E541" s="27" t="s">
        <v>48</v>
      </c>
      <c r="F541" s="27" t="s">
        <v>72</v>
      </c>
      <c r="G541" s="27" t="s">
        <v>50</v>
      </c>
      <c r="H541" s="27" t="s">
        <v>68</v>
      </c>
      <c r="I541" s="27" t="s">
        <v>664</v>
      </c>
      <c r="J541" s="27" t="s">
        <v>150</v>
      </c>
      <c r="K541" s="27">
        <v>534</v>
      </c>
      <c r="L541" s="27">
        <v>636</v>
      </c>
      <c r="M541" s="27">
        <v>610</v>
      </c>
      <c r="N541" s="27">
        <v>26</v>
      </c>
      <c r="O541" s="27">
        <v>10</v>
      </c>
      <c r="P541" s="27">
        <v>7</v>
      </c>
      <c r="Q541" s="27" t="s">
        <v>54</v>
      </c>
      <c r="R541" s="27">
        <v>64</v>
      </c>
      <c r="S541" s="27">
        <v>63</v>
      </c>
      <c r="T541" s="29">
        <v>74.2</v>
      </c>
      <c r="U541" s="29">
        <v>2.88</v>
      </c>
      <c r="V541" s="29">
        <v>23.11</v>
      </c>
      <c r="W541" s="30">
        <v>19657.060000000001</v>
      </c>
      <c r="X541" s="27">
        <v>11.34</v>
      </c>
      <c r="Y541" s="27" t="s">
        <v>55</v>
      </c>
      <c r="Z541" s="29">
        <v>32</v>
      </c>
      <c r="AA541" s="30">
        <v>30961.57</v>
      </c>
      <c r="AB541" s="29">
        <v>0.95911949685534603</v>
      </c>
      <c r="AC541" s="30">
        <v>24968.05</v>
      </c>
      <c r="AD541" s="30">
        <v>309.07327044025197</v>
      </c>
      <c r="AE541" s="27">
        <v>569.6</v>
      </c>
      <c r="AF541" s="29">
        <v>0.98771067415730296</v>
      </c>
      <c r="AG541" s="30">
        <v>5684.4467295597497</v>
      </c>
      <c r="AH541" s="31">
        <f t="shared" si="129"/>
        <v>1.1910112359550562</v>
      </c>
      <c r="AI541" s="31">
        <f t="shared" si="130"/>
        <v>4.0880503144654086E-2</v>
      </c>
      <c r="AJ541" s="31">
        <f t="shared" si="131"/>
        <v>1.5723270440251572E-2</v>
      </c>
      <c r="AK541" s="31">
        <f t="shared" si="132"/>
        <v>0.95911949685534592</v>
      </c>
      <c r="AL541" s="29">
        <f t="shared" si="133"/>
        <v>0.11666666666666667</v>
      </c>
      <c r="AM541" s="29">
        <f t="shared" si="134"/>
        <v>562.6</v>
      </c>
      <c r="AN541" s="29">
        <f t="shared" si="135"/>
        <v>1.1304656949875578</v>
      </c>
      <c r="AO541" s="29">
        <f t="shared" si="136"/>
        <v>0.9375</v>
      </c>
      <c r="AP541" s="31">
        <f t="shared" si="137"/>
        <v>1.205830074653395</v>
      </c>
      <c r="AQ541" s="31">
        <f t="shared" si="138"/>
        <v>0.95911949685534592</v>
      </c>
      <c r="AR541" s="31">
        <f t="shared" si="139"/>
        <v>1.1423220973782768</v>
      </c>
      <c r="AS541" s="29">
        <f t="shared" si="140"/>
        <v>39.257940251572329</v>
      </c>
      <c r="AT541" s="29">
        <f t="shared" si="141"/>
        <v>8.9378093232071532</v>
      </c>
      <c r="AU541" s="27" t="str">
        <f t="shared" si="142"/>
        <v>Medium</v>
      </c>
      <c r="AV541" s="27" t="str">
        <f t="shared" si="143"/>
        <v>Normal</v>
      </c>
      <c r="AW541" s="27"/>
    </row>
    <row r="542" spans="1:49" x14ac:dyDescent="0.25">
      <c r="A542" s="27">
        <v>541</v>
      </c>
      <c r="B542" s="28">
        <v>46166</v>
      </c>
      <c r="C542" s="28" t="str">
        <f t="shared" si="128"/>
        <v>May</v>
      </c>
      <c r="D542" s="27" t="s">
        <v>47</v>
      </c>
      <c r="E542" s="27" t="s">
        <v>98</v>
      </c>
      <c r="F542" s="27" t="s">
        <v>105</v>
      </c>
      <c r="G542" s="27" t="s">
        <v>50</v>
      </c>
      <c r="H542" s="27" t="s">
        <v>124</v>
      </c>
      <c r="I542" s="27" t="s">
        <v>665</v>
      </c>
      <c r="J542" s="27" t="s">
        <v>107</v>
      </c>
      <c r="K542" s="27">
        <v>560</v>
      </c>
      <c r="L542" s="27">
        <v>577</v>
      </c>
      <c r="M542" s="27">
        <v>534</v>
      </c>
      <c r="N542" s="27">
        <v>43</v>
      </c>
      <c r="O542" s="27">
        <v>9</v>
      </c>
      <c r="P542" s="27">
        <v>0</v>
      </c>
      <c r="Q542" s="27" t="s">
        <v>60</v>
      </c>
      <c r="R542" s="27">
        <v>57</v>
      </c>
      <c r="S542" s="27">
        <v>57</v>
      </c>
      <c r="T542" s="29">
        <v>68.900000000000006</v>
      </c>
      <c r="U542" s="29">
        <v>2.91</v>
      </c>
      <c r="V542" s="29">
        <v>16.45</v>
      </c>
      <c r="W542" s="30">
        <v>15815.73</v>
      </c>
      <c r="X542" s="27">
        <v>9.0399999999999991</v>
      </c>
      <c r="Y542" s="27" t="s">
        <v>66</v>
      </c>
      <c r="Z542" s="29">
        <v>11</v>
      </c>
      <c r="AA542" s="30">
        <v>24691.01</v>
      </c>
      <c r="AB542" s="29">
        <v>0.92547660311958402</v>
      </c>
      <c r="AC542" s="30">
        <v>20031.78</v>
      </c>
      <c r="AD542" s="30">
        <v>246.692495667244</v>
      </c>
      <c r="AE542" s="27">
        <v>532</v>
      </c>
      <c r="AF542" s="29">
        <v>1</v>
      </c>
      <c r="AG542" s="30">
        <v>4412.5375043327604</v>
      </c>
      <c r="AH542" s="31">
        <f t="shared" si="129"/>
        <v>1.0303571428571427</v>
      </c>
      <c r="AI542" s="31">
        <f t="shared" si="130"/>
        <v>7.452339688041594E-2</v>
      </c>
      <c r="AJ542" s="31">
        <f t="shared" si="131"/>
        <v>1.5597920277296361E-2</v>
      </c>
      <c r="AK542" s="31">
        <f t="shared" si="132"/>
        <v>0.92547660311958402</v>
      </c>
      <c r="AL542" s="29">
        <f t="shared" si="133"/>
        <v>0</v>
      </c>
      <c r="AM542" s="29">
        <f t="shared" si="134"/>
        <v>532</v>
      </c>
      <c r="AN542" s="29">
        <f t="shared" si="135"/>
        <v>1.0845864661654134</v>
      </c>
      <c r="AO542" s="29">
        <f t="shared" si="136"/>
        <v>1.0526315789473684</v>
      </c>
      <c r="AP542" s="31">
        <f t="shared" si="137"/>
        <v>1.0303571428571427</v>
      </c>
      <c r="AQ542" s="31">
        <f t="shared" si="138"/>
        <v>0.92547660311958402</v>
      </c>
      <c r="AR542" s="31">
        <f t="shared" si="139"/>
        <v>0.9535714285714284</v>
      </c>
      <c r="AS542" s="29">
        <f t="shared" si="140"/>
        <v>34.717123050259964</v>
      </c>
      <c r="AT542" s="29">
        <f t="shared" si="141"/>
        <v>7.6473786903514043</v>
      </c>
      <c r="AU542" s="27" t="str">
        <f t="shared" si="142"/>
        <v>Low</v>
      </c>
      <c r="AV542" s="27" t="str">
        <f t="shared" si="143"/>
        <v>Normal</v>
      </c>
      <c r="AW542" s="27"/>
    </row>
    <row r="543" spans="1:49" x14ac:dyDescent="0.25">
      <c r="A543" s="27">
        <v>542</v>
      </c>
      <c r="B543" s="28">
        <v>46115</v>
      </c>
      <c r="C543" s="28" t="str">
        <f t="shared" si="128"/>
        <v>April</v>
      </c>
      <c r="D543" s="27" t="s">
        <v>67</v>
      </c>
      <c r="E543" s="27" t="s">
        <v>76</v>
      </c>
      <c r="F543" s="27" t="s">
        <v>113</v>
      </c>
      <c r="G543" s="27" t="s">
        <v>50</v>
      </c>
      <c r="H543" s="27" t="s">
        <v>68</v>
      </c>
      <c r="I543" s="27" t="s">
        <v>666</v>
      </c>
      <c r="J543" s="27" t="s">
        <v>186</v>
      </c>
      <c r="K543" s="27">
        <v>692</v>
      </c>
      <c r="L543" s="27">
        <v>722</v>
      </c>
      <c r="M543" s="27">
        <v>682</v>
      </c>
      <c r="N543" s="27">
        <v>40</v>
      </c>
      <c r="O543" s="27">
        <v>16</v>
      </c>
      <c r="P543" s="27">
        <v>21</v>
      </c>
      <c r="Q543" s="27" t="s">
        <v>54</v>
      </c>
      <c r="R543" s="27">
        <v>64</v>
      </c>
      <c r="S543" s="27">
        <v>65</v>
      </c>
      <c r="T543" s="29">
        <v>75.099999999999994</v>
      </c>
      <c r="U543" s="29">
        <v>2.62</v>
      </c>
      <c r="V543" s="29">
        <v>22.78</v>
      </c>
      <c r="W543" s="30">
        <v>23618.6</v>
      </c>
      <c r="X543" s="27">
        <v>8.19</v>
      </c>
      <c r="Y543" s="27" t="s">
        <v>71</v>
      </c>
      <c r="Z543" s="29">
        <v>42</v>
      </c>
      <c r="AA543" s="30">
        <v>35022.15</v>
      </c>
      <c r="AB543" s="29">
        <v>0.94459833795013903</v>
      </c>
      <c r="AC543" s="30">
        <v>27509.119999999999</v>
      </c>
      <c r="AD543" s="30">
        <v>523.40387811634298</v>
      </c>
      <c r="AE543" s="27">
        <v>738.13333333333298</v>
      </c>
      <c r="AF543" s="29">
        <v>0.971549855491329</v>
      </c>
      <c r="AG543" s="30">
        <v>6989.6261218836598</v>
      </c>
      <c r="AH543" s="31">
        <f t="shared" si="129"/>
        <v>1.0433526011560694</v>
      </c>
      <c r="AI543" s="31">
        <f t="shared" si="130"/>
        <v>5.5401662049861494E-2</v>
      </c>
      <c r="AJ543" s="31">
        <f t="shared" si="131"/>
        <v>2.2160664819944598E-2</v>
      </c>
      <c r="AK543" s="31">
        <f t="shared" si="132"/>
        <v>0.94459833795013848</v>
      </c>
      <c r="AL543" s="29">
        <f t="shared" si="133"/>
        <v>0.35</v>
      </c>
      <c r="AM543" s="29">
        <f t="shared" si="134"/>
        <v>717.13333333333298</v>
      </c>
      <c r="AN543" s="29">
        <f t="shared" si="135"/>
        <v>1.0067862787022408</v>
      </c>
      <c r="AO543" s="29">
        <f t="shared" si="136"/>
        <v>0.9375</v>
      </c>
      <c r="AP543" s="31">
        <f t="shared" si="137"/>
        <v>1.0739053639490568</v>
      </c>
      <c r="AQ543" s="31">
        <f t="shared" si="138"/>
        <v>0.94459833795013848</v>
      </c>
      <c r="AR543" s="31">
        <f t="shared" si="139"/>
        <v>0.98554913294797675</v>
      </c>
      <c r="AS543" s="29">
        <f t="shared" si="140"/>
        <v>38.101274238227148</v>
      </c>
      <c r="AT543" s="29">
        <f t="shared" si="141"/>
        <v>9.6809226064870639</v>
      </c>
      <c r="AU543" s="27" t="str">
        <f t="shared" si="142"/>
        <v>High</v>
      </c>
      <c r="AV543" s="27" t="str">
        <f t="shared" si="143"/>
        <v>Normal</v>
      </c>
      <c r="AW543" s="27"/>
    </row>
    <row r="544" spans="1:49" x14ac:dyDescent="0.25">
      <c r="A544" s="27">
        <v>543</v>
      </c>
      <c r="B544" s="28">
        <v>46044</v>
      </c>
      <c r="C544" s="28" t="str">
        <f t="shared" si="128"/>
        <v>January</v>
      </c>
      <c r="D544" s="27" t="s">
        <v>67</v>
      </c>
      <c r="E544" s="27" t="s">
        <v>76</v>
      </c>
      <c r="F544" s="27" t="s">
        <v>119</v>
      </c>
      <c r="G544" s="27" t="s">
        <v>50</v>
      </c>
      <c r="H544" s="27" t="s">
        <v>68</v>
      </c>
      <c r="I544" s="27" t="s">
        <v>667</v>
      </c>
      <c r="J544" s="27" t="s">
        <v>107</v>
      </c>
      <c r="K544" s="27">
        <v>493</v>
      </c>
      <c r="L544" s="27">
        <v>448</v>
      </c>
      <c r="M544" s="27">
        <v>404</v>
      </c>
      <c r="N544" s="27">
        <v>44</v>
      </c>
      <c r="O544" s="27">
        <v>18</v>
      </c>
      <c r="P544" s="27">
        <v>44</v>
      </c>
      <c r="Q544" s="27" t="s">
        <v>97</v>
      </c>
      <c r="R544" s="27">
        <v>64</v>
      </c>
      <c r="S544" s="27">
        <v>64</v>
      </c>
      <c r="T544" s="29">
        <v>74.7</v>
      </c>
      <c r="U544" s="29">
        <v>1.73</v>
      </c>
      <c r="V544" s="29">
        <v>16.53</v>
      </c>
      <c r="W544" s="30">
        <v>14713.11</v>
      </c>
      <c r="X544" s="27">
        <v>8.51</v>
      </c>
      <c r="Y544" s="27" t="s">
        <v>110</v>
      </c>
      <c r="Z544" s="29">
        <v>23</v>
      </c>
      <c r="AA544" s="30">
        <v>20797.400000000001</v>
      </c>
      <c r="AB544" s="29">
        <v>0.90178571428571397</v>
      </c>
      <c r="AC544" s="30">
        <v>18691.38</v>
      </c>
      <c r="AD544" s="30">
        <v>591.151741071429</v>
      </c>
      <c r="AE544" s="27">
        <v>525.86666666666702</v>
      </c>
      <c r="AF544" s="29">
        <v>0.91632860040567998</v>
      </c>
      <c r="AG544" s="30">
        <v>1514.86825892857</v>
      </c>
      <c r="AH544" s="31">
        <f t="shared" si="129"/>
        <v>0.90872210953346855</v>
      </c>
      <c r="AI544" s="31">
        <f t="shared" si="130"/>
        <v>9.8214285714285712E-2</v>
      </c>
      <c r="AJ544" s="31">
        <f t="shared" si="131"/>
        <v>4.0178571428571432E-2</v>
      </c>
      <c r="AK544" s="31">
        <f t="shared" si="132"/>
        <v>0.9017857142857143</v>
      </c>
      <c r="AL544" s="29">
        <f t="shared" si="133"/>
        <v>0.73333333333333328</v>
      </c>
      <c r="AM544" s="29">
        <f t="shared" si="134"/>
        <v>481.86666666666702</v>
      </c>
      <c r="AN544" s="29">
        <f t="shared" si="135"/>
        <v>0.92971776425013763</v>
      </c>
      <c r="AO544" s="29">
        <f t="shared" si="136"/>
        <v>0.9375</v>
      </c>
      <c r="AP544" s="31">
        <f t="shared" si="137"/>
        <v>0.99169894853348017</v>
      </c>
      <c r="AQ544" s="31">
        <f t="shared" si="138"/>
        <v>0.9017857142857143</v>
      </c>
      <c r="AR544" s="31">
        <f t="shared" si="139"/>
        <v>0.81947261663285986</v>
      </c>
      <c r="AS544" s="29">
        <f t="shared" si="140"/>
        <v>41.721830357142856</v>
      </c>
      <c r="AT544" s="29">
        <f t="shared" si="141"/>
        <v>3.3814023636798436</v>
      </c>
      <c r="AU544" s="27" t="str">
        <f t="shared" si="142"/>
        <v>Medium</v>
      </c>
      <c r="AV544" s="27" t="str">
        <f t="shared" si="143"/>
        <v>Warning</v>
      </c>
      <c r="AW544" s="27"/>
    </row>
    <row r="545" spans="1:49" x14ac:dyDescent="0.25">
      <c r="A545" s="27">
        <v>544</v>
      </c>
      <c r="B545" s="28">
        <v>46031</v>
      </c>
      <c r="C545" s="28" t="str">
        <f t="shared" si="128"/>
        <v>January</v>
      </c>
      <c r="D545" s="27" t="s">
        <v>47</v>
      </c>
      <c r="E545" s="27" t="s">
        <v>76</v>
      </c>
      <c r="F545" s="27" t="s">
        <v>77</v>
      </c>
      <c r="G545" s="27" t="s">
        <v>63</v>
      </c>
      <c r="H545" s="27" t="s">
        <v>51</v>
      </c>
      <c r="I545" s="27" t="s">
        <v>668</v>
      </c>
      <c r="J545" s="27" t="s">
        <v>90</v>
      </c>
      <c r="K545" s="27">
        <v>822</v>
      </c>
      <c r="L545" s="27">
        <v>837</v>
      </c>
      <c r="M545" s="27">
        <v>777</v>
      </c>
      <c r="N545" s="27">
        <v>60</v>
      </c>
      <c r="O545" s="27">
        <v>22</v>
      </c>
      <c r="P545" s="27">
        <v>19</v>
      </c>
      <c r="Q545" s="27" t="s">
        <v>102</v>
      </c>
      <c r="R545" s="27">
        <v>42</v>
      </c>
      <c r="S545" s="27">
        <v>44</v>
      </c>
      <c r="T545" s="29">
        <v>67.400000000000006</v>
      </c>
      <c r="U545" s="29">
        <v>2.79</v>
      </c>
      <c r="V545" s="29">
        <v>28.79</v>
      </c>
      <c r="W545" s="30">
        <v>16307.48</v>
      </c>
      <c r="X545" s="27">
        <v>9.75</v>
      </c>
      <c r="Y545" s="27" t="s">
        <v>66</v>
      </c>
      <c r="Z545" s="29">
        <v>8</v>
      </c>
      <c r="AA545" s="30">
        <v>24847.34</v>
      </c>
      <c r="AB545" s="29">
        <v>0.92831541218638003</v>
      </c>
      <c r="AC545" s="30">
        <v>20954.09</v>
      </c>
      <c r="AD545" s="30">
        <v>428.63149342891302</v>
      </c>
      <c r="AE545" s="27">
        <v>575.4</v>
      </c>
      <c r="AF545" s="29">
        <v>0.96697949252693804</v>
      </c>
      <c r="AG545" s="30">
        <v>3464.6185065710902</v>
      </c>
      <c r="AH545" s="31">
        <f t="shared" si="129"/>
        <v>1.0182481751824817</v>
      </c>
      <c r="AI545" s="31">
        <f t="shared" si="130"/>
        <v>7.1684587813620068E-2</v>
      </c>
      <c r="AJ545" s="31">
        <f t="shared" si="131"/>
        <v>2.6284348864994027E-2</v>
      </c>
      <c r="AK545" s="31">
        <f t="shared" si="132"/>
        <v>0.92831541218637992</v>
      </c>
      <c r="AL545" s="29">
        <f t="shared" si="133"/>
        <v>0.31666666666666665</v>
      </c>
      <c r="AM545" s="29">
        <f t="shared" si="134"/>
        <v>556.4</v>
      </c>
      <c r="AN545" s="29">
        <f t="shared" si="135"/>
        <v>1.5043134435657801</v>
      </c>
      <c r="AO545" s="29">
        <f t="shared" si="136"/>
        <v>1.4285714285714286</v>
      </c>
      <c r="AP545" s="31">
        <f t="shared" si="137"/>
        <v>1.053019410496046</v>
      </c>
      <c r="AQ545" s="31">
        <f t="shared" si="138"/>
        <v>0.92831541218637992</v>
      </c>
      <c r="AR545" s="31">
        <f t="shared" si="139"/>
        <v>0.94525547445255487</v>
      </c>
      <c r="AS545" s="29">
        <f t="shared" si="140"/>
        <v>25.034755077658303</v>
      </c>
      <c r="AT545" s="29">
        <f t="shared" si="141"/>
        <v>4.1393291595831423</v>
      </c>
      <c r="AU545" s="27" t="str">
        <f t="shared" si="142"/>
        <v>Low</v>
      </c>
      <c r="AV545" s="27" t="str">
        <f t="shared" si="143"/>
        <v>Normal</v>
      </c>
      <c r="AW545" s="27"/>
    </row>
    <row r="546" spans="1:49" x14ac:dyDescent="0.25">
      <c r="A546" s="27">
        <v>545</v>
      </c>
      <c r="B546" s="28">
        <v>46091</v>
      </c>
      <c r="C546" s="28" t="str">
        <f t="shared" si="128"/>
        <v>March</v>
      </c>
      <c r="D546" s="27" t="s">
        <v>47</v>
      </c>
      <c r="E546" s="27" t="s">
        <v>61</v>
      </c>
      <c r="F546" s="27" t="s">
        <v>95</v>
      </c>
      <c r="G546" s="27" t="s">
        <v>50</v>
      </c>
      <c r="H546" s="27" t="s">
        <v>57</v>
      </c>
      <c r="I546" s="27" t="s">
        <v>669</v>
      </c>
      <c r="J546" s="27" t="s">
        <v>70</v>
      </c>
      <c r="K546" s="27">
        <v>940</v>
      </c>
      <c r="L546" s="27">
        <v>1039</v>
      </c>
      <c r="M546" s="27">
        <v>991</v>
      </c>
      <c r="N546" s="27">
        <v>48</v>
      </c>
      <c r="O546" s="27">
        <v>10</v>
      </c>
      <c r="P546" s="27">
        <v>23</v>
      </c>
      <c r="Q546" s="27" t="s">
        <v>91</v>
      </c>
      <c r="R546" s="27">
        <v>45</v>
      </c>
      <c r="S546" s="27">
        <v>45</v>
      </c>
      <c r="T546" s="29">
        <v>73.599999999999994</v>
      </c>
      <c r="U546" s="29">
        <v>1.77</v>
      </c>
      <c r="V546" s="29">
        <v>40.340000000000003</v>
      </c>
      <c r="W546" s="30">
        <v>20893.45</v>
      </c>
      <c r="X546" s="27">
        <v>11.27</v>
      </c>
      <c r="Y546" s="27" t="s">
        <v>55</v>
      </c>
      <c r="Z546" s="29">
        <v>30</v>
      </c>
      <c r="AA546" s="30">
        <v>34857.22</v>
      </c>
      <c r="AB546" s="29">
        <v>0.95380173243503397</v>
      </c>
      <c r="AC546" s="30">
        <v>26328.01</v>
      </c>
      <c r="AD546" s="30">
        <v>201.09191530317599</v>
      </c>
      <c r="AE546" s="27">
        <v>705</v>
      </c>
      <c r="AF546" s="29">
        <v>0.96737588652482298</v>
      </c>
      <c r="AG546" s="30">
        <v>8328.11808469682</v>
      </c>
      <c r="AH546" s="31">
        <f t="shared" si="129"/>
        <v>1.1053191489361702</v>
      </c>
      <c r="AI546" s="31">
        <f t="shared" si="130"/>
        <v>4.6198267564966311E-2</v>
      </c>
      <c r="AJ546" s="31">
        <f t="shared" si="131"/>
        <v>9.6246390760346481E-3</v>
      </c>
      <c r="AK546" s="31">
        <f t="shared" si="132"/>
        <v>0.95380173243503363</v>
      </c>
      <c r="AL546" s="29">
        <f t="shared" si="133"/>
        <v>0.38333333333333336</v>
      </c>
      <c r="AM546" s="29">
        <f t="shared" si="134"/>
        <v>682</v>
      </c>
      <c r="AN546" s="29">
        <f t="shared" si="135"/>
        <v>1.5234604105571847</v>
      </c>
      <c r="AO546" s="29">
        <f t="shared" si="136"/>
        <v>1.3333333333333333</v>
      </c>
      <c r="AP546" s="31">
        <f t="shared" si="137"/>
        <v>1.1425953079178885</v>
      </c>
      <c r="AQ546" s="31">
        <f t="shared" si="138"/>
        <v>0.95380173243503363</v>
      </c>
      <c r="AR546" s="31">
        <f t="shared" si="139"/>
        <v>1.0542553191489363</v>
      </c>
      <c r="AS546" s="29">
        <f t="shared" si="140"/>
        <v>25.339759384023097</v>
      </c>
      <c r="AT546" s="29">
        <f t="shared" si="141"/>
        <v>8.0155130747803849</v>
      </c>
      <c r="AU546" s="27" t="str">
        <f t="shared" si="142"/>
        <v>Medium</v>
      </c>
      <c r="AV546" s="27" t="str">
        <f t="shared" si="143"/>
        <v>Normal</v>
      </c>
      <c r="AW546" s="27"/>
    </row>
    <row r="547" spans="1:49" x14ac:dyDescent="0.25">
      <c r="A547" s="27">
        <v>546</v>
      </c>
      <c r="B547" s="28">
        <v>46140</v>
      </c>
      <c r="C547" s="28" t="str">
        <f t="shared" si="128"/>
        <v>April</v>
      </c>
      <c r="D547" s="27" t="s">
        <v>67</v>
      </c>
      <c r="E547" s="27" t="s">
        <v>48</v>
      </c>
      <c r="F547" s="27" t="s">
        <v>49</v>
      </c>
      <c r="G547" s="27" t="s">
        <v>50</v>
      </c>
      <c r="H547" s="27" t="s">
        <v>57</v>
      </c>
      <c r="I547" s="27" t="s">
        <v>670</v>
      </c>
      <c r="J547" s="27" t="s">
        <v>138</v>
      </c>
      <c r="K547" s="27">
        <v>721</v>
      </c>
      <c r="L547" s="27">
        <v>677</v>
      </c>
      <c r="M547" s="27">
        <v>648</v>
      </c>
      <c r="N547" s="27">
        <v>29</v>
      </c>
      <c r="O547" s="27">
        <v>10</v>
      </c>
      <c r="P547" s="27">
        <v>19</v>
      </c>
      <c r="Q547" s="27" t="s">
        <v>104</v>
      </c>
      <c r="R547" s="27">
        <v>45</v>
      </c>
      <c r="S547" s="27">
        <v>48</v>
      </c>
      <c r="T547" s="29">
        <v>74</v>
      </c>
      <c r="U547" s="29">
        <v>2.75</v>
      </c>
      <c r="V547" s="29">
        <v>21.94</v>
      </c>
      <c r="W547" s="30">
        <v>14225.3</v>
      </c>
      <c r="X547" s="27">
        <v>8.3000000000000007</v>
      </c>
      <c r="Y547" s="27" t="s">
        <v>66</v>
      </c>
      <c r="Z547" s="29">
        <v>20</v>
      </c>
      <c r="AA547" s="30">
        <v>22638.1</v>
      </c>
      <c r="AB547" s="29">
        <v>0.95716395864106396</v>
      </c>
      <c r="AC547" s="30">
        <v>18157.759999999998</v>
      </c>
      <c r="AD547" s="30">
        <v>210.12259970457899</v>
      </c>
      <c r="AE547" s="27">
        <v>540.75</v>
      </c>
      <c r="AF547" s="29">
        <v>0.96486361534905196</v>
      </c>
      <c r="AG547" s="30">
        <v>4270.2174002954198</v>
      </c>
      <c r="AH547" s="31">
        <f t="shared" si="129"/>
        <v>0.93897364771151182</v>
      </c>
      <c r="AI547" s="31">
        <f t="shared" si="130"/>
        <v>4.2836041358936483E-2</v>
      </c>
      <c r="AJ547" s="31">
        <f t="shared" si="131"/>
        <v>1.4771048744460856E-2</v>
      </c>
      <c r="AK547" s="31">
        <f t="shared" si="132"/>
        <v>0.95716395864106352</v>
      </c>
      <c r="AL547" s="29">
        <f t="shared" si="133"/>
        <v>0.31666666666666665</v>
      </c>
      <c r="AM547" s="29">
        <f t="shared" si="134"/>
        <v>521.75</v>
      </c>
      <c r="AN547" s="29">
        <f t="shared" si="135"/>
        <v>1.2975563009103976</v>
      </c>
      <c r="AO547" s="29">
        <f t="shared" si="136"/>
        <v>1.3333333333333333</v>
      </c>
      <c r="AP547" s="31">
        <f t="shared" si="137"/>
        <v>0.97316722568279823</v>
      </c>
      <c r="AQ547" s="31">
        <f t="shared" si="138"/>
        <v>0.95716395864106352</v>
      </c>
      <c r="AR547" s="31">
        <f t="shared" si="139"/>
        <v>0.89875173370318973</v>
      </c>
      <c r="AS547" s="29">
        <f t="shared" si="140"/>
        <v>26.820915805022153</v>
      </c>
      <c r="AT547" s="29">
        <f t="shared" si="141"/>
        <v>6.3075589369208567</v>
      </c>
      <c r="AU547" s="27" t="str">
        <f t="shared" si="142"/>
        <v>Low</v>
      </c>
      <c r="AV547" s="27" t="str">
        <f t="shared" si="143"/>
        <v>Normal</v>
      </c>
      <c r="AW547" s="27"/>
    </row>
    <row r="548" spans="1:49" x14ac:dyDescent="0.25">
      <c r="A548" s="27">
        <v>547</v>
      </c>
      <c r="B548" s="28">
        <v>46196</v>
      </c>
      <c r="C548" s="28" t="str">
        <f t="shared" si="128"/>
        <v>June</v>
      </c>
      <c r="D548" s="27" t="s">
        <v>47</v>
      </c>
      <c r="E548" s="27" t="s">
        <v>61</v>
      </c>
      <c r="F548" s="27" t="s">
        <v>88</v>
      </c>
      <c r="G548" s="27" t="s">
        <v>63</v>
      </c>
      <c r="H548" s="27" t="s">
        <v>51</v>
      </c>
      <c r="I548" s="27" t="s">
        <v>671</v>
      </c>
      <c r="J548" s="27" t="s">
        <v>138</v>
      </c>
      <c r="K548" s="27">
        <v>854</v>
      </c>
      <c r="L548" s="27">
        <v>834</v>
      </c>
      <c r="M548" s="27">
        <v>811</v>
      </c>
      <c r="N548" s="27">
        <v>23</v>
      </c>
      <c r="O548" s="27">
        <v>8</v>
      </c>
      <c r="P548" s="27">
        <v>8</v>
      </c>
      <c r="Q548" s="27" t="s">
        <v>91</v>
      </c>
      <c r="R548" s="27">
        <v>42</v>
      </c>
      <c r="S548" s="27">
        <v>44</v>
      </c>
      <c r="T548" s="29">
        <v>73.5</v>
      </c>
      <c r="U548" s="29">
        <v>1.43</v>
      </c>
      <c r="V548" s="29">
        <v>30.25</v>
      </c>
      <c r="W548" s="30">
        <v>15441.32</v>
      </c>
      <c r="X548" s="27">
        <v>7.95</v>
      </c>
      <c r="Y548" s="27" t="s">
        <v>55</v>
      </c>
      <c r="Z548" s="29">
        <v>1</v>
      </c>
      <c r="AA548" s="30">
        <v>26457.24</v>
      </c>
      <c r="AB548" s="29">
        <v>0.97242206235011996</v>
      </c>
      <c r="AC548" s="30">
        <v>19291.07</v>
      </c>
      <c r="AD548" s="30">
        <v>148.11817745803401</v>
      </c>
      <c r="AE548" s="27">
        <v>597.79999999999995</v>
      </c>
      <c r="AF548" s="29">
        <v>0.98661759785881598</v>
      </c>
      <c r="AG548" s="30">
        <v>7018.0518225419701</v>
      </c>
      <c r="AH548" s="31">
        <f t="shared" si="129"/>
        <v>0.97658079625292737</v>
      </c>
      <c r="AI548" s="31">
        <f t="shared" si="130"/>
        <v>2.7577937649880094E-2</v>
      </c>
      <c r="AJ548" s="31">
        <f t="shared" si="131"/>
        <v>9.5923261390887284E-3</v>
      </c>
      <c r="AK548" s="31">
        <f t="shared" si="132"/>
        <v>0.97242206235011985</v>
      </c>
      <c r="AL548" s="29">
        <f t="shared" si="133"/>
        <v>0.13333333333333333</v>
      </c>
      <c r="AM548" s="29">
        <f t="shared" si="134"/>
        <v>589.79999999999995</v>
      </c>
      <c r="AN548" s="29">
        <f t="shared" si="135"/>
        <v>1.4140386571719228</v>
      </c>
      <c r="AO548" s="29">
        <f t="shared" si="136"/>
        <v>1.4285714285714286</v>
      </c>
      <c r="AP548" s="31">
        <f t="shared" si="137"/>
        <v>0.98982706002034593</v>
      </c>
      <c r="AQ548" s="31">
        <f t="shared" si="138"/>
        <v>0.97242206235011985</v>
      </c>
      <c r="AR548" s="31">
        <f t="shared" si="139"/>
        <v>0.94964871194379419</v>
      </c>
      <c r="AS548" s="29">
        <f t="shared" si="140"/>
        <v>23.130779376498801</v>
      </c>
      <c r="AT548" s="29">
        <f t="shared" si="141"/>
        <v>8.4149302428560784</v>
      </c>
      <c r="AU548" s="27" t="str">
        <f t="shared" si="142"/>
        <v>Low</v>
      </c>
      <c r="AV548" s="27" t="str">
        <f t="shared" si="143"/>
        <v>Normal</v>
      </c>
      <c r="AW548" s="27"/>
    </row>
    <row r="549" spans="1:49" x14ac:dyDescent="0.25">
      <c r="A549" s="27">
        <v>548</v>
      </c>
      <c r="B549" s="28">
        <v>46084</v>
      </c>
      <c r="C549" s="28" t="str">
        <f t="shared" si="128"/>
        <v>March</v>
      </c>
      <c r="D549" s="27" t="s">
        <v>47</v>
      </c>
      <c r="E549" s="27" t="s">
        <v>129</v>
      </c>
      <c r="F549" s="27" t="s">
        <v>151</v>
      </c>
      <c r="G549" s="27" t="s">
        <v>63</v>
      </c>
      <c r="H549" s="27" t="s">
        <v>51</v>
      </c>
      <c r="I549" s="27" t="s">
        <v>672</v>
      </c>
      <c r="J549" s="27" t="s">
        <v>93</v>
      </c>
      <c r="K549" s="27">
        <v>972</v>
      </c>
      <c r="L549" s="27">
        <v>781</v>
      </c>
      <c r="M549" s="27">
        <v>730</v>
      </c>
      <c r="N549" s="27">
        <v>51</v>
      </c>
      <c r="O549" s="27">
        <v>16</v>
      </c>
      <c r="P549" s="27">
        <v>38</v>
      </c>
      <c r="Q549" s="27" t="s">
        <v>82</v>
      </c>
      <c r="R549" s="27">
        <v>42</v>
      </c>
      <c r="S549" s="27">
        <v>41</v>
      </c>
      <c r="T549" s="29">
        <v>74.8</v>
      </c>
      <c r="U549" s="29">
        <v>2.2599999999999998</v>
      </c>
      <c r="V549" s="29">
        <v>33.049999999999997</v>
      </c>
      <c r="W549" s="30">
        <v>14762.46</v>
      </c>
      <c r="X549" s="27">
        <v>7.58</v>
      </c>
      <c r="Y549" s="27" t="s">
        <v>55</v>
      </c>
      <c r="Z549" s="29">
        <v>57</v>
      </c>
      <c r="AA549" s="30">
        <v>23027.03</v>
      </c>
      <c r="AB549" s="29">
        <v>0.93469910371318798</v>
      </c>
      <c r="AC549" s="30">
        <v>18470.91</v>
      </c>
      <c r="AD549" s="30">
        <v>302.43195902688899</v>
      </c>
      <c r="AE549" s="27">
        <v>680.4</v>
      </c>
      <c r="AF549" s="29">
        <v>0.94415049970605502</v>
      </c>
      <c r="AG549" s="30">
        <v>4253.6880409731102</v>
      </c>
      <c r="AH549" s="31">
        <f t="shared" si="129"/>
        <v>0.80349794238683125</v>
      </c>
      <c r="AI549" s="31">
        <f t="shared" si="130"/>
        <v>6.530089628681178E-2</v>
      </c>
      <c r="AJ549" s="31">
        <f t="shared" si="131"/>
        <v>2.0486555697823303E-2</v>
      </c>
      <c r="AK549" s="31">
        <f t="shared" si="132"/>
        <v>0.93469910371318821</v>
      </c>
      <c r="AL549" s="29">
        <f t="shared" si="133"/>
        <v>0.6333333333333333</v>
      </c>
      <c r="AM549" s="29">
        <f t="shared" si="134"/>
        <v>642.4</v>
      </c>
      <c r="AN549" s="29">
        <f t="shared" si="135"/>
        <v>1.2157534246575343</v>
      </c>
      <c r="AO549" s="29">
        <f t="shared" si="136"/>
        <v>1.4285714285714286</v>
      </c>
      <c r="AP549" s="31">
        <f t="shared" si="137"/>
        <v>0.85102739726027399</v>
      </c>
      <c r="AQ549" s="31">
        <f t="shared" si="138"/>
        <v>0.93469910371318821</v>
      </c>
      <c r="AR549" s="31">
        <f t="shared" si="139"/>
        <v>0.751028806584362</v>
      </c>
      <c r="AS549" s="29">
        <f t="shared" si="140"/>
        <v>23.650332906530089</v>
      </c>
      <c r="AT549" s="29">
        <f t="shared" si="141"/>
        <v>5.4464635607850322</v>
      </c>
      <c r="AU549" s="27" t="str">
        <f t="shared" si="142"/>
        <v>High</v>
      </c>
      <c r="AV549" s="27" t="str">
        <f t="shared" si="143"/>
        <v>Warning</v>
      </c>
      <c r="AW549" s="27"/>
    </row>
    <row r="550" spans="1:49" x14ac:dyDescent="0.25">
      <c r="A550" s="27">
        <v>549</v>
      </c>
      <c r="B550" s="28">
        <v>46104</v>
      </c>
      <c r="C550" s="28" t="str">
        <f t="shared" si="128"/>
        <v>March</v>
      </c>
      <c r="D550" s="27" t="s">
        <v>67</v>
      </c>
      <c r="E550" s="27" t="s">
        <v>129</v>
      </c>
      <c r="F550" s="27" t="s">
        <v>130</v>
      </c>
      <c r="G550" s="27" t="s">
        <v>78</v>
      </c>
      <c r="H550" s="27" t="s">
        <v>79</v>
      </c>
      <c r="I550" s="27" t="s">
        <v>673</v>
      </c>
      <c r="J550" s="27" t="s">
        <v>121</v>
      </c>
      <c r="K550" s="27">
        <v>870</v>
      </c>
      <c r="L550" s="27">
        <v>676</v>
      </c>
      <c r="M550" s="27">
        <v>562</v>
      </c>
      <c r="N550" s="27">
        <v>114</v>
      </c>
      <c r="O550" s="27">
        <v>31</v>
      </c>
      <c r="P550" s="27">
        <v>44</v>
      </c>
      <c r="Q550" s="27" t="s">
        <v>91</v>
      </c>
      <c r="R550" s="27">
        <v>49</v>
      </c>
      <c r="S550" s="27">
        <v>53</v>
      </c>
      <c r="T550" s="29">
        <v>78.3</v>
      </c>
      <c r="U550" s="29">
        <v>4.12</v>
      </c>
      <c r="V550" s="29">
        <v>30.35</v>
      </c>
      <c r="W550" s="30">
        <v>15386.45</v>
      </c>
      <c r="X550" s="27">
        <v>6.57</v>
      </c>
      <c r="Y550" s="27" t="s">
        <v>71</v>
      </c>
      <c r="Z550" s="29">
        <v>54</v>
      </c>
      <c r="AA550" s="30">
        <v>20906.73</v>
      </c>
      <c r="AB550" s="29">
        <v>0.83136094674556205</v>
      </c>
      <c r="AC550" s="30">
        <v>18616.099999999999</v>
      </c>
      <c r="AD550" s="30">
        <v>705.59164201183398</v>
      </c>
      <c r="AE550" s="27">
        <v>710.5</v>
      </c>
      <c r="AF550" s="29">
        <v>0.93807178043631301</v>
      </c>
      <c r="AG550" s="30">
        <v>1585.03835798816</v>
      </c>
      <c r="AH550" s="31">
        <f t="shared" si="129"/>
        <v>0.77701149425287352</v>
      </c>
      <c r="AI550" s="31">
        <f t="shared" si="130"/>
        <v>0.16863905325443787</v>
      </c>
      <c r="AJ550" s="31">
        <f t="shared" si="131"/>
        <v>4.5857988165680472E-2</v>
      </c>
      <c r="AK550" s="31">
        <f t="shared" si="132"/>
        <v>0.83136094674556216</v>
      </c>
      <c r="AL550" s="29">
        <f t="shared" si="133"/>
        <v>0.73333333333333328</v>
      </c>
      <c r="AM550" s="29">
        <f t="shared" si="134"/>
        <v>666.5</v>
      </c>
      <c r="AN550" s="29">
        <f t="shared" si="135"/>
        <v>1.0142535633908476</v>
      </c>
      <c r="AO550" s="29">
        <f t="shared" si="136"/>
        <v>1.2244897959183674</v>
      </c>
      <c r="AP550" s="31">
        <f t="shared" si="137"/>
        <v>0.82830707676919224</v>
      </c>
      <c r="AQ550" s="31">
        <f t="shared" si="138"/>
        <v>0.83136094674556216</v>
      </c>
      <c r="AR550" s="31">
        <f t="shared" si="139"/>
        <v>0.64597701149425324</v>
      </c>
      <c r="AS550" s="29">
        <f t="shared" si="140"/>
        <v>27.538609467455618</v>
      </c>
      <c r="AT550" s="29">
        <f t="shared" si="141"/>
        <v>2.3447312987990534</v>
      </c>
      <c r="AU550" s="27" t="str">
        <f t="shared" si="142"/>
        <v>High</v>
      </c>
      <c r="AV550" s="27" t="str">
        <f t="shared" si="143"/>
        <v>Critical</v>
      </c>
      <c r="AW550" s="27"/>
    </row>
    <row r="551" spans="1:49" x14ac:dyDescent="0.25">
      <c r="A551" s="27">
        <v>550</v>
      </c>
      <c r="B551" s="28">
        <v>46116</v>
      </c>
      <c r="C551" s="28" t="str">
        <f t="shared" si="128"/>
        <v>April</v>
      </c>
      <c r="D551" s="27" t="s">
        <v>47</v>
      </c>
      <c r="E551" s="27" t="s">
        <v>61</v>
      </c>
      <c r="F551" s="27" t="s">
        <v>95</v>
      </c>
      <c r="G551" s="27" t="s">
        <v>78</v>
      </c>
      <c r="H551" s="27" t="s">
        <v>51</v>
      </c>
      <c r="I551" s="27" t="s">
        <v>674</v>
      </c>
      <c r="J551" s="27" t="s">
        <v>134</v>
      </c>
      <c r="K551" s="27">
        <v>831</v>
      </c>
      <c r="L551" s="27">
        <v>727</v>
      </c>
      <c r="M551" s="27">
        <v>675</v>
      </c>
      <c r="N551" s="27">
        <v>52</v>
      </c>
      <c r="O551" s="27">
        <v>16</v>
      </c>
      <c r="P551" s="27">
        <v>14</v>
      </c>
      <c r="Q551" s="27" t="s">
        <v>75</v>
      </c>
      <c r="R551" s="27">
        <v>42</v>
      </c>
      <c r="S551" s="27">
        <v>42</v>
      </c>
      <c r="T551" s="29">
        <v>68.7</v>
      </c>
      <c r="U551" s="29">
        <v>2.31</v>
      </c>
      <c r="V551" s="29">
        <v>23.27</v>
      </c>
      <c r="W551" s="30">
        <v>13810.59</v>
      </c>
      <c r="X551" s="27">
        <v>7.55</v>
      </c>
      <c r="Y551" s="27" t="s">
        <v>110</v>
      </c>
      <c r="Z551" s="29">
        <v>1</v>
      </c>
      <c r="AA551" s="30">
        <v>21159.13</v>
      </c>
      <c r="AB551" s="29">
        <v>0.92847317744154101</v>
      </c>
      <c r="AC551" s="30">
        <v>17417.52</v>
      </c>
      <c r="AD551" s="30">
        <v>303.946960110041</v>
      </c>
      <c r="AE551" s="27">
        <v>581.70000000000005</v>
      </c>
      <c r="AF551" s="29">
        <v>0.97593261131167297</v>
      </c>
      <c r="AG551" s="30">
        <v>3437.6630398899601</v>
      </c>
      <c r="AH551" s="31">
        <f t="shared" si="129"/>
        <v>0.87484957882069792</v>
      </c>
      <c r="AI551" s="31">
        <f t="shared" si="130"/>
        <v>7.1526822558459421E-2</v>
      </c>
      <c r="AJ551" s="31">
        <f t="shared" si="131"/>
        <v>2.2008253094910592E-2</v>
      </c>
      <c r="AK551" s="31">
        <f t="shared" si="132"/>
        <v>0.92847317744154056</v>
      </c>
      <c r="AL551" s="29">
        <f t="shared" si="133"/>
        <v>0.23333333333333334</v>
      </c>
      <c r="AM551" s="29">
        <f t="shared" si="134"/>
        <v>567.70000000000005</v>
      </c>
      <c r="AN551" s="29">
        <f t="shared" si="135"/>
        <v>1.2806059538488637</v>
      </c>
      <c r="AO551" s="29">
        <f t="shared" si="136"/>
        <v>1.4285714285714286</v>
      </c>
      <c r="AP551" s="31">
        <f t="shared" si="137"/>
        <v>0.89642416769420452</v>
      </c>
      <c r="AQ551" s="31">
        <f t="shared" si="138"/>
        <v>0.92847317744154056</v>
      </c>
      <c r="AR551" s="31">
        <f t="shared" si="139"/>
        <v>0.81227436823104704</v>
      </c>
      <c r="AS551" s="29">
        <f t="shared" si="140"/>
        <v>23.958074277854195</v>
      </c>
      <c r="AT551" s="29">
        <f t="shared" si="141"/>
        <v>4.7285598898073733</v>
      </c>
      <c r="AU551" s="27" t="str">
        <f t="shared" si="142"/>
        <v>Medium</v>
      </c>
      <c r="AV551" s="27" t="str">
        <f t="shared" si="143"/>
        <v>Warning</v>
      </c>
      <c r="AW551" s="27"/>
    </row>
    <row r="552" spans="1:49" x14ac:dyDescent="0.25">
      <c r="A552" s="27">
        <v>551</v>
      </c>
      <c r="B552" s="28">
        <v>46193</v>
      </c>
      <c r="C552" s="28" t="str">
        <f t="shared" si="128"/>
        <v>June</v>
      </c>
      <c r="D552" s="27" t="s">
        <v>47</v>
      </c>
      <c r="E552" s="27" t="s">
        <v>129</v>
      </c>
      <c r="F552" s="27" t="s">
        <v>167</v>
      </c>
      <c r="G552" s="27" t="s">
        <v>50</v>
      </c>
      <c r="H552" s="27" t="s">
        <v>79</v>
      </c>
      <c r="I552" s="27" t="s">
        <v>675</v>
      </c>
      <c r="J552" s="27" t="s">
        <v>84</v>
      </c>
      <c r="K552" s="27">
        <v>768</v>
      </c>
      <c r="L552" s="27">
        <v>710</v>
      </c>
      <c r="M552" s="27">
        <v>648</v>
      </c>
      <c r="N552" s="27">
        <v>62</v>
      </c>
      <c r="O552" s="27">
        <v>20</v>
      </c>
      <c r="P552" s="27">
        <v>22</v>
      </c>
      <c r="Q552" s="27" t="s">
        <v>54</v>
      </c>
      <c r="R552" s="27">
        <v>49</v>
      </c>
      <c r="S552" s="27">
        <v>50</v>
      </c>
      <c r="T552" s="29">
        <v>70.099999999999994</v>
      </c>
      <c r="U552" s="29">
        <v>1.92</v>
      </c>
      <c r="V552" s="29">
        <v>26.65</v>
      </c>
      <c r="W552" s="30">
        <v>15322.15</v>
      </c>
      <c r="X552" s="27">
        <v>7.8</v>
      </c>
      <c r="Y552" s="27" t="s">
        <v>66</v>
      </c>
      <c r="Z552" s="29">
        <v>10</v>
      </c>
      <c r="AA552" s="30">
        <v>24074.59</v>
      </c>
      <c r="AB552" s="29">
        <v>0.91267605633802795</v>
      </c>
      <c r="AC552" s="30">
        <v>19072</v>
      </c>
      <c r="AD552" s="30">
        <v>431.60985915493001</v>
      </c>
      <c r="AE552" s="27">
        <v>627.20000000000005</v>
      </c>
      <c r="AF552" s="29">
        <v>0.96492346938775497</v>
      </c>
      <c r="AG552" s="30">
        <v>4570.9801408450703</v>
      </c>
      <c r="AH552" s="31">
        <f t="shared" si="129"/>
        <v>0.92447916666666663</v>
      </c>
      <c r="AI552" s="31">
        <f t="shared" si="130"/>
        <v>8.7323943661971826E-2</v>
      </c>
      <c r="AJ552" s="31">
        <f t="shared" si="131"/>
        <v>2.8169014084507043E-2</v>
      </c>
      <c r="AK552" s="31">
        <f t="shared" si="132"/>
        <v>0.91267605633802817</v>
      </c>
      <c r="AL552" s="29">
        <f t="shared" si="133"/>
        <v>0.36666666666666664</v>
      </c>
      <c r="AM552" s="29">
        <f t="shared" si="134"/>
        <v>605.20000000000005</v>
      </c>
      <c r="AN552" s="29">
        <f t="shared" si="135"/>
        <v>1.1731658955717117</v>
      </c>
      <c r="AO552" s="29">
        <f t="shared" si="136"/>
        <v>1.2244897959183674</v>
      </c>
      <c r="AP552" s="31">
        <f t="shared" si="137"/>
        <v>0.95808548138356453</v>
      </c>
      <c r="AQ552" s="31">
        <f t="shared" si="138"/>
        <v>0.91267605633802817</v>
      </c>
      <c r="AR552" s="31">
        <f t="shared" si="139"/>
        <v>0.84374999999999978</v>
      </c>
      <c r="AS552" s="29">
        <f t="shared" si="140"/>
        <v>26.861971830985915</v>
      </c>
      <c r="AT552" s="29">
        <f t="shared" si="141"/>
        <v>6.4380001983733388</v>
      </c>
      <c r="AU552" s="27" t="str">
        <f t="shared" si="142"/>
        <v>Medium</v>
      </c>
      <c r="AV552" s="27" t="str">
        <f t="shared" si="143"/>
        <v>Warning</v>
      </c>
      <c r="AW552" s="27"/>
    </row>
    <row r="553" spans="1:49" x14ac:dyDescent="0.25">
      <c r="A553" s="27">
        <v>552</v>
      </c>
      <c r="B553" s="28">
        <v>46167</v>
      </c>
      <c r="C553" s="28" t="str">
        <f t="shared" si="128"/>
        <v>May</v>
      </c>
      <c r="D553" s="27" t="s">
        <v>67</v>
      </c>
      <c r="E553" s="27" t="s">
        <v>48</v>
      </c>
      <c r="F553" s="27" t="s">
        <v>72</v>
      </c>
      <c r="G553" s="27" t="s">
        <v>63</v>
      </c>
      <c r="H553" s="27" t="s">
        <v>79</v>
      </c>
      <c r="I553" s="27" t="s">
        <v>676</v>
      </c>
      <c r="J553" s="27" t="s">
        <v>161</v>
      </c>
      <c r="K553" s="27">
        <v>787</v>
      </c>
      <c r="L553" s="27">
        <v>713</v>
      </c>
      <c r="M553" s="27">
        <v>691</v>
      </c>
      <c r="N553" s="27">
        <v>22</v>
      </c>
      <c r="O553" s="27">
        <v>8</v>
      </c>
      <c r="P553" s="27">
        <v>50</v>
      </c>
      <c r="Q553" s="27" t="s">
        <v>102</v>
      </c>
      <c r="R553" s="27">
        <v>49</v>
      </c>
      <c r="S553" s="27">
        <v>53</v>
      </c>
      <c r="T553" s="29">
        <v>68</v>
      </c>
      <c r="U553" s="29">
        <v>2.09</v>
      </c>
      <c r="V553" s="29">
        <v>29.99</v>
      </c>
      <c r="W553" s="30">
        <v>16562.169999999998</v>
      </c>
      <c r="X553" s="27">
        <v>8.86</v>
      </c>
      <c r="Y553" s="27" t="s">
        <v>66</v>
      </c>
      <c r="Z553" s="29">
        <v>32</v>
      </c>
      <c r="AA553" s="30">
        <v>26906.12</v>
      </c>
      <c r="AB553" s="29">
        <v>0.96914446002804999</v>
      </c>
      <c r="AC553" s="30">
        <v>20819.080000000002</v>
      </c>
      <c r="AD553" s="30">
        <v>185.83079943899</v>
      </c>
      <c r="AE553" s="27">
        <v>642.71666666666704</v>
      </c>
      <c r="AF553" s="29">
        <v>0.92220522262272098</v>
      </c>
      <c r="AG553" s="30">
        <v>5901.2092005610102</v>
      </c>
      <c r="AH553" s="31">
        <f t="shared" si="129"/>
        <v>0.90597204574332912</v>
      </c>
      <c r="AI553" s="31">
        <f t="shared" si="130"/>
        <v>3.0855539971949508E-2</v>
      </c>
      <c r="AJ553" s="31">
        <f t="shared" si="131"/>
        <v>1.1220196353436185E-2</v>
      </c>
      <c r="AK553" s="31">
        <f t="shared" si="132"/>
        <v>0.96914446002805044</v>
      </c>
      <c r="AL553" s="29">
        <f t="shared" si="133"/>
        <v>0.83333333333333337</v>
      </c>
      <c r="AM553" s="29">
        <f t="shared" si="134"/>
        <v>592.71666666666704</v>
      </c>
      <c r="AN553" s="29">
        <f t="shared" si="135"/>
        <v>1.2029356353513476</v>
      </c>
      <c r="AO553" s="29">
        <f t="shared" si="136"/>
        <v>1.2244897959183674</v>
      </c>
      <c r="AP553" s="31">
        <f t="shared" si="137"/>
        <v>0.98239743553693382</v>
      </c>
      <c r="AQ553" s="31">
        <f t="shared" si="138"/>
        <v>0.96914446002805044</v>
      </c>
      <c r="AR553" s="31">
        <f t="shared" si="139"/>
        <v>0.878017789072426</v>
      </c>
      <c r="AS553" s="29">
        <f t="shared" si="140"/>
        <v>29.199270687237028</v>
      </c>
      <c r="AT553" s="29">
        <f t="shared" si="141"/>
        <v>8.2765907441248387</v>
      </c>
      <c r="AU553" s="27" t="str">
        <f t="shared" si="142"/>
        <v>Medium</v>
      </c>
      <c r="AV553" s="27" t="str">
        <f t="shared" si="143"/>
        <v>Normal</v>
      </c>
      <c r="AW553" s="27"/>
    </row>
    <row r="554" spans="1:49" x14ac:dyDescent="0.25">
      <c r="A554" s="27">
        <v>553</v>
      </c>
      <c r="B554" s="28">
        <v>46174</v>
      </c>
      <c r="C554" s="28" t="str">
        <f t="shared" si="128"/>
        <v>June</v>
      </c>
      <c r="D554" s="27" t="s">
        <v>47</v>
      </c>
      <c r="E554" s="27" t="s">
        <v>98</v>
      </c>
      <c r="F554" s="27" t="s">
        <v>99</v>
      </c>
      <c r="G554" s="27" t="s">
        <v>63</v>
      </c>
      <c r="H554" s="27" t="s">
        <v>68</v>
      </c>
      <c r="I554" s="27" t="s">
        <v>677</v>
      </c>
      <c r="J554" s="27" t="s">
        <v>70</v>
      </c>
      <c r="K554" s="27">
        <v>580</v>
      </c>
      <c r="L554" s="27">
        <v>507</v>
      </c>
      <c r="M554" s="27">
        <v>485</v>
      </c>
      <c r="N554" s="27">
        <v>22</v>
      </c>
      <c r="O554" s="27">
        <v>6</v>
      </c>
      <c r="P554" s="27">
        <v>26</v>
      </c>
      <c r="Q554" s="27" t="s">
        <v>75</v>
      </c>
      <c r="R554" s="27">
        <v>64</v>
      </c>
      <c r="S554" s="27">
        <v>66</v>
      </c>
      <c r="T554" s="29">
        <v>74.5</v>
      </c>
      <c r="U554" s="29">
        <v>2.74</v>
      </c>
      <c r="V554" s="29">
        <v>17.18</v>
      </c>
      <c r="W554" s="30">
        <v>16116.67</v>
      </c>
      <c r="X554" s="27">
        <v>7.34</v>
      </c>
      <c r="Y554" s="27" t="s">
        <v>66</v>
      </c>
      <c r="Z554" s="29">
        <v>18</v>
      </c>
      <c r="AA554" s="30">
        <v>25180.27</v>
      </c>
      <c r="AB554" s="29">
        <v>0.95660749506903398</v>
      </c>
      <c r="AC554" s="30">
        <v>19574.29</v>
      </c>
      <c r="AD554" s="30">
        <v>190.72982248520699</v>
      </c>
      <c r="AE554" s="27">
        <v>618.66666666666697</v>
      </c>
      <c r="AF554" s="29">
        <v>0.95797413793103503</v>
      </c>
      <c r="AG554" s="30">
        <v>5415.2501775148003</v>
      </c>
      <c r="AH554" s="31">
        <f t="shared" si="129"/>
        <v>0.87413793103448278</v>
      </c>
      <c r="AI554" s="31">
        <f t="shared" si="130"/>
        <v>4.3392504930966469E-2</v>
      </c>
      <c r="AJ554" s="31">
        <f t="shared" si="131"/>
        <v>1.1834319526627219E-2</v>
      </c>
      <c r="AK554" s="31">
        <f t="shared" si="132"/>
        <v>0.95660749506903353</v>
      </c>
      <c r="AL554" s="29">
        <f t="shared" si="133"/>
        <v>0.43333333333333335</v>
      </c>
      <c r="AM554" s="29">
        <f t="shared" si="134"/>
        <v>592.66666666666697</v>
      </c>
      <c r="AN554" s="29">
        <f t="shared" si="135"/>
        <v>0.85545556805399281</v>
      </c>
      <c r="AO554" s="29">
        <f t="shared" si="136"/>
        <v>0.9375</v>
      </c>
      <c r="AP554" s="31">
        <f t="shared" si="137"/>
        <v>0.91248593925759236</v>
      </c>
      <c r="AQ554" s="31">
        <f t="shared" si="138"/>
        <v>0.95660749506903353</v>
      </c>
      <c r="AR554" s="31">
        <f t="shared" si="139"/>
        <v>0.8362068965517242</v>
      </c>
      <c r="AS554" s="29">
        <f t="shared" si="140"/>
        <v>38.608067061143984</v>
      </c>
      <c r="AT554" s="29">
        <f t="shared" si="141"/>
        <v>10.680966819555819</v>
      </c>
      <c r="AU554" s="27" t="str">
        <f t="shared" si="142"/>
        <v>Medium</v>
      </c>
      <c r="AV554" s="27" t="str">
        <f t="shared" si="143"/>
        <v>Warning</v>
      </c>
      <c r="AW554" s="27"/>
    </row>
    <row r="555" spans="1:49" x14ac:dyDescent="0.25">
      <c r="A555" s="27">
        <v>554</v>
      </c>
      <c r="B555" s="28">
        <v>46080</v>
      </c>
      <c r="C555" s="28" t="str">
        <f t="shared" si="128"/>
        <v>February</v>
      </c>
      <c r="D555" s="27" t="s">
        <v>47</v>
      </c>
      <c r="E555" s="27" t="s">
        <v>129</v>
      </c>
      <c r="F555" s="27" t="s">
        <v>151</v>
      </c>
      <c r="G555" s="27" t="s">
        <v>78</v>
      </c>
      <c r="H555" s="27" t="s">
        <v>124</v>
      </c>
      <c r="I555" s="27" t="s">
        <v>678</v>
      </c>
      <c r="J555" s="27" t="s">
        <v>101</v>
      </c>
      <c r="K555" s="27">
        <v>720</v>
      </c>
      <c r="L555" s="27">
        <v>667</v>
      </c>
      <c r="M555" s="27">
        <v>623</v>
      </c>
      <c r="N555" s="27">
        <v>44</v>
      </c>
      <c r="O555" s="27">
        <v>18</v>
      </c>
      <c r="P555" s="27">
        <v>0</v>
      </c>
      <c r="Q555" s="27" t="s">
        <v>60</v>
      </c>
      <c r="R555" s="27">
        <v>57</v>
      </c>
      <c r="S555" s="27">
        <v>61</v>
      </c>
      <c r="T555" s="29">
        <v>62.9</v>
      </c>
      <c r="U555" s="29">
        <v>1.88</v>
      </c>
      <c r="V555" s="29">
        <v>23.86</v>
      </c>
      <c r="W555" s="30">
        <v>18856.28</v>
      </c>
      <c r="X555" s="27">
        <v>8.92</v>
      </c>
      <c r="Y555" s="27" t="s">
        <v>55</v>
      </c>
      <c r="Z555" s="29">
        <v>17</v>
      </c>
      <c r="AA555" s="30">
        <v>29171.86</v>
      </c>
      <c r="AB555" s="29">
        <v>0.93403298350824604</v>
      </c>
      <c r="AC555" s="30">
        <v>23085.02</v>
      </c>
      <c r="AD555" s="30">
        <v>508.86512743628202</v>
      </c>
      <c r="AE555" s="27">
        <v>684</v>
      </c>
      <c r="AF555" s="29">
        <v>1</v>
      </c>
      <c r="AG555" s="30">
        <v>5577.9748725637201</v>
      </c>
      <c r="AH555" s="31">
        <f t="shared" si="129"/>
        <v>0.92638888888888893</v>
      </c>
      <c r="AI555" s="31">
        <f t="shared" si="130"/>
        <v>6.5967016491754127E-2</v>
      </c>
      <c r="AJ555" s="31">
        <f t="shared" si="131"/>
        <v>2.6986506746626688E-2</v>
      </c>
      <c r="AK555" s="31">
        <f t="shared" si="132"/>
        <v>0.93403298350824593</v>
      </c>
      <c r="AL555" s="29">
        <f t="shared" si="133"/>
        <v>0</v>
      </c>
      <c r="AM555" s="29">
        <f t="shared" si="134"/>
        <v>684</v>
      </c>
      <c r="AN555" s="29">
        <f t="shared" si="135"/>
        <v>0.97514619883040932</v>
      </c>
      <c r="AO555" s="29">
        <f t="shared" si="136"/>
        <v>1.0526315789473684</v>
      </c>
      <c r="AP555" s="31">
        <f t="shared" si="137"/>
        <v>0.92638888888888893</v>
      </c>
      <c r="AQ555" s="31">
        <f t="shared" si="138"/>
        <v>0.93403298350824593</v>
      </c>
      <c r="AR555" s="31">
        <f t="shared" si="139"/>
        <v>0.86527777777777781</v>
      </c>
      <c r="AS555" s="29">
        <f t="shared" si="140"/>
        <v>34.610224887556221</v>
      </c>
      <c r="AT555" s="29">
        <f t="shared" si="141"/>
        <v>8.3627809183863864</v>
      </c>
      <c r="AU555" s="27" t="str">
        <f t="shared" si="142"/>
        <v>Low</v>
      </c>
      <c r="AV555" s="27" t="str">
        <f t="shared" si="143"/>
        <v>Normal</v>
      </c>
      <c r="AW555" s="27"/>
    </row>
    <row r="556" spans="1:49" x14ac:dyDescent="0.25">
      <c r="A556" s="27">
        <v>555</v>
      </c>
      <c r="B556" s="28">
        <v>46095</v>
      </c>
      <c r="C556" s="28" t="str">
        <f t="shared" si="128"/>
        <v>March</v>
      </c>
      <c r="D556" s="27" t="s">
        <v>47</v>
      </c>
      <c r="E556" s="27" t="s">
        <v>61</v>
      </c>
      <c r="F556" s="27" t="s">
        <v>62</v>
      </c>
      <c r="G556" s="27" t="s">
        <v>63</v>
      </c>
      <c r="H556" s="27" t="s">
        <v>68</v>
      </c>
      <c r="I556" s="27" t="s">
        <v>679</v>
      </c>
      <c r="J556" s="27" t="s">
        <v>121</v>
      </c>
      <c r="K556" s="27">
        <v>516</v>
      </c>
      <c r="L556" s="27">
        <v>453</v>
      </c>
      <c r="M556" s="27">
        <v>430</v>
      </c>
      <c r="N556" s="27">
        <v>23</v>
      </c>
      <c r="O556" s="27">
        <v>5</v>
      </c>
      <c r="P556" s="27">
        <v>24</v>
      </c>
      <c r="Q556" s="27" t="s">
        <v>102</v>
      </c>
      <c r="R556" s="27">
        <v>64</v>
      </c>
      <c r="S556" s="27">
        <v>65</v>
      </c>
      <c r="T556" s="29">
        <v>78.400000000000006</v>
      </c>
      <c r="U556" s="29">
        <v>2.54</v>
      </c>
      <c r="V556" s="29">
        <v>16.440000000000001</v>
      </c>
      <c r="W556" s="30">
        <v>14779.25</v>
      </c>
      <c r="X556" s="27">
        <v>7.64</v>
      </c>
      <c r="Y556" s="27" t="s">
        <v>55</v>
      </c>
      <c r="Z556" s="29">
        <v>23</v>
      </c>
      <c r="AA556" s="30">
        <v>22502.94</v>
      </c>
      <c r="AB556" s="29">
        <v>0.94922737306843297</v>
      </c>
      <c r="AC556" s="30">
        <v>18365.21</v>
      </c>
      <c r="AD556" s="30">
        <v>163.12637969094899</v>
      </c>
      <c r="AE556" s="27">
        <v>550.4</v>
      </c>
      <c r="AF556" s="29">
        <v>0.956395348837209</v>
      </c>
      <c r="AG556" s="30">
        <v>3974.6036203090498</v>
      </c>
      <c r="AH556" s="31">
        <f t="shared" si="129"/>
        <v>0.87790697674418605</v>
      </c>
      <c r="AI556" s="31">
        <f t="shared" si="130"/>
        <v>5.0772626931567331E-2</v>
      </c>
      <c r="AJ556" s="31">
        <f t="shared" si="131"/>
        <v>1.1037527593818985E-2</v>
      </c>
      <c r="AK556" s="31">
        <f t="shared" si="132"/>
        <v>0.94922737306843263</v>
      </c>
      <c r="AL556" s="29">
        <f t="shared" si="133"/>
        <v>0.4</v>
      </c>
      <c r="AM556" s="29">
        <f t="shared" si="134"/>
        <v>526.4</v>
      </c>
      <c r="AN556" s="29">
        <f t="shared" si="135"/>
        <v>0.86056231003039518</v>
      </c>
      <c r="AO556" s="29">
        <f t="shared" si="136"/>
        <v>0.9375</v>
      </c>
      <c r="AP556" s="31">
        <f t="shared" si="137"/>
        <v>0.91793313069908822</v>
      </c>
      <c r="AQ556" s="31">
        <f t="shared" si="138"/>
        <v>0.94922737306843263</v>
      </c>
      <c r="AR556" s="31">
        <f t="shared" si="139"/>
        <v>0.83333333333333315</v>
      </c>
      <c r="AS556" s="29">
        <f t="shared" si="140"/>
        <v>40.541302428256067</v>
      </c>
      <c r="AT556" s="29">
        <f t="shared" si="141"/>
        <v>8.7739594267307943</v>
      </c>
      <c r="AU556" s="27" t="str">
        <f t="shared" si="142"/>
        <v>Medium</v>
      </c>
      <c r="AV556" s="27" t="str">
        <f t="shared" si="143"/>
        <v>Warning</v>
      </c>
      <c r="AW556" s="27"/>
    </row>
    <row r="557" spans="1:49" x14ac:dyDescent="0.25">
      <c r="A557" s="27">
        <v>556</v>
      </c>
      <c r="B557" s="28">
        <v>46095</v>
      </c>
      <c r="C557" s="28" t="str">
        <f t="shared" si="128"/>
        <v>March</v>
      </c>
      <c r="D557" s="27" t="s">
        <v>47</v>
      </c>
      <c r="E557" s="27" t="s">
        <v>76</v>
      </c>
      <c r="F557" s="27" t="s">
        <v>77</v>
      </c>
      <c r="G557" s="27" t="s">
        <v>50</v>
      </c>
      <c r="H557" s="27" t="s">
        <v>51</v>
      </c>
      <c r="I557" s="27" t="s">
        <v>680</v>
      </c>
      <c r="J557" s="27" t="s">
        <v>150</v>
      </c>
      <c r="K557" s="27">
        <v>887</v>
      </c>
      <c r="L557" s="27">
        <v>910</v>
      </c>
      <c r="M557" s="27">
        <v>853</v>
      </c>
      <c r="N557" s="27">
        <v>57</v>
      </c>
      <c r="O557" s="27">
        <v>15</v>
      </c>
      <c r="P557" s="27">
        <v>13</v>
      </c>
      <c r="Q557" s="27" t="s">
        <v>91</v>
      </c>
      <c r="R557" s="27">
        <v>42</v>
      </c>
      <c r="S557" s="27">
        <v>44</v>
      </c>
      <c r="T557" s="29">
        <v>67</v>
      </c>
      <c r="U557" s="29">
        <v>1.62</v>
      </c>
      <c r="V557" s="29">
        <v>35.840000000000003</v>
      </c>
      <c r="W557" s="30">
        <v>16396.43</v>
      </c>
      <c r="X557" s="27">
        <v>9.3000000000000007</v>
      </c>
      <c r="Y557" s="27" t="s">
        <v>66</v>
      </c>
      <c r="Z557" s="29">
        <v>23</v>
      </c>
      <c r="AA557" s="30">
        <v>27923.69</v>
      </c>
      <c r="AB557" s="29">
        <v>0.93736263736263703</v>
      </c>
      <c r="AC557" s="30">
        <v>20903.990000000002</v>
      </c>
      <c r="AD557" s="30">
        <v>270.27082417582398</v>
      </c>
      <c r="AE557" s="27">
        <v>620.9</v>
      </c>
      <c r="AF557" s="29">
        <v>0.97906265099049805</v>
      </c>
      <c r="AG557" s="30">
        <v>6749.4291758241698</v>
      </c>
      <c r="AH557" s="31">
        <f t="shared" si="129"/>
        <v>1.0259301014656144</v>
      </c>
      <c r="AI557" s="31">
        <f t="shared" si="130"/>
        <v>6.2637362637362637E-2</v>
      </c>
      <c r="AJ557" s="31">
        <f t="shared" si="131"/>
        <v>1.6483516483516484E-2</v>
      </c>
      <c r="AK557" s="31">
        <f t="shared" si="132"/>
        <v>0.93736263736263736</v>
      </c>
      <c r="AL557" s="29">
        <f t="shared" si="133"/>
        <v>0.21666666666666667</v>
      </c>
      <c r="AM557" s="29">
        <f t="shared" si="134"/>
        <v>607.9</v>
      </c>
      <c r="AN557" s="29">
        <f t="shared" si="135"/>
        <v>1.4969567363053133</v>
      </c>
      <c r="AO557" s="29">
        <f t="shared" si="136"/>
        <v>1.4285714285714286</v>
      </c>
      <c r="AP557" s="31">
        <f t="shared" si="137"/>
        <v>1.0478697154137193</v>
      </c>
      <c r="AQ557" s="31">
        <f t="shared" si="138"/>
        <v>0.93736263736263736</v>
      </c>
      <c r="AR557" s="31">
        <f t="shared" si="139"/>
        <v>0.96166854565952686</v>
      </c>
      <c r="AS557" s="29">
        <f t="shared" si="140"/>
        <v>22.971417582417583</v>
      </c>
      <c r="AT557" s="29">
        <f t="shared" si="141"/>
        <v>7.4169551382683183</v>
      </c>
      <c r="AU557" s="27" t="str">
        <f t="shared" si="142"/>
        <v>Low</v>
      </c>
      <c r="AV557" s="27" t="str">
        <f t="shared" si="143"/>
        <v>Normal</v>
      </c>
      <c r="AW557" s="27"/>
    </row>
    <row r="558" spans="1:49" x14ac:dyDescent="0.25">
      <c r="A558" s="27">
        <v>557</v>
      </c>
      <c r="B558" s="28">
        <v>46037</v>
      </c>
      <c r="C558" s="28" t="str">
        <f t="shared" si="128"/>
        <v>January</v>
      </c>
      <c r="D558" s="27" t="s">
        <v>47</v>
      </c>
      <c r="E558" s="27" t="s">
        <v>61</v>
      </c>
      <c r="F558" s="27" t="s">
        <v>88</v>
      </c>
      <c r="G558" s="27" t="s">
        <v>78</v>
      </c>
      <c r="H558" s="27" t="s">
        <v>51</v>
      </c>
      <c r="I558" s="27" t="s">
        <v>681</v>
      </c>
      <c r="J558" s="27" t="s">
        <v>53</v>
      </c>
      <c r="K558" s="27">
        <v>803</v>
      </c>
      <c r="L558" s="27">
        <v>713</v>
      </c>
      <c r="M558" s="27">
        <v>682</v>
      </c>
      <c r="N558" s="27">
        <v>31</v>
      </c>
      <c r="O558" s="27">
        <v>10</v>
      </c>
      <c r="P558" s="27">
        <v>46</v>
      </c>
      <c r="Q558" s="27" t="s">
        <v>97</v>
      </c>
      <c r="R558" s="27">
        <v>42</v>
      </c>
      <c r="S558" s="27">
        <v>44</v>
      </c>
      <c r="T558" s="29">
        <v>76.3</v>
      </c>
      <c r="U558" s="29">
        <v>1.47</v>
      </c>
      <c r="V558" s="29">
        <v>25.53</v>
      </c>
      <c r="W558" s="30">
        <v>13701.52</v>
      </c>
      <c r="X558" s="27">
        <v>8.7799999999999994</v>
      </c>
      <c r="Y558" s="27" t="s">
        <v>66</v>
      </c>
      <c r="Z558" s="29">
        <v>25</v>
      </c>
      <c r="AA558" s="30">
        <v>21320.19</v>
      </c>
      <c r="AB558" s="29">
        <v>0.95652173913043503</v>
      </c>
      <c r="AC558" s="30">
        <v>17882.29</v>
      </c>
      <c r="AD558" s="30">
        <v>192.167180925666</v>
      </c>
      <c r="AE558" s="27">
        <v>562.1</v>
      </c>
      <c r="AF558" s="29">
        <v>0.91816402775306905</v>
      </c>
      <c r="AG558" s="30">
        <v>3245.7328190743301</v>
      </c>
      <c r="AH558" s="31">
        <f t="shared" si="129"/>
        <v>0.88792029887920298</v>
      </c>
      <c r="AI558" s="31">
        <f t="shared" si="130"/>
        <v>4.3478260869565216E-2</v>
      </c>
      <c r="AJ558" s="31">
        <f t="shared" si="131"/>
        <v>1.4025245441795231E-2</v>
      </c>
      <c r="AK558" s="31">
        <f t="shared" si="132"/>
        <v>0.95652173913043481</v>
      </c>
      <c r="AL558" s="29">
        <f t="shared" si="133"/>
        <v>0.76666666666666672</v>
      </c>
      <c r="AM558" s="29">
        <f t="shared" si="134"/>
        <v>516.1</v>
      </c>
      <c r="AN558" s="29">
        <f t="shared" si="135"/>
        <v>1.3815152102305754</v>
      </c>
      <c r="AO558" s="29">
        <f t="shared" si="136"/>
        <v>1.4285714285714286</v>
      </c>
      <c r="AP558" s="31">
        <f t="shared" si="137"/>
        <v>0.96706064716140283</v>
      </c>
      <c r="AQ558" s="31">
        <f t="shared" si="138"/>
        <v>0.95652173913043481</v>
      </c>
      <c r="AR558" s="31">
        <f t="shared" si="139"/>
        <v>0.84931506849315097</v>
      </c>
      <c r="AS558" s="29">
        <f t="shared" si="140"/>
        <v>25.080350631136046</v>
      </c>
      <c r="AT558" s="29">
        <f t="shared" si="141"/>
        <v>4.5522199426007433</v>
      </c>
      <c r="AU558" s="27" t="str">
        <f t="shared" si="142"/>
        <v>Medium</v>
      </c>
      <c r="AV558" s="27" t="str">
        <f t="shared" si="143"/>
        <v>Warning</v>
      </c>
      <c r="AW558" s="27"/>
    </row>
    <row r="559" spans="1:49" x14ac:dyDescent="0.25">
      <c r="A559" s="27">
        <v>558</v>
      </c>
      <c r="B559" s="28">
        <v>46089</v>
      </c>
      <c r="C559" s="28" t="str">
        <f t="shared" si="128"/>
        <v>March</v>
      </c>
      <c r="D559" s="27" t="s">
        <v>47</v>
      </c>
      <c r="E559" s="27" t="s">
        <v>98</v>
      </c>
      <c r="F559" s="27" t="s">
        <v>105</v>
      </c>
      <c r="G559" s="27" t="s">
        <v>63</v>
      </c>
      <c r="H559" s="27" t="s">
        <v>124</v>
      </c>
      <c r="I559" s="27" t="s">
        <v>682</v>
      </c>
      <c r="J559" s="27" t="s">
        <v>150</v>
      </c>
      <c r="K559" s="27">
        <v>684</v>
      </c>
      <c r="L559" s="27">
        <v>675</v>
      </c>
      <c r="M559" s="27">
        <v>631</v>
      </c>
      <c r="N559" s="27">
        <v>44</v>
      </c>
      <c r="O559" s="27">
        <v>11</v>
      </c>
      <c r="P559" s="27">
        <v>23</v>
      </c>
      <c r="Q559" s="27" t="s">
        <v>54</v>
      </c>
      <c r="R559" s="27">
        <v>57</v>
      </c>
      <c r="S559" s="27">
        <v>57</v>
      </c>
      <c r="T559" s="29">
        <v>77.8</v>
      </c>
      <c r="U559" s="29">
        <v>2.83</v>
      </c>
      <c r="V559" s="29">
        <v>26.96</v>
      </c>
      <c r="W559" s="30">
        <v>17491.64</v>
      </c>
      <c r="X559" s="27">
        <v>9.6</v>
      </c>
      <c r="Y559" s="27" t="s">
        <v>66</v>
      </c>
      <c r="Z559" s="29">
        <v>24</v>
      </c>
      <c r="AA559" s="30">
        <v>29321.439999999999</v>
      </c>
      <c r="AB559" s="29">
        <v>0.93481481481481499</v>
      </c>
      <c r="AC559" s="30">
        <v>22054.28</v>
      </c>
      <c r="AD559" s="30">
        <v>285.04894814814799</v>
      </c>
      <c r="AE559" s="27">
        <v>649.79999999999995</v>
      </c>
      <c r="AF559" s="29">
        <v>0.96460449369036605</v>
      </c>
      <c r="AG559" s="30">
        <v>6982.1110518518499</v>
      </c>
      <c r="AH559" s="31">
        <f t="shared" si="129"/>
        <v>0.98684210526315785</v>
      </c>
      <c r="AI559" s="31">
        <f t="shared" si="130"/>
        <v>6.5185185185185179E-2</v>
      </c>
      <c r="AJ559" s="31">
        <f t="shared" si="131"/>
        <v>1.6296296296296295E-2</v>
      </c>
      <c r="AK559" s="31">
        <f t="shared" si="132"/>
        <v>0.93481481481481477</v>
      </c>
      <c r="AL559" s="29">
        <f t="shared" si="133"/>
        <v>0.38333333333333336</v>
      </c>
      <c r="AM559" s="29">
        <f t="shared" si="134"/>
        <v>626.79999999999995</v>
      </c>
      <c r="AN559" s="29">
        <f t="shared" si="135"/>
        <v>1.0768985322271858</v>
      </c>
      <c r="AO559" s="29">
        <f t="shared" si="136"/>
        <v>1.0526315789473684</v>
      </c>
      <c r="AP559" s="31">
        <f t="shared" si="137"/>
        <v>1.0230536056158266</v>
      </c>
      <c r="AQ559" s="31">
        <f t="shared" si="138"/>
        <v>0.93481481481481477</v>
      </c>
      <c r="AR559" s="31">
        <f t="shared" si="139"/>
        <v>0.92251461988304084</v>
      </c>
      <c r="AS559" s="29">
        <f t="shared" si="140"/>
        <v>32.673007407407404</v>
      </c>
      <c r="AT559" s="29">
        <f t="shared" si="141"/>
        <v>10.343868224965703</v>
      </c>
      <c r="AU559" s="27" t="str">
        <f t="shared" si="142"/>
        <v>Low</v>
      </c>
      <c r="AV559" s="27" t="str">
        <f t="shared" si="143"/>
        <v>Normal</v>
      </c>
      <c r="AW559" s="27"/>
    </row>
    <row r="560" spans="1:49" x14ac:dyDescent="0.25">
      <c r="A560" s="27">
        <v>559</v>
      </c>
      <c r="B560" s="28">
        <v>46201</v>
      </c>
      <c r="C560" s="28" t="str">
        <f t="shared" si="128"/>
        <v>June</v>
      </c>
      <c r="D560" s="27" t="s">
        <v>67</v>
      </c>
      <c r="E560" s="27" t="s">
        <v>76</v>
      </c>
      <c r="F560" s="27" t="s">
        <v>77</v>
      </c>
      <c r="G560" s="27" t="s">
        <v>50</v>
      </c>
      <c r="H560" s="27" t="s">
        <v>124</v>
      </c>
      <c r="I560" s="27" t="s">
        <v>683</v>
      </c>
      <c r="J560" s="27" t="s">
        <v>161</v>
      </c>
      <c r="K560" s="27">
        <v>578</v>
      </c>
      <c r="L560" s="27">
        <v>580</v>
      </c>
      <c r="M560" s="27">
        <v>538</v>
      </c>
      <c r="N560" s="27">
        <v>42</v>
      </c>
      <c r="O560" s="27">
        <v>15</v>
      </c>
      <c r="P560" s="27">
        <v>32</v>
      </c>
      <c r="Q560" s="27" t="s">
        <v>94</v>
      </c>
      <c r="R560" s="27">
        <v>57</v>
      </c>
      <c r="S560" s="27">
        <v>58</v>
      </c>
      <c r="T560" s="29">
        <v>70.2</v>
      </c>
      <c r="U560" s="29">
        <v>2.2200000000000002</v>
      </c>
      <c r="V560" s="29">
        <v>20.190000000000001</v>
      </c>
      <c r="W560" s="30">
        <v>15970.82</v>
      </c>
      <c r="X560" s="27">
        <v>7.75</v>
      </c>
      <c r="Y560" s="27" t="s">
        <v>66</v>
      </c>
      <c r="Z560" s="29">
        <v>42</v>
      </c>
      <c r="AA560" s="30">
        <v>24907.8</v>
      </c>
      <c r="AB560" s="29">
        <v>0.92758620689655202</v>
      </c>
      <c r="AC560" s="30">
        <v>19640.03</v>
      </c>
      <c r="AD560" s="30">
        <v>413.03844827586198</v>
      </c>
      <c r="AE560" s="27">
        <v>549.1</v>
      </c>
      <c r="AF560" s="29">
        <v>0.94172281915862299</v>
      </c>
      <c r="AG560" s="30">
        <v>4854.7315517241404</v>
      </c>
      <c r="AH560" s="31">
        <f t="shared" si="129"/>
        <v>1.0034602076124568</v>
      </c>
      <c r="AI560" s="31">
        <f t="shared" si="130"/>
        <v>7.2413793103448282E-2</v>
      </c>
      <c r="AJ560" s="31">
        <f t="shared" si="131"/>
        <v>2.5862068965517241E-2</v>
      </c>
      <c r="AK560" s="31">
        <f t="shared" si="132"/>
        <v>0.92758620689655169</v>
      </c>
      <c r="AL560" s="29">
        <f t="shared" si="133"/>
        <v>0.53333333333333333</v>
      </c>
      <c r="AM560" s="29">
        <f t="shared" si="134"/>
        <v>517.1</v>
      </c>
      <c r="AN560" s="29">
        <f t="shared" si="135"/>
        <v>1.1216399149100753</v>
      </c>
      <c r="AO560" s="29">
        <f t="shared" si="136"/>
        <v>1.0526315789473684</v>
      </c>
      <c r="AP560" s="31">
        <f t="shared" si="137"/>
        <v>1.0655579191645717</v>
      </c>
      <c r="AQ560" s="31">
        <f t="shared" si="138"/>
        <v>0.92758620689655169</v>
      </c>
      <c r="AR560" s="31">
        <f t="shared" si="139"/>
        <v>0.93079584775086488</v>
      </c>
      <c r="AS560" s="29">
        <f t="shared" si="140"/>
        <v>33.862120689655171</v>
      </c>
      <c r="AT560" s="29">
        <f t="shared" si="141"/>
        <v>8.3702268133174833</v>
      </c>
      <c r="AU560" s="27" t="str">
        <f t="shared" si="142"/>
        <v>Medium</v>
      </c>
      <c r="AV560" s="27" t="str">
        <f t="shared" si="143"/>
        <v>Normal</v>
      </c>
      <c r="AW560" s="27"/>
    </row>
    <row r="561" spans="1:49" x14ac:dyDescent="0.25">
      <c r="A561" s="27">
        <v>560</v>
      </c>
      <c r="B561" s="28">
        <v>46108</v>
      </c>
      <c r="C561" s="28" t="str">
        <f t="shared" si="128"/>
        <v>March</v>
      </c>
      <c r="D561" s="27" t="s">
        <v>47</v>
      </c>
      <c r="E561" s="27" t="s">
        <v>129</v>
      </c>
      <c r="F561" s="27" t="s">
        <v>151</v>
      </c>
      <c r="G561" s="27" t="s">
        <v>50</v>
      </c>
      <c r="H561" s="27" t="s">
        <v>57</v>
      </c>
      <c r="I561" s="27" t="s">
        <v>684</v>
      </c>
      <c r="J561" s="27" t="s">
        <v>218</v>
      </c>
      <c r="K561" s="27">
        <v>694</v>
      </c>
      <c r="L561" s="27">
        <v>599</v>
      </c>
      <c r="M561" s="27">
        <v>571</v>
      </c>
      <c r="N561" s="27">
        <v>28</v>
      </c>
      <c r="O561" s="27">
        <v>11</v>
      </c>
      <c r="P561" s="27">
        <v>50</v>
      </c>
      <c r="Q561" s="27" t="s">
        <v>82</v>
      </c>
      <c r="R561" s="27">
        <v>45</v>
      </c>
      <c r="S561" s="27">
        <v>44</v>
      </c>
      <c r="T561" s="29">
        <v>75.8</v>
      </c>
      <c r="U561" s="29">
        <v>2.36</v>
      </c>
      <c r="V561" s="29">
        <v>21.64</v>
      </c>
      <c r="W561" s="30">
        <v>12626.82</v>
      </c>
      <c r="X561" s="27">
        <v>7.06</v>
      </c>
      <c r="Y561" s="27" t="s">
        <v>110</v>
      </c>
      <c r="Z561" s="29">
        <v>38</v>
      </c>
      <c r="AA561" s="30">
        <v>19642.47</v>
      </c>
      <c r="AB561" s="29">
        <v>0.95325542570951605</v>
      </c>
      <c r="AC561" s="30">
        <v>15998.58</v>
      </c>
      <c r="AD561" s="30">
        <v>231.87816360600999</v>
      </c>
      <c r="AE561" s="27">
        <v>520.5</v>
      </c>
      <c r="AF561" s="29">
        <v>0.903938520653218</v>
      </c>
      <c r="AG561" s="30">
        <v>3412.0118363939901</v>
      </c>
      <c r="AH561" s="31">
        <f t="shared" si="129"/>
        <v>0.86311239193083578</v>
      </c>
      <c r="AI561" s="31">
        <f t="shared" si="130"/>
        <v>4.6744574290484141E-2</v>
      </c>
      <c r="AJ561" s="31">
        <f t="shared" si="131"/>
        <v>1.8363939899833055E-2</v>
      </c>
      <c r="AK561" s="31">
        <f t="shared" si="132"/>
        <v>0.95325542570951582</v>
      </c>
      <c r="AL561" s="29">
        <f t="shared" si="133"/>
        <v>0.83333333333333337</v>
      </c>
      <c r="AM561" s="29">
        <f t="shared" si="134"/>
        <v>470.5</v>
      </c>
      <c r="AN561" s="29">
        <f t="shared" si="135"/>
        <v>1.2731137088204039</v>
      </c>
      <c r="AO561" s="29">
        <f t="shared" si="136"/>
        <v>1.3333333333333333</v>
      </c>
      <c r="AP561" s="31">
        <f t="shared" si="137"/>
        <v>0.95483528161530296</v>
      </c>
      <c r="AQ561" s="31">
        <f t="shared" si="138"/>
        <v>0.95325542570951582</v>
      </c>
      <c r="AR561" s="31">
        <f t="shared" si="139"/>
        <v>0.82276657060518732</v>
      </c>
      <c r="AS561" s="29">
        <f t="shared" si="140"/>
        <v>26.708814691151918</v>
      </c>
      <c r="AT561" s="29">
        <f t="shared" si="141"/>
        <v>5.696180027368932</v>
      </c>
      <c r="AU561" s="27" t="str">
        <f t="shared" si="142"/>
        <v>Medium</v>
      </c>
      <c r="AV561" s="27" t="str">
        <f t="shared" si="143"/>
        <v>Warning</v>
      </c>
      <c r="AW561" s="27"/>
    </row>
    <row r="562" spans="1:49" x14ac:dyDescent="0.25">
      <c r="A562" s="27">
        <v>561</v>
      </c>
      <c r="B562" s="28">
        <v>46174</v>
      </c>
      <c r="C562" s="28" t="str">
        <f t="shared" si="128"/>
        <v>June</v>
      </c>
      <c r="D562" s="27" t="s">
        <v>67</v>
      </c>
      <c r="E562" s="27" t="s">
        <v>129</v>
      </c>
      <c r="F562" s="27" t="s">
        <v>151</v>
      </c>
      <c r="G562" s="27" t="s">
        <v>50</v>
      </c>
      <c r="H562" s="27" t="s">
        <v>124</v>
      </c>
      <c r="I562" s="27" t="s">
        <v>685</v>
      </c>
      <c r="J562" s="27" t="s">
        <v>59</v>
      </c>
      <c r="K562" s="27">
        <v>575</v>
      </c>
      <c r="L562" s="27">
        <v>482</v>
      </c>
      <c r="M562" s="27">
        <v>457</v>
      </c>
      <c r="N562" s="27">
        <v>25</v>
      </c>
      <c r="O562" s="27">
        <v>9</v>
      </c>
      <c r="P562" s="27">
        <v>32</v>
      </c>
      <c r="Q562" s="27" t="s">
        <v>54</v>
      </c>
      <c r="R562" s="27">
        <v>57</v>
      </c>
      <c r="S562" s="27">
        <v>57</v>
      </c>
      <c r="T562" s="29">
        <v>72</v>
      </c>
      <c r="U562" s="29">
        <v>1.98</v>
      </c>
      <c r="V562" s="29">
        <v>21</v>
      </c>
      <c r="W562" s="30">
        <v>13408.88</v>
      </c>
      <c r="X562" s="27">
        <v>8.23</v>
      </c>
      <c r="Y562" s="27" t="s">
        <v>66</v>
      </c>
      <c r="Z562" s="29">
        <v>20</v>
      </c>
      <c r="AA562" s="30">
        <v>21574.240000000002</v>
      </c>
      <c r="AB562" s="29">
        <v>0.94813278008298796</v>
      </c>
      <c r="AC562" s="30">
        <v>17301.38</v>
      </c>
      <c r="AD562" s="30">
        <v>250.373278008299</v>
      </c>
      <c r="AE562" s="27">
        <v>546.25</v>
      </c>
      <c r="AF562" s="29">
        <v>0.94141876430205995</v>
      </c>
      <c r="AG562" s="30">
        <v>4022.4867219917101</v>
      </c>
      <c r="AH562" s="31">
        <f t="shared" si="129"/>
        <v>0.83826086956521739</v>
      </c>
      <c r="AI562" s="31">
        <f t="shared" si="130"/>
        <v>5.1867219917012451E-2</v>
      </c>
      <c r="AJ562" s="31">
        <f t="shared" si="131"/>
        <v>1.8672199170124481E-2</v>
      </c>
      <c r="AK562" s="31">
        <f t="shared" si="132"/>
        <v>0.94813278008298751</v>
      </c>
      <c r="AL562" s="29">
        <f t="shared" si="133"/>
        <v>0.53333333333333333</v>
      </c>
      <c r="AM562" s="29">
        <f t="shared" si="134"/>
        <v>514.25</v>
      </c>
      <c r="AN562" s="29">
        <f t="shared" si="135"/>
        <v>0.93728731161886247</v>
      </c>
      <c r="AO562" s="29">
        <f t="shared" si="136"/>
        <v>1.0526315789473684</v>
      </c>
      <c r="AP562" s="31">
        <f t="shared" si="137"/>
        <v>0.89042294603791938</v>
      </c>
      <c r="AQ562" s="31">
        <f t="shared" si="138"/>
        <v>0.94813278008298751</v>
      </c>
      <c r="AR562" s="31">
        <f t="shared" si="139"/>
        <v>0.79478260869565254</v>
      </c>
      <c r="AS562" s="29">
        <f t="shared" si="140"/>
        <v>35.894979253112034</v>
      </c>
      <c r="AT562" s="29">
        <f t="shared" si="141"/>
        <v>8.3454081369122619</v>
      </c>
      <c r="AU562" s="27" t="str">
        <f t="shared" si="142"/>
        <v>High</v>
      </c>
      <c r="AV562" s="27" t="str">
        <f t="shared" si="143"/>
        <v>Warning</v>
      </c>
      <c r="AW562" s="27"/>
    </row>
    <row r="563" spans="1:49" x14ac:dyDescent="0.25">
      <c r="A563" s="27">
        <v>562</v>
      </c>
      <c r="B563" s="28">
        <v>46042</v>
      </c>
      <c r="C563" s="28" t="str">
        <f t="shared" si="128"/>
        <v>January</v>
      </c>
      <c r="D563" s="27" t="s">
        <v>47</v>
      </c>
      <c r="E563" s="27" t="s">
        <v>48</v>
      </c>
      <c r="F563" s="27" t="s">
        <v>72</v>
      </c>
      <c r="G563" s="27" t="s">
        <v>63</v>
      </c>
      <c r="H563" s="27" t="s">
        <v>68</v>
      </c>
      <c r="I563" s="27" t="s">
        <v>686</v>
      </c>
      <c r="J563" s="27" t="s">
        <v>109</v>
      </c>
      <c r="K563" s="27">
        <v>688</v>
      </c>
      <c r="L563" s="27">
        <v>648</v>
      </c>
      <c r="M563" s="27">
        <v>619</v>
      </c>
      <c r="N563" s="27">
        <v>29</v>
      </c>
      <c r="O563" s="27">
        <v>12</v>
      </c>
      <c r="P563" s="27">
        <v>0</v>
      </c>
      <c r="Q563" s="27" t="s">
        <v>60</v>
      </c>
      <c r="R563" s="27">
        <v>64</v>
      </c>
      <c r="S563" s="27">
        <v>70</v>
      </c>
      <c r="T563" s="29">
        <v>75.900000000000006</v>
      </c>
      <c r="U563" s="29">
        <v>2.2799999999999998</v>
      </c>
      <c r="V563" s="29">
        <v>24.39</v>
      </c>
      <c r="W563" s="30">
        <v>19557.63</v>
      </c>
      <c r="X563" s="27">
        <v>8.81</v>
      </c>
      <c r="Y563" s="27" t="s">
        <v>55</v>
      </c>
      <c r="Z563" s="29">
        <v>10</v>
      </c>
      <c r="AA563" s="30">
        <v>31289.94</v>
      </c>
      <c r="AB563" s="29">
        <v>0.95524691358024705</v>
      </c>
      <c r="AC563" s="30">
        <v>23741.64</v>
      </c>
      <c r="AD563" s="30">
        <v>362.178333333333</v>
      </c>
      <c r="AE563" s="27">
        <v>733.86666666666702</v>
      </c>
      <c r="AF563" s="29">
        <v>1</v>
      </c>
      <c r="AG563" s="30">
        <v>7186.1216666666696</v>
      </c>
      <c r="AH563" s="31">
        <f t="shared" si="129"/>
        <v>0.94186046511627908</v>
      </c>
      <c r="AI563" s="31">
        <f t="shared" si="130"/>
        <v>4.4753086419753084E-2</v>
      </c>
      <c r="AJ563" s="31">
        <f t="shared" si="131"/>
        <v>1.8518518518518517E-2</v>
      </c>
      <c r="AK563" s="31">
        <f t="shared" si="132"/>
        <v>0.95524691358024694</v>
      </c>
      <c r="AL563" s="29">
        <f t="shared" si="133"/>
        <v>0</v>
      </c>
      <c r="AM563" s="29">
        <f t="shared" si="134"/>
        <v>733.86666666666702</v>
      </c>
      <c r="AN563" s="29">
        <f t="shared" si="135"/>
        <v>0.88299418604651125</v>
      </c>
      <c r="AO563" s="29">
        <f t="shared" si="136"/>
        <v>0.9375</v>
      </c>
      <c r="AP563" s="31">
        <f t="shared" si="137"/>
        <v>0.94186046511627863</v>
      </c>
      <c r="AQ563" s="31">
        <f t="shared" si="138"/>
        <v>0.95524691358024694</v>
      </c>
      <c r="AR563" s="31">
        <f t="shared" si="139"/>
        <v>0.899709302325581</v>
      </c>
      <c r="AS563" s="29">
        <f t="shared" si="140"/>
        <v>36.638333333333335</v>
      </c>
      <c r="AT563" s="29">
        <f t="shared" si="141"/>
        <v>11.089693930041157</v>
      </c>
      <c r="AU563" s="27" t="str">
        <f t="shared" si="142"/>
        <v>Low</v>
      </c>
      <c r="AV563" s="27" t="str">
        <f t="shared" si="143"/>
        <v>Normal</v>
      </c>
      <c r="AW563" s="27"/>
    </row>
    <row r="564" spans="1:49" x14ac:dyDescent="0.25">
      <c r="A564" s="27">
        <v>563</v>
      </c>
      <c r="B564" s="28">
        <v>46053</v>
      </c>
      <c r="C564" s="28" t="str">
        <f t="shared" si="128"/>
        <v>January</v>
      </c>
      <c r="D564" s="27" t="s">
        <v>67</v>
      </c>
      <c r="E564" s="27" t="s">
        <v>98</v>
      </c>
      <c r="F564" s="27" t="s">
        <v>99</v>
      </c>
      <c r="G564" s="27" t="s">
        <v>63</v>
      </c>
      <c r="H564" s="27" t="s">
        <v>68</v>
      </c>
      <c r="I564" s="27" t="s">
        <v>687</v>
      </c>
      <c r="J564" s="27" t="s">
        <v>161</v>
      </c>
      <c r="K564" s="27">
        <v>480</v>
      </c>
      <c r="L564" s="27">
        <v>521</v>
      </c>
      <c r="M564" s="27">
        <v>496</v>
      </c>
      <c r="N564" s="27">
        <v>25</v>
      </c>
      <c r="O564" s="27">
        <v>10</v>
      </c>
      <c r="P564" s="27">
        <v>0</v>
      </c>
      <c r="Q564" s="27" t="s">
        <v>60</v>
      </c>
      <c r="R564" s="27">
        <v>64</v>
      </c>
      <c r="S564" s="27">
        <v>62</v>
      </c>
      <c r="T564" s="29">
        <v>69.599999999999994</v>
      </c>
      <c r="U564" s="29">
        <v>2.2400000000000002</v>
      </c>
      <c r="V564" s="29">
        <v>18.510000000000002</v>
      </c>
      <c r="W564" s="30">
        <v>15705.36</v>
      </c>
      <c r="X564" s="27">
        <v>10.33</v>
      </c>
      <c r="Y564" s="27" t="s">
        <v>66</v>
      </c>
      <c r="Z564" s="29">
        <v>23</v>
      </c>
      <c r="AA564" s="30">
        <v>26150.15</v>
      </c>
      <c r="AB564" s="29">
        <v>0.95201535508637203</v>
      </c>
      <c r="AC564" s="30">
        <v>20520.45</v>
      </c>
      <c r="AD564" s="30">
        <v>301.44644913627599</v>
      </c>
      <c r="AE564" s="27">
        <v>512</v>
      </c>
      <c r="AF564" s="29">
        <v>1</v>
      </c>
      <c r="AG564" s="30">
        <v>5328.2535508637302</v>
      </c>
      <c r="AH564" s="31">
        <f t="shared" si="129"/>
        <v>1.0854166666666667</v>
      </c>
      <c r="AI564" s="31">
        <f t="shared" si="130"/>
        <v>4.7984644913627639E-2</v>
      </c>
      <c r="AJ564" s="31">
        <f t="shared" si="131"/>
        <v>1.9193857965451054E-2</v>
      </c>
      <c r="AK564" s="31">
        <f t="shared" si="132"/>
        <v>0.95201535508637236</v>
      </c>
      <c r="AL564" s="29">
        <f t="shared" si="133"/>
        <v>0</v>
      </c>
      <c r="AM564" s="29">
        <f t="shared" si="134"/>
        <v>512</v>
      </c>
      <c r="AN564" s="29">
        <f t="shared" si="135"/>
        <v>1.017578125</v>
      </c>
      <c r="AO564" s="29">
        <f t="shared" si="136"/>
        <v>0.9375</v>
      </c>
      <c r="AP564" s="31">
        <f t="shared" si="137"/>
        <v>1.0854166666666667</v>
      </c>
      <c r="AQ564" s="31">
        <f t="shared" si="138"/>
        <v>0.95201535508637236</v>
      </c>
      <c r="AR564" s="31">
        <f t="shared" si="139"/>
        <v>1.0333333333333334</v>
      </c>
      <c r="AS564" s="29">
        <f t="shared" si="140"/>
        <v>39.38666026871401</v>
      </c>
      <c r="AT564" s="29">
        <f t="shared" si="141"/>
        <v>10.226974185918868</v>
      </c>
      <c r="AU564" s="27" t="str">
        <f t="shared" si="142"/>
        <v>Low</v>
      </c>
      <c r="AV564" s="27" t="str">
        <f t="shared" si="143"/>
        <v>Normal</v>
      </c>
      <c r="AW564" s="27"/>
    </row>
    <row r="565" spans="1:49" x14ac:dyDescent="0.25">
      <c r="A565" s="27">
        <v>564</v>
      </c>
      <c r="B565" s="28">
        <v>46062</v>
      </c>
      <c r="C565" s="28" t="str">
        <f t="shared" si="128"/>
        <v>February</v>
      </c>
      <c r="D565" s="27" t="s">
        <v>47</v>
      </c>
      <c r="E565" s="27" t="s">
        <v>48</v>
      </c>
      <c r="F565" s="27" t="s">
        <v>56</v>
      </c>
      <c r="G565" s="27" t="s">
        <v>63</v>
      </c>
      <c r="H565" s="27" t="s">
        <v>51</v>
      </c>
      <c r="I565" s="27" t="s">
        <v>688</v>
      </c>
      <c r="J565" s="27" t="s">
        <v>186</v>
      </c>
      <c r="K565" s="27">
        <v>941</v>
      </c>
      <c r="L565" s="27">
        <v>1030</v>
      </c>
      <c r="M565" s="27">
        <v>969</v>
      </c>
      <c r="N565" s="27">
        <v>61</v>
      </c>
      <c r="O565" s="27">
        <v>15</v>
      </c>
      <c r="P565" s="27">
        <v>0</v>
      </c>
      <c r="Q565" s="27" t="s">
        <v>60</v>
      </c>
      <c r="R565" s="27">
        <v>42</v>
      </c>
      <c r="S565" s="27">
        <v>44</v>
      </c>
      <c r="T565" s="29">
        <v>73.7</v>
      </c>
      <c r="U565" s="29">
        <v>2.12</v>
      </c>
      <c r="V565" s="29">
        <v>32.61</v>
      </c>
      <c r="W565" s="30">
        <v>19745.419999999998</v>
      </c>
      <c r="X565" s="27">
        <v>7.97</v>
      </c>
      <c r="Y565" s="27" t="s">
        <v>55</v>
      </c>
      <c r="Z565" s="29">
        <v>24</v>
      </c>
      <c r="AA565" s="30">
        <v>31700.080000000002</v>
      </c>
      <c r="AB565" s="29">
        <v>0.94077669902912597</v>
      </c>
      <c r="AC565" s="30">
        <v>23625.41</v>
      </c>
      <c r="AD565" s="30">
        <v>287.55466019417503</v>
      </c>
      <c r="AE565" s="27">
        <v>658.7</v>
      </c>
      <c r="AF565" s="29">
        <v>1</v>
      </c>
      <c r="AG565" s="30">
        <v>7787.1153398058304</v>
      </c>
      <c r="AH565" s="31">
        <f t="shared" si="129"/>
        <v>1.0945802337938364</v>
      </c>
      <c r="AI565" s="31">
        <f t="shared" si="130"/>
        <v>5.9223300970873784E-2</v>
      </c>
      <c r="AJ565" s="31">
        <f t="shared" si="131"/>
        <v>1.4563106796116505E-2</v>
      </c>
      <c r="AK565" s="31">
        <f t="shared" si="132"/>
        <v>0.9407766990291262</v>
      </c>
      <c r="AL565" s="29">
        <f t="shared" si="133"/>
        <v>0</v>
      </c>
      <c r="AM565" s="29">
        <f t="shared" si="134"/>
        <v>658.7</v>
      </c>
      <c r="AN565" s="29">
        <f t="shared" si="135"/>
        <v>1.563686048276909</v>
      </c>
      <c r="AO565" s="29">
        <f t="shared" si="136"/>
        <v>1.4285714285714286</v>
      </c>
      <c r="AP565" s="31">
        <f t="shared" si="137"/>
        <v>1.0945802337938364</v>
      </c>
      <c r="AQ565" s="31">
        <f t="shared" si="138"/>
        <v>0.9407766990291262</v>
      </c>
      <c r="AR565" s="31">
        <f t="shared" si="139"/>
        <v>1.0297555791710946</v>
      </c>
      <c r="AS565" s="29">
        <f t="shared" si="140"/>
        <v>22.937291262135922</v>
      </c>
      <c r="AT565" s="29">
        <f t="shared" si="141"/>
        <v>7.5603061551512916</v>
      </c>
      <c r="AU565" s="27" t="str">
        <f t="shared" si="142"/>
        <v>Low</v>
      </c>
      <c r="AV565" s="27" t="str">
        <f t="shared" si="143"/>
        <v>Normal</v>
      </c>
      <c r="AW565" s="27"/>
    </row>
    <row r="566" spans="1:49" x14ac:dyDescent="0.25">
      <c r="A566" s="27">
        <v>565</v>
      </c>
      <c r="B566" s="28">
        <v>46083</v>
      </c>
      <c r="C566" s="28" t="str">
        <f t="shared" si="128"/>
        <v>March</v>
      </c>
      <c r="D566" s="27" t="s">
        <v>67</v>
      </c>
      <c r="E566" s="27" t="s">
        <v>48</v>
      </c>
      <c r="F566" s="27" t="s">
        <v>49</v>
      </c>
      <c r="G566" s="27" t="s">
        <v>50</v>
      </c>
      <c r="H566" s="27" t="s">
        <v>124</v>
      </c>
      <c r="I566" s="27" t="s">
        <v>689</v>
      </c>
      <c r="J566" s="27" t="s">
        <v>74</v>
      </c>
      <c r="K566" s="27">
        <v>663</v>
      </c>
      <c r="L566" s="27">
        <v>691</v>
      </c>
      <c r="M566" s="27">
        <v>665</v>
      </c>
      <c r="N566" s="27">
        <v>26</v>
      </c>
      <c r="O566" s="27">
        <v>9</v>
      </c>
      <c r="P566" s="27">
        <v>21</v>
      </c>
      <c r="Q566" s="27" t="s">
        <v>82</v>
      </c>
      <c r="R566" s="27">
        <v>57</v>
      </c>
      <c r="S566" s="27">
        <v>55</v>
      </c>
      <c r="T566" s="29">
        <v>77.099999999999994</v>
      </c>
      <c r="U566" s="29">
        <v>1.56</v>
      </c>
      <c r="V566" s="29">
        <v>23.88</v>
      </c>
      <c r="W566" s="30">
        <v>18194.580000000002</v>
      </c>
      <c r="X566" s="27">
        <v>10.029999999999999</v>
      </c>
      <c r="Y566" s="27" t="s">
        <v>55</v>
      </c>
      <c r="Z566" s="29">
        <v>15</v>
      </c>
      <c r="AA566" s="30">
        <v>29991.59</v>
      </c>
      <c r="AB566" s="29">
        <v>0.96237337192474703</v>
      </c>
      <c r="AC566" s="30">
        <v>22923</v>
      </c>
      <c r="AD566" s="30">
        <v>236.977163531114</v>
      </c>
      <c r="AE566" s="27">
        <v>629.85</v>
      </c>
      <c r="AF566" s="29">
        <v>0.96665872826863497</v>
      </c>
      <c r="AG566" s="30">
        <v>6831.6128364688902</v>
      </c>
      <c r="AH566" s="31">
        <f t="shared" si="129"/>
        <v>1.0422322775263952</v>
      </c>
      <c r="AI566" s="31">
        <f t="shared" si="130"/>
        <v>3.7626628075253257E-2</v>
      </c>
      <c r="AJ566" s="31">
        <f t="shared" si="131"/>
        <v>1.3024602026049204E-2</v>
      </c>
      <c r="AK566" s="31">
        <f t="shared" si="132"/>
        <v>0.9623733719247467</v>
      </c>
      <c r="AL566" s="29">
        <f t="shared" si="133"/>
        <v>0.35</v>
      </c>
      <c r="AM566" s="29">
        <f t="shared" si="134"/>
        <v>608.85</v>
      </c>
      <c r="AN566" s="29">
        <f t="shared" si="135"/>
        <v>1.1349265007801592</v>
      </c>
      <c r="AO566" s="29">
        <f t="shared" si="136"/>
        <v>1.0526315789473684</v>
      </c>
      <c r="AP566" s="31">
        <f t="shared" si="137"/>
        <v>1.0781801757411513</v>
      </c>
      <c r="AQ566" s="31">
        <f t="shared" si="138"/>
        <v>0.9623733719247467</v>
      </c>
      <c r="AR566" s="31">
        <f t="shared" si="139"/>
        <v>1.0030165912518849</v>
      </c>
      <c r="AS566" s="29">
        <f t="shared" si="140"/>
        <v>33.173661360347324</v>
      </c>
      <c r="AT566" s="29">
        <f t="shared" si="141"/>
        <v>9.8865598212284951</v>
      </c>
      <c r="AU566" s="27" t="str">
        <f t="shared" si="142"/>
        <v>Low</v>
      </c>
      <c r="AV566" s="27" t="str">
        <f t="shared" si="143"/>
        <v>Normal</v>
      </c>
      <c r="AW566" s="27"/>
    </row>
    <row r="567" spans="1:49" x14ac:dyDescent="0.25">
      <c r="A567" s="27">
        <v>566</v>
      </c>
      <c r="B567" s="28">
        <v>46125</v>
      </c>
      <c r="C567" s="28" t="str">
        <f t="shared" si="128"/>
        <v>April</v>
      </c>
      <c r="D567" s="27" t="s">
        <v>67</v>
      </c>
      <c r="E567" s="27" t="s">
        <v>61</v>
      </c>
      <c r="F567" s="27" t="s">
        <v>62</v>
      </c>
      <c r="G567" s="27" t="s">
        <v>63</v>
      </c>
      <c r="H567" s="27" t="s">
        <v>51</v>
      </c>
      <c r="I567" s="27" t="s">
        <v>690</v>
      </c>
      <c r="J567" s="27" t="s">
        <v>186</v>
      </c>
      <c r="K567" s="27">
        <v>928</v>
      </c>
      <c r="L567" s="27">
        <v>950</v>
      </c>
      <c r="M567" s="27">
        <v>908</v>
      </c>
      <c r="N567" s="27">
        <v>42</v>
      </c>
      <c r="O567" s="27">
        <v>15</v>
      </c>
      <c r="P567" s="27">
        <v>0</v>
      </c>
      <c r="Q567" s="27" t="s">
        <v>60</v>
      </c>
      <c r="R567" s="27">
        <v>42</v>
      </c>
      <c r="S567" s="27">
        <v>46</v>
      </c>
      <c r="T567" s="29">
        <v>69.7</v>
      </c>
      <c r="U567" s="29">
        <v>2.42</v>
      </c>
      <c r="V567" s="29">
        <v>37.24</v>
      </c>
      <c r="W567" s="30">
        <v>16610.669999999998</v>
      </c>
      <c r="X567" s="27">
        <v>9.08</v>
      </c>
      <c r="Y567" s="27" t="s">
        <v>71</v>
      </c>
      <c r="Z567" s="29">
        <v>27</v>
      </c>
      <c r="AA567" s="30">
        <v>29274.03</v>
      </c>
      <c r="AB567" s="29">
        <v>0.95578947368421097</v>
      </c>
      <c r="AC567" s="30">
        <v>21031.83</v>
      </c>
      <c r="AD567" s="30">
        <v>262.273736842105</v>
      </c>
      <c r="AE567" s="27">
        <v>649.6</v>
      </c>
      <c r="AF567" s="29">
        <v>1</v>
      </c>
      <c r="AG567" s="30">
        <v>7979.9262631579004</v>
      </c>
      <c r="AH567" s="31">
        <f t="shared" si="129"/>
        <v>1.0237068965517242</v>
      </c>
      <c r="AI567" s="31">
        <f t="shared" si="130"/>
        <v>4.4210526315789471E-2</v>
      </c>
      <c r="AJ567" s="31">
        <f t="shared" si="131"/>
        <v>1.5789473684210527E-2</v>
      </c>
      <c r="AK567" s="31">
        <f t="shared" si="132"/>
        <v>0.95578947368421052</v>
      </c>
      <c r="AL567" s="29">
        <f t="shared" si="133"/>
        <v>0</v>
      </c>
      <c r="AM567" s="29">
        <f t="shared" si="134"/>
        <v>649.6</v>
      </c>
      <c r="AN567" s="29">
        <f t="shared" si="135"/>
        <v>1.4624384236453201</v>
      </c>
      <c r="AO567" s="29">
        <f t="shared" si="136"/>
        <v>1.4285714285714286</v>
      </c>
      <c r="AP567" s="31">
        <f t="shared" si="137"/>
        <v>1.023706896551724</v>
      </c>
      <c r="AQ567" s="31">
        <f t="shared" si="138"/>
        <v>0.95578947368421052</v>
      </c>
      <c r="AR567" s="31">
        <f t="shared" si="139"/>
        <v>0.97844827586206884</v>
      </c>
      <c r="AS567" s="29">
        <f t="shared" si="140"/>
        <v>22.138768421052632</v>
      </c>
      <c r="AT567" s="29">
        <f t="shared" si="141"/>
        <v>8.3999223822714733</v>
      </c>
      <c r="AU567" s="27" t="str">
        <f t="shared" si="142"/>
        <v>High</v>
      </c>
      <c r="AV567" s="27" t="str">
        <f t="shared" si="143"/>
        <v>Normal</v>
      </c>
      <c r="AW567" s="27"/>
    </row>
    <row r="568" spans="1:49" x14ac:dyDescent="0.25">
      <c r="A568" s="27">
        <v>567</v>
      </c>
      <c r="B568" s="28">
        <v>46176</v>
      </c>
      <c r="C568" s="28" t="str">
        <f t="shared" si="128"/>
        <v>June</v>
      </c>
      <c r="D568" s="27" t="s">
        <v>67</v>
      </c>
      <c r="E568" s="27" t="s">
        <v>76</v>
      </c>
      <c r="F568" s="27" t="s">
        <v>113</v>
      </c>
      <c r="G568" s="27" t="s">
        <v>78</v>
      </c>
      <c r="H568" s="27" t="s">
        <v>51</v>
      </c>
      <c r="I568" s="27" t="s">
        <v>691</v>
      </c>
      <c r="J568" s="27" t="s">
        <v>153</v>
      </c>
      <c r="K568" s="27">
        <v>825</v>
      </c>
      <c r="L568" s="27">
        <v>698</v>
      </c>
      <c r="M568" s="27">
        <v>661</v>
      </c>
      <c r="N568" s="27">
        <v>37</v>
      </c>
      <c r="O568" s="27">
        <v>15</v>
      </c>
      <c r="P568" s="27">
        <v>38</v>
      </c>
      <c r="Q568" s="27" t="s">
        <v>97</v>
      </c>
      <c r="R568" s="27">
        <v>42</v>
      </c>
      <c r="S568" s="27">
        <v>47</v>
      </c>
      <c r="T568" s="29">
        <v>70.3</v>
      </c>
      <c r="U568" s="29">
        <v>1.75</v>
      </c>
      <c r="V568" s="29">
        <v>28.63</v>
      </c>
      <c r="W568" s="30">
        <v>13358.85</v>
      </c>
      <c r="X568" s="27">
        <v>7.46</v>
      </c>
      <c r="Y568" s="27" t="s">
        <v>55</v>
      </c>
      <c r="Z568" s="29">
        <v>6</v>
      </c>
      <c r="AA568" s="30">
        <v>21579.02</v>
      </c>
      <c r="AB568" s="29">
        <v>0.94699140401146098</v>
      </c>
      <c r="AC568" s="30">
        <v>16973.52</v>
      </c>
      <c r="AD568" s="30">
        <v>287.08130372492798</v>
      </c>
      <c r="AE568" s="27">
        <v>577.5</v>
      </c>
      <c r="AF568" s="29">
        <v>0.93419913419913403</v>
      </c>
      <c r="AG568" s="30">
        <v>4318.41869627508</v>
      </c>
      <c r="AH568" s="31">
        <f t="shared" si="129"/>
        <v>0.84606060606060607</v>
      </c>
      <c r="AI568" s="31">
        <f t="shared" si="130"/>
        <v>5.300859598853868E-2</v>
      </c>
      <c r="AJ568" s="31">
        <f t="shared" si="131"/>
        <v>2.148997134670487E-2</v>
      </c>
      <c r="AK568" s="31">
        <f t="shared" si="132"/>
        <v>0.94699140401146131</v>
      </c>
      <c r="AL568" s="29">
        <f t="shared" si="133"/>
        <v>0.6333333333333333</v>
      </c>
      <c r="AM568" s="29">
        <f t="shared" si="134"/>
        <v>539.5</v>
      </c>
      <c r="AN568" s="29">
        <f t="shared" si="135"/>
        <v>1.293790546802595</v>
      </c>
      <c r="AO568" s="29">
        <f t="shared" si="136"/>
        <v>1.4285714285714286</v>
      </c>
      <c r="AP568" s="31">
        <f t="shared" si="137"/>
        <v>0.90565338276181651</v>
      </c>
      <c r="AQ568" s="31">
        <f t="shared" si="138"/>
        <v>0.94699140401146131</v>
      </c>
      <c r="AR568" s="31">
        <f t="shared" si="139"/>
        <v>0.80121212121212115</v>
      </c>
      <c r="AS568" s="29">
        <f t="shared" si="140"/>
        <v>24.317363896848139</v>
      </c>
      <c r="AT568" s="29">
        <f t="shared" si="141"/>
        <v>6.1868462697350717</v>
      </c>
      <c r="AU568" s="27" t="str">
        <f t="shared" si="142"/>
        <v>Medium</v>
      </c>
      <c r="AV568" s="27" t="str">
        <f t="shared" si="143"/>
        <v>Warning</v>
      </c>
      <c r="AW568" s="27"/>
    </row>
    <row r="569" spans="1:49" x14ac:dyDescent="0.25">
      <c r="A569" s="27">
        <v>568</v>
      </c>
      <c r="B569" s="28">
        <v>46118</v>
      </c>
      <c r="C569" s="28" t="str">
        <f t="shared" si="128"/>
        <v>April</v>
      </c>
      <c r="D569" s="27" t="s">
        <v>67</v>
      </c>
      <c r="E569" s="27" t="s">
        <v>76</v>
      </c>
      <c r="F569" s="27" t="s">
        <v>113</v>
      </c>
      <c r="G569" s="27" t="s">
        <v>78</v>
      </c>
      <c r="H569" s="27" t="s">
        <v>51</v>
      </c>
      <c r="I569" s="27" t="s">
        <v>692</v>
      </c>
      <c r="J569" s="27" t="s">
        <v>170</v>
      </c>
      <c r="K569" s="27">
        <v>928</v>
      </c>
      <c r="L569" s="27">
        <v>811</v>
      </c>
      <c r="M569" s="27">
        <v>765</v>
      </c>
      <c r="N569" s="27">
        <v>46</v>
      </c>
      <c r="O569" s="27">
        <v>18</v>
      </c>
      <c r="P569" s="27">
        <v>32</v>
      </c>
      <c r="Q569" s="27" t="s">
        <v>102</v>
      </c>
      <c r="R569" s="27">
        <v>42</v>
      </c>
      <c r="S569" s="27">
        <v>42</v>
      </c>
      <c r="T569" s="29">
        <v>69.099999999999994</v>
      </c>
      <c r="U569" s="29">
        <v>1.35</v>
      </c>
      <c r="V569" s="29">
        <v>35.07</v>
      </c>
      <c r="W569" s="30">
        <v>14994.86</v>
      </c>
      <c r="X569" s="27">
        <v>8.93</v>
      </c>
      <c r="Y569" s="27" t="s">
        <v>66</v>
      </c>
      <c r="Z569" s="29">
        <v>19</v>
      </c>
      <c r="AA569" s="30">
        <v>24195.87</v>
      </c>
      <c r="AB569" s="29">
        <v>0.94327990135634998</v>
      </c>
      <c r="AC569" s="30">
        <v>19328.990000000002</v>
      </c>
      <c r="AD569" s="30">
        <v>332.80823674475999</v>
      </c>
      <c r="AE569" s="27">
        <v>649.6</v>
      </c>
      <c r="AF569" s="29">
        <v>0.95073891625615803</v>
      </c>
      <c r="AG569" s="30">
        <v>4534.0717632552396</v>
      </c>
      <c r="AH569" s="31">
        <f t="shared" si="129"/>
        <v>0.87392241379310343</v>
      </c>
      <c r="AI569" s="31">
        <f t="shared" si="130"/>
        <v>5.6720098643649818E-2</v>
      </c>
      <c r="AJ569" s="31">
        <f t="shared" si="131"/>
        <v>2.2194821208384709E-2</v>
      </c>
      <c r="AK569" s="31">
        <f t="shared" si="132"/>
        <v>0.9432799013563502</v>
      </c>
      <c r="AL569" s="29">
        <f t="shared" si="133"/>
        <v>0.53333333333333333</v>
      </c>
      <c r="AM569" s="29">
        <f t="shared" si="134"/>
        <v>617.6</v>
      </c>
      <c r="AN569" s="29">
        <f t="shared" si="135"/>
        <v>1.3131476683937824</v>
      </c>
      <c r="AO569" s="29">
        <f t="shared" si="136"/>
        <v>1.4285714285714286</v>
      </c>
      <c r="AP569" s="31">
        <f t="shared" si="137"/>
        <v>0.9192033678756476</v>
      </c>
      <c r="AQ569" s="31">
        <f t="shared" si="138"/>
        <v>0.9432799013563502</v>
      </c>
      <c r="AR569" s="31">
        <f t="shared" si="139"/>
        <v>0.82435344827586243</v>
      </c>
      <c r="AS569" s="29">
        <f t="shared" si="140"/>
        <v>23.83352651048089</v>
      </c>
      <c r="AT569" s="29">
        <f t="shared" si="141"/>
        <v>5.5907173406353143</v>
      </c>
      <c r="AU569" s="27" t="str">
        <f t="shared" si="142"/>
        <v>Medium</v>
      </c>
      <c r="AV569" s="27" t="str">
        <f t="shared" si="143"/>
        <v>Warning</v>
      </c>
      <c r="AW569" s="27"/>
    </row>
    <row r="570" spans="1:49" x14ac:dyDescent="0.25">
      <c r="A570" s="27">
        <v>569</v>
      </c>
      <c r="B570" s="28">
        <v>46126</v>
      </c>
      <c r="C570" s="28" t="str">
        <f t="shared" si="128"/>
        <v>April</v>
      </c>
      <c r="D570" s="27" t="s">
        <v>67</v>
      </c>
      <c r="E570" s="27" t="s">
        <v>98</v>
      </c>
      <c r="F570" s="27" t="s">
        <v>126</v>
      </c>
      <c r="G570" s="27" t="s">
        <v>63</v>
      </c>
      <c r="H570" s="27" t="s">
        <v>68</v>
      </c>
      <c r="I570" s="27" t="s">
        <v>693</v>
      </c>
      <c r="J570" s="27" t="s">
        <v>138</v>
      </c>
      <c r="K570" s="27">
        <v>456</v>
      </c>
      <c r="L570" s="27">
        <v>365</v>
      </c>
      <c r="M570" s="27">
        <v>338</v>
      </c>
      <c r="N570" s="27">
        <v>27</v>
      </c>
      <c r="O570" s="27">
        <v>9</v>
      </c>
      <c r="P570" s="27">
        <v>34</v>
      </c>
      <c r="Q570" s="27" t="s">
        <v>102</v>
      </c>
      <c r="R570" s="27">
        <v>64</v>
      </c>
      <c r="S570" s="27">
        <v>62</v>
      </c>
      <c r="T570" s="29">
        <v>72.7</v>
      </c>
      <c r="U570" s="29">
        <v>2.73</v>
      </c>
      <c r="V570" s="29">
        <v>15</v>
      </c>
      <c r="W570" s="30">
        <v>11048.58</v>
      </c>
      <c r="X570" s="27">
        <v>7.4</v>
      </c>
      <c r="Y570" s="27" t="s">
        <v>71</v>
      </c>
      <c r="Z570" s="29">
        <v>21</v>
      </c>
      <c r="AA570" s="30">
        <v>17718.599999999999</v>
      </c>
      <c r="AB570" s="29">
        <v>0.92602739726027405</v>
      </c>
      <c r="AC570" s="30">
        <v>14513.58</v>
      </c>
      <c r="AD570" s="30">
        <v>272.43073972602701</v>
      </c>
      <c r="AE570" s="27">
        <v>486.4</v>
      </c>
      <c r="AF570" s="29">
        <v>0.93009868421052599</v>
      </c>
      <c r="AG570" s="30">
        <v>2932.58926027397</v>
      </c>
      <c r="AH570" s="31">
        <f t="shared" si="129"/>
        <v>0.80043859649122806</v>
      </c>
      <c r="AI570" s="31">
        <f t="shared" si="130"/>
        <v>7.3972602739726029E-2</v>
      </c>
      <c r="AJ570" s="31">
        <f t="shared" si="131"/>
        <v>2.4657534246575342E-2</v>
      </c>
      <c r="AK570" s="31">
        <f t="shared" si="132"/>
        <v>0.92602739726027394</v>
      </c>
      <c r="AL570" s="29">
        <f t="shared" si="133"/>
        <v>0.56666666666666665</v>
      </c>
      <c r="AM570" s="29">
        <f t="shared" si="134"/>
        <v>452.4</v>
      </c>
      <c r="AN570" s="29">
        <f t="shared" si="135"/>
        <v>0.80680813439434129</v>
      </c>
      <c r="AO570" s="29">
        <f t="shared" si="136"/>
        <v>0.9375</v>
      </c>
      <c r="AP570" s="31">
        <f t="shared" si="137"/>
        <v>0.86059534335396404</v>
      </c>
      <c r="AQ570" s="31">
        <f t="shared" si="138"/>
        <v>0.92602739726027394</v>
      </c>
      <c r="AR570" s="31">
        <f t="shared" si="139"/>
        <v>0.74122807017543835</v>
      </c>
      <c r="AS570" s="29">
        <f t="shared" si="140"/>
        <v>39.76323287671233</v>
      </c>
      <c r="AT570" s="29">
        <f t="shared" si="141"/>
        <v>8.0344911240382739</v>
      </c>
      <c r="AU570" s="27" t="str">
        <f t="shared" si="142"/>
        <v>High</v>
      </c>
      <c r="AV570" s="27" t="str">
        <f t="shared" si="143"/>
        <v>Critical</v>
      </c>
      <c r="AW570" s="27"/>
    </row>
    <row r="571" spans="1:49" x14ac:dyDescent="0.25">
      <c r="A571" s="27">
        <v>570</v>
      </c>
      <c r="B571" s="28">
        <v>46174</v>
      </c>
      <c r="C571" s="28" t="str">
        <f t="shared" si="128"/>
        <v>June</v>
      </c>
      <c r="D571" s="27" t="s">
        <v>47</v>
      </c>
      <c r="E571" s="27" t="s">
        <v>61</v>
      </c>
      <c r="F571" s="27" t="s">
        <v>88</v>
      </c>
      <c r="G571" s="27" t="s">
        <v>63</v>
      </c>
      <c r="H571" s="27" t="s">
        <v>79</v>
      </c>
      <c r="I571" s="27" t="s">
        <v>694</v>
      </c>
      <c r="J571" s="27" t="s">
        <v>59</v>
      </c>
      <c r="K571" s="27">
        <v>862</v>
      </c>
      <c r="L571" s="27">
        <v>955</v>
      </c>
      <c r="M571" s="27">
        <v>913</v>
      </c>
      <c r="N571" s="27">
        <v>42</v>
      </c>
      <c r="O571" s="27">
        <v>13</v>
      </c>
      <c r="P571" s="27">
        <v>5</v>
      </c>
      <c r="Q571" s="27" t="s">
        <v>54</v>
      </c>
      <c r="R571" s="27">
        <v>49</v>
      </c>
      <c r="S571" s="27">
        <v>52</v>
      </c>
      <c r="T571" s="29">
        <v>68.599999999999994</v>
      </c>
      <c r="U571" s="29">
        <v>1.75</v>
      </c>
      <c r="V571" s="29">
        <v>27.26</v>
      </c>
      <c r="W571" s="30">
        <v>20978.35</v>
      </c>
      <c r="X571" s="27">
        <v>11.29</v>
      </c>
      <c r="Y571" s="27" t="s">
        <v>55</v>
      </c>
      <c r="Z571" s="29">
        <v>18</v>
      </c>
      <c r="AA571" s="30">
        <v>34785.040000000001</v>
      </c>
      <c r="AB571" s="29">
        <v>0.95602094240837698</v>
      </c>
      <c r="AC571" s="30">
        <v>26304.19</v>
      </c>
      <c r="AD571" s="30">
        <v>285.569162303665</v>
      </c>
      <c r="AE571" s="27">
        <v>703.96666666666704</v>
      </c>
      <c r="AF571" s="29">
        <v>0.992897390974951</v>
      </c>
      <c r="AG571" s="30">
        <v>8195.2808376963403</v>
      </c>
      <c r="AH571" s="31">
        <f t="shared" si="129"/>
        <v>1.1078886310904872</v>
      </c>
      <c r="AI571" s="31">
        <f t="shared" si="130"/>
        <v>4.3979057591623037E-2</v>
      </c>
      <c r="AJ571" s="31">
        <f t="shared" si="131"/>
        <v>1.3612565445026177E-2</v>
      </c>
      <c r="AK571" s="31">
        <f t="shared" si="132"/>
        <v>0.95602094240837698</v>
      </c>
      <c r="AL571" s="29">
        <f t="shared" si="133"/>
        <v>8.3333333333333329E-2</v>
      </c>
      <c r="AM571" s="29">
        <f t="shared" si="134"/>
        <v>698.96666666666704</v>
      </c>
      <c r="AN571" s="29">
        <f t="shared" si="135"/>
        <v>1.3663026372263811</v>
      </c>
      <c r="AO571" s="29">
        <f t="shared" si="136"/>
        <v>1.2244897959183674</v>
      </c>
      <c r="AP571" s="31">
        <f t="shared" si="137"/>
        <v>1.1158138204015446</v>
      </c>
      <c r="AQ571" s="31">
        <f t="shared" si="138"/>
        <v>0.95602094240837698</v>
      </c>
      <c r="AR571" s="31">
        <f t="shared" si="139"/>
        <v>1.0591647331786533</v>
      </c>
      <c r="AS571" s="29">
        <f t="shared" si="140"/>
        <v>27.54365445026178</v>
      </c>
      <c r="AT571" s="29">
        <f t="shared" si="141"/>
        <v>8.5814459033469532</v>
      </c>
      <c r="AU571" s="27" t="str">
        <f t="shared" si="142"/>
        <v>Low</v>
      </c>
      <c r="AV571" s="27" t="str">
        <f t="shared" si="143"/>
        <v>Normal</v>
      </c>
      <c r="AW571" s="27"/>
    </row>
    <row r="572" spans="1:49" x14ac:dyDescent="0.25">
      <c r="A572" s="27">
        <v>571</v>
      </c>
      <c r="B572" s="28">
        <v>46044</v>
      </c>
      <c r="C572" s="28" t="str">
        <f t="shared" si="128"/>
        <v>January</v>
      </c>
      <c r="D572" s="27" t="s">
        <v>47</v>
      </c>
      <c r="E572" s="27" t="s">
        <v>48</v>
      </c>
      <c r="F572" s="27" t="s">
        <v>56</v>
      </c>
      <c r="G572" s="27" t="s">
        <v>50</v>
      </c>
      <c r="H572" s="27" t="s">
        <v>79</v>
      </c>
      <c r="I572" s="27" t="s">
        <v>695</v>
      </c>
      <c r="J572" s="27" t="s">
        <v>84</v>
      </c>
      <c r="K572" s="27">
        <v>637</v>
      </c>
      <c r="L572" s="27">
        <v>665</v>
      </c>
      <c r="M572" s="27">
        <v>635</v>
      </c>
      <c r="N572" s="27">
        <v>30</v>
      </c>
      <c r="O572" s="27">
        <v>9</v>
      </c>
      <c r="P572" s="27">
        <v>13</v>
      </c>
      <c r="Q572" s="27" t="s">
        <v>104</v>
      </c>
      <c r="R572" s="27">
        <v>49</v>
      </c>
      <c r="S572" s="27">
        <v>51</v>
      </c>
      <c r="T572" s="29">
        <v>76.3</v>
      </c>
      <c r="U572" s="29">
        <v>1.51</v>
      </c>
      <c r="V572" s="29">
        <v>19.77</v>
      </c>
      <c r="W572" s="30">
        <v>14234.54</v>
      </c>
      <c r="X572" s="27">
        <v>9.4600000000000009</v>
      </c>
      <c r="Y572" s="27" t="s">
        <v>66</v>
      </c>
      <c r="Z572" s="29">
        <v>6</v>
      </c>
      <c r="AA572" s="30">
        <v>24181.63</v>
      </c>
      <c r="AB572" s="29">
        <v>0.95488721804511301</v>
      </c>
      <c r="AC572" s="30">
        <v>18669.47</v>
      </c>
      <c r="AD572" s="30">
        <v>192.64790977443599</v>
      </c>
      <c r="AE572" s="27">
        <v>520.21666666666704</v>
      </c>
      <c r="AF572" s="29">
        <v>0.97501041232819696</v>
      </c>
      <c r="AG572" s="30">
        <v>5319.5120902255603</v>
      </c>
      <c r="AH572" s="31">
        <f t="shared" si="129"/>
        <v>1.043956043956044</v>
      </c>
      <c r="AI572" s="31">
        <f t="shared" si="130"/>
        <v>4.5112781954887216E-2</v>
      </c>
      <c r="AJ572" s="31">
        <f t="shared" si="131"/>
        <v>1.3533834586466165E-2</v>
      </c>
      <c r="AK572" s="31">
        <f t="shared" si="132"/>
        <v>0.95488721804511278</v>
      </c>
      <c r="AL572" s="29">
        <f t="shared" si="133"/>
        <v>0.21666666666666667</v>
      </c>
      <c r="AM572" s="29">
        <f t="shared" si="134"/>
        <v>507.21666666666704</v>
      </c>
      <c r="AN572" s="29">
        <f t="shared" si="135"/>
        <v>1.3110767916406523</v>
      </c>
      <c r="AO572" s="29">
        <f t="shared" si="136"/>
        <v>1.2244897959183674</v>
      </c>
      <c r="AP572" s="31">
        <f t="shared" si="137"/>
        <v>1.0707127131731993</v>
      </c>
      <c r="AQ572" s="31">
        <f t="shared" si="138"/>
        <v>0.95488721804511278</v>
      </c>
      <c r="AR572" s="31">
        <f t="shared" si="139"/>
        <v>0.99686028257456794</v>
      </c>
      <c r="AS572" s="29">
        <f t="shared" si="140"/>
        <v>28.07439097744361</v>
      </c>
      <c r="AT572" s="29">
        <f t="shared" si="141"/>
        <v>7.9992663010910681</v>
      </c>
      <c r="AU572" s="27" t="str">
        <f t="shared" si="142"/>
        <v>Low</v>
      </c>
      <c r="AV572" s="27" t="str">
        <f t="shared" si="143"/>
        <v>Normal</v>
      </c>
      <c r="AW572" s="27"/>
    </row>
    <row r="573" spans="1:49" x14ac:dyDescent="0.25">
      <c r="A573" s="27">
        <v>572</v>
      </c>
      <c r="B573" s="28">
        <v>46035</v>
      </c>
      <c r="C573" s="28" t="str">
        <f t="shared" si="128"/>
        <v>January</v>
      </c>
      <c r="D573" s="27" t="s">
        <v>67</v>
      </c>
      <c r="E573" s="27" t="s">
        <v>76</v>
      </c>
      <c r="F573" s="27" t="s">
        <v>77</v>
      </c>
      <c r="G573" s="27" t="s">
        <v>63</v>
      </c>
      <c r="H573" s="27" t="s">
        <v>124</v>
      </c>
      <c r="I573" s="27" t="s">
        <v>696</v>
      </c>
      <c r="J573" s="27" t="s">
        <v>218</v>
      </c>
      <c r="K573" s="27">
        <v>595</v>
      </c>
      <c r="L573" s="27">
        <v>583</v>
      </c>
      <c r="M573" s="27">
        <v>546</v>
      </c>
      <c r="N573" s="27">
        <v>37</v>
      </c>
      <c r="O573" s="27">
        <v>9</v>
      </c>
      <c r="P573" s="27">
        <v>43</v>
      </c>
      <c r="Q573" s="27" t="s">
        <v>104</v>
      </c>
      <c r="R573" s="27">
        <v>57</v>
      </c>
      <c r="S573" s="27">
        <v>60</v>
      </c>
      <c r="T573" s="29">
        <v>74</v>
      </c>
      <c r="U573" s="29">
        <v>2.0499999999999998</v>
      </c>
      <c r="V573" s="29">
        <v>22.04</v>
      </c>
      <c r="W573" s="30">
        <v>16328.53</v>
      </c>
      <c r="X573" s="27">
        <v>7.63</v>
      </c>
      <c r="Y573" s="27" t="s">
        <v>55</v>
      </c>
      <c r="Z573" s="29">
        <v>14</v>
      </c>
      <c r="AA573" s="30">
        <v>24818.04</v>
      </c>
      <c r="AB573" s="29">
        <v>0.93653516295025696</v>
      </c>
      <c r="AC573" s="30">
        <v>19960.39</v>
      </c>
      <c r="AD573" s="30">
        <v>252.069931389365</v>
      </c>
      <c r="AE573" s="27">
        <v>565.25</v>
      </c>
      <c r="AF573" s="29">
        <v>0.923927465723131</v>
      </c>
      <c r="AG573" s="30">
        <v>4605.5800686106404</v>
      </c>
      <c r="AH573" s="31">
        <f t="shared" si="129"/>
        <v>0.9798319327731092</v>
      </c>
      <c r="AI573" s="31">
        <f t="shared" si="130"/>
        <v>6.3464837049742706E-2</v>
      </c>
      <c r="AJ573" s="31">
        <f t="shared" si="131"/>
        <v>1.5437392795883362E-2</v>
      </c>
      <c r="AK573" s="31">
        <f t="shared" si="132"/>
        <v>0.93653516295025729</v>
      </c>
      <c r="AL573" s="29">
        <f t="shared" si="133"/>
        <v>0.71666666666666667</v>
      </c>
      <c r="AM573" s="29">
        <f t="shared" si="134"/>
        <v>522.25</v>
      </c>
      <c r="AN573" s="29">
        <f t="shared" si="135"/>
        <v>1.1163235998085208</v>
      </c>
      <c r="AO573" s="29">
        <f t="shared" si="136"/>
        <v>1.0526315789473684</v>
      </c>
      <c r="AP573" s="31">
        <f t="shared" si="137"/>
        <v>1.0605074198180948</v>
      </c>
      <c r="AQ573" s="31">
        <f t="shared" si="138"/>
        <v>0.93653516295025729</v>
      </c>
      <c r="AR573" s="31">
        <f t="shared" si="139"/>
        <v>0.91764705882352904</v>
      </c>
      <c r="AS573" s="29">
        <f t="shared" si="140"/>
        <v>34.237375643224702</v>
      </c>
      <c r="AT573" s="29">
        <f t="shared" si="141"/>
        <v>7.8997942857815442</v>
      </c>
      <c r="AU573" s="27" t="str">
        <f t="shared" si="142"/>
        <v>Low</v>
      </c>
      <c r="AV573" s="27" t="str">
        <f t="shared" si="143"/>
        <v>Normal</v>
      </c>
      <c r="AW573" s="27"/>
    </row>
    <row r="574" spans="1:49" x14ac:dyDescent="0.25">
      <c r="A574" s="27">
        <v>573</v>
      </c>
      <c r="B574" s="28">
        <v>46080</v>
      </c>
      <c r="C574" s="28" t="str">
        <f t="shared" si="128"/>
        <v>February</v>
      </c>
      <c r="D574" s="27" t="s">
        <v>67</v>
      </c>
      <c r="E574" s="27" t="s">
        <v>76</v>
      </c>
      <c r="F574" s="27" t="s">
        <v>119</v>
      </c>
      <c r="G574" s="27" t="s">
        <v>50</v>
      </c>
      <c r="H574" s="27" t="s">
        <v>79</v>
      </c>
      <c r="I574" s="27" t="s">
        <v>697</v>
      </c>
      <c r="J574" s="27" t="s">
        <v>197</v>
      </c>
      <c r="K574" s="27">
        <v>671</v>
      </c>
      <c r="L574" s="27">
        <v>578</v>
      </c>
      <c r="M574" s="27">
        <v>514</v>
      </c>
      <c r="N574" s="27">
        <v>64</v>
      </c>
      <c r="O574" s="27">
        <v>12</v>
      </c>
      <c r="P574" s="27">
        <v>69</v>
      </c>
      <c r="Q574" s="27" t="s">
        <v>54</v>
      </c>
      <c r="R574" s="27">
        <v>49</v>
      </c>
      <c r="S574" s="27">
        <v>52</v>
      </c>
      <c r="T574" s="29">
        <v>70.7</v>
      </c>
      <c r="U574" s="29">
        <v>2.63</v>
      </c>
      <c r="V574" s="29">
        <v>23.81</v>
      </c>
      <c r="W574" s="30">
        <v>12055.18</v>
      </c>
      <c r="X574" s="27">
        <v>6.45</v>
      </c>
      <c r="Y574" s="27" t="s">
        <v>71</v>
      </c>
      <c r="Z574" s="29">
        <v>46</v>
      </c>
      <c r="AA574" s="30">
        <v>19725.02</v>
      </c>
      <c r="AB574" s="29">
        <v>0.88927335640138405</v>
      </c>
      <c r="AC574" s="30">
        <v>15171.97</v>
      </c>
      <c r="AD574" s="30">
        <v>250.28055363321801</v>
      </c>
      <c r="AE574" s="27">
        <v>547.98333333333301</v>
      </c>
      <c r="AF574" s="29">
        <v>0.87408376167158397</v>
      </c>
      <c r="AG574" s="30">
        <v>4302.7694463667804</v>
      </c>
      <c r="AH574" s="31">
        <f t="shared" si="129"/>
        <v>0.86140089418777943</v>
      </c>
      <c r="AI574" s="31">
        <f t="shared" si="130"/>
        <v>0.11072664359861592</v>
      </c>
      <c r="AJ574" s="31">
        <f t="shared" si="131"/>
        <v>2.0761245674740483E-2</v>
      </c>
      <c r="AK574" s="31">
        <f t="shared" si="132"/>
        <v>0.88927335640138405</v>
      </c>
      <c r="AL574" s="29">
        <f t="shared" si="133"/>
        <v>1.1499999999999999</v>
      </c>
      <c r="AM574" s="29">
        <f t="shared" si="134"/>
        <v>478.98333333333301</v>
      </c>
      <c r="AN574" s="29">
        <f t="shared" si="135"/>
        <v>1.2067225721145489</v>
      </c>
      <c r="AO574" s="29">
        <f t="shared" si="136"/>
        <v>1.2244897959183674</v>
      </c>
      <c r="AP574" s="31">
        <f t="shared" si="137"/>
        <v>0.98549010056021491</v>
      </c>
      <c r="AQ574" s="31">
        <f t="shared" si="138"/>
        <v>0.88927335640138405</v>
      </c>
      <c r="AR574" s="31">
        <f t="shared" si="139"/>
        <v>0.76602086438152073</v>
      </c>
      <c r="AS574" s="29">
        <f t="shared" si="140"/>
        <v>26.249083044982697</v>
      </c>
      <c r="AT574" s="29">
        <f t="shared" si="141"/>
        <v>7.4442377964823185</v>
      </c>
      <c r="AU574" s="27" t="str">
        <f t="shared" si="142"/>
        <v>High</v>
      </c>
      <c r="AV574" s="27" t="str">
        <f t="shared" si="143"/>
        <v>Warning</v>
      </c>
      <c r="AW574" s="27"/>
    </row>
    <row r="575" spans="1:49" x14ac:dyDescent="0.25">
      <c r="A575" s="27">
        <v>574</v>
      </c>
      <c r="B575" s="28">
        <v>46144</v>
      </c>
      <c r="C575" s="28" t="str">
        <f t="shared" si="128"/>
        <v>May</v>
      </c>
      <c r="D575" s="27" t="s">
        <v>67</v>
      </c>
      <c r="E575" s="27" t="s">
        <v>76</v>
      </c>
      <c r="F575" s="27" t="s">
        <v>77</v>
      </c>
      <c r="G575" s="27" t="s">
        <v>78</v>
      </c>
      <c r="H575" s="27" t="s">
        <v>68</v>
      </c>
      <c r="I575" s="27" t="s">
        <v>698</v>
      </c>
      <c r="J575" s="27" t="s">
        <v>197</v>
      </c>
      <c r="K575" s="27">
        <v>456</v>
      </c>
      <c r="L575" s="27">
        <v>371</v>
      </c>
      <c r="M575" s="27">
        <v>343</v>
      </c>
      <c r="N575" s="27">
        <v>28</v>
      </c>
      <c r="O575" s="27">
        <v>5</v>
      </c>
      <c r="P575" s="27">
        <v>0</v>
      </c>
      <c r="Q575" s="27" t="s">
        <v>60</v>
      </c>
      <c r="R575" s="27">
        <v>64</v>
      </c>
      <c r="S575" s="27">
        <v>67</v>
      </c>
      <c r="T575" s="29">
        <v>76.8</v>
      </c>
      <c r="U575" s="29">
        <v>2.08</v>
      </c>
      <c r="V575" s="29">
        <v>15</v>
      </c>
      <c r="W575" s="30">
        <v>11381.28</v>
      </c>
      <c r="X575" s="27">
        <v>7.36</v>
      </c>
      <c r="Y575" s="27" t="s">
        <v>55</v>
      </c>
      <c r="Z575" s="29">
        <v>1</v>
      </c>
      <c r="AA575" s="30">
        <v>17458.650000000001</v>
      </c>
      <c r="AB575" s="29">
        <v>0.92452830188679302</v>
      </c>
      <c r="AC575" s="30">
        <v>14828.28</v>
      </c>
      <c r="AD575" s="30">
        <v>153.386522911051</v>
      </c>
      <c r="AE575" s="27">
        <v>486.4</v>
      </c>
      <c r="AF575" s="29">
        <v>1</v>
      </c>
      <c r="AG575" s="30">
        <v>2476.9834770889502</v>
      </c>
      <c r="AH575" s="31">
        <f t="shared" si="129"/>
        <v>0.81359649122807021</v>
      </c>
      <c r="AI575" s="31">
        <f t="shared" si="130"/>
        <v>7.5471698113207544E-2</v>
      </c>
      <c r="AJ575" s="31">
        <f t="shared" si="131"/>
        <v>1.3477088948787063E-2</v>
      </c>
      <c r="AK575" s="31">
        <f t="shared" si="132"/>
        <v>0.92452830188679247</v>
      </c>
      <c r="AL575" s="29">
        <f t="shared" si="133"/>
        <v>0</v>
      </c>
      <c r="AM575" s="29">
        <f t="shared" si="134"/>
        <v>486.4</v>
      </c>
      <c r="AN575" s="29">
        <f t="shared" si="135"/>
        <v>0.76274671052631582</v>
      </c>
      <c r="AO575" s="29">
        <f t="shared" si="136"/>
        <v>0.9375</v>
      </c>
      <c r="AP575" s="31">
        <f t="shared" si="137"/>
        <v>0.81359649122807021</v>
      </c>
      <c r="AQ575" s="31">
        <f t="shared" si="138"/>
        <v>0.92452830188679247</v>
      </c>
      <c r="AR575" s="31">
        <f t="shared" si="139"/>
        <v>0.75219298245614041</v>
      </c>
      <c r="AS575" s="29">
        <f t="shared" si="140"/>
        <v>39.968409703504044</v>
      </c>
      <c r="AT575" s="29">
        <f t="shared" si="141"/>
        <v>6.6765053290807286</v>
      </c>
      <c r="AU575" s="27" t="str">
        <f t="shared" si="142"/>
        <v>High</v>
      </c>
      <c r="AV575" s="27" t="str">
        <f t="shared" si="143"/>
        <v>Warning</v>
      </c>
      <c r="AW575" s="27"/>
    </row>
    <row r="576" spans="1:49" x14ac:dyDescent="0.25">
      <c r="A576" s="27">
        <v>575</v>
      </c>
      <c r="B576" s="28">
        <v>46057</v>
      </c>
      <c r="C576" s="28" t="str">
        <f t="shared" si="128"/>
        <v>February</v>
      </c>
      <c r="D576" s="27" t="s">
        <v>67</v>
      </c>
      <c r="E576" s="27" t="s">
        <v>48</v>
      </c>
      <c r="F576" s="27" t="s">
        <v>56</v>
      </c>
      <c r="G576" s="27" t="s">
        <v>50</v>
      </c>
      <c r="H576" s="27" t="s">
        <v>57</v>
      </c>
      <c r="I576" s="27" t="s">
        <v>699</v>
      </c>
      <c r="J576" s="27" t="s">
        <v>197</v>
      </c>
      <c r="K576" s="27">
        <v>948</v>
      </c>
      <c r="L576" s="27">
        <v>1029</v>
      </c>
      <c r="M576" s="27">
        <v>973</v>
      </c>
      <c r="N576" s="27">
        <v>56</v>
      </c>
      <c r="O576" s="27">
        <v>17</v>
      </c>
      <c r="P576" s="27">
        <v>20</v>
      </c>
      <c r="Q576" s="27" t="s">
        <v>97</v>
      </c>
      <c r="R576" s="27">
        <v>45</v>
      </c>
      <c r="S576" s="27">
        <v>44</v>
      </c>
      <c r="T576" s="29">
        <v>67.3</v>
      </c>
      <c r="U576" s="29">
        <v>2.16</v>
      </c>
      <c r="V576" s="29">
        <v>31.15</v>
      </c>
      <c r="W576" s="30">
        <v>21432.17</v>
      </c>
      <c r="X576" s="27">
        <v>9.75</v>
      </c>
      <c r="Y576" s="27" t="s">
        <v>110</v>
      </c>
      <c r="Z576" s="29">
        <v>22</v>
      </c>
      <c r="AA576" s="30">
        <v>33331.9</v>
      </c>
      <c r="AB576" s="29">
        <v>0.94557823129251695</v>
      </c>
      <c r="AC576" s="30">
        <v>26100.02</v>
      </c>
      <c r="AD576" s="30">
        <v>354.07861030126298</v>
      </c>
      <c r="AE576" s="27">
        <v>711</v>
      </c>
      <c r="AF576" s="29">
        <v>0.97187060478199705</v>
      </c>
      <c r="AG576" s="30">
        <v>6877.8013896987404</v>
      </c>
      <c r="AH576" s="31">
        <f t="shared" si="129"/>
        <v>1.0854430379746836</v>
      </c>
      <c r="AI576" s="31">
        <f t="shared" si="130"/>
        <v>5.4421768707482991E-2</v>
      </c>
      <c r="AJ576" s="31">
        <f t="shared" si="131"/>
        <v>1.6520894071914479E-2</v>
      </c>
      <c r="AK576" s="31">
        <f t="shared" si="132"/>
        <v>0.94557823129251706</v>
      </c>
      <c r="AL576" s="29">
        <f t="shared" si="133"/>
        <v>0.33333333333333331</v>
      </c>
      <c r="AM576" s="29">
        <f t="shared" si="134"/>
        <v>691</v>
      </c>
      <c r="AN576" s="29">
        <f t="shared" si="135"/>
        <v>1.4891461649782922</v>
      </c>
      <c r="AO576" s="29">
        <f t="shared" si="136"/>
        <v>1.3333333333333333</v>
      </c>
      <c r="AP576" s="31">
        <f t="shared" si="137"/>
        <v>1.1168596237337192</v>
      </c>
      <c r="AQ576" s="31">
        <f t="shared" si="138"/>
        <v>0.94557823129251706</v>
      </c>
      <c r="AR576" s="31">
        <f t="shared" si="139"/>
        <v>1.0263713080168775</v>
      </c>
      <c r="AS576" s="29">
        <f t="shared" si="140"/>
        <v>25.364450923226435</v>
      </c>
      <c r="AT576" s="29">
        <f t="shared" si="141"/>
        <v>6.6839663651105345</v>
      </c>
      <c r="AU576" s="27" t="str">
        <f t="shared" si="142"/>
        <v>Medium</v>
      </c>
      <c r="AV576" s="27" t="str">
        <f t="shared" si="143"/>
        <v>Normal</v>
      </c>
      <c r="AW576" s="27"/>
    </row>
    <row r="577" spans="1:49" x14ac:dyDescent="0.25">
      <c r="A577" s="27">
        <v>576</v>
      </c>
      <c r="B577" s="28">
        <v>46055</v>
      </c>
      <c r="C577" s="28" t="str">
        <f t="shared" si="128"/>
        <v>February</v>
      </c>
      <c r="D577" s="27" t="s">
        <v>47</v>
      </c>
      <c r="E577" s="27" t="s">
        <v>48</v>
      </c>
      <c r="F577" s="27" t="s">
        <v>56</v>
      </c>
      <c r="G577" s="27" t="s">
        <v>63</v>
      </c>
      <c r="H577" s="27" t="s">
        <v>68</v>
      </c>
      <c r="I577" s="27" t="s">
        <v>700</v>
      </c>
      <c r="J577" s="27" t="s">
        <v>65</v>
      </c>
      <c r="K577" s="27">
        <v>513</v>
      </c>
      <c r="L577" s="27">
        <v>544</v>
      </c>
      <c r="M577" s="27">
        <v>507</v>
      </c>
      <c r="N577" s="27">
        <v>37</v>
      </c>
      <c r="O577" s="27">
        <v>7</v>
      </c>
      <c r="P577" s="27">
        <v>0</v>
      </c>
      <c r="Q577" s="27" t="s">
        <v>60</v>
      </c>
      <c r="R577" s="27">
        <v>64</v>
      </c>
      <c r="S577" s="27">
        <v>70</v>
      </c>
      <c r="T577" s="29">
        <v>74.400000000000006</v>
      </c>
      <c r="U577" s="29">
        <v>1.67</v>
      </c>
      <c r="V577" s="29">
        <v>17.5</v>
      </c>
      <c r="W577" s="30">
        <v>16241.93</v>
      </c>
      <c r="X577" s="27">
        <v>10.18</v>
      </c>
      <c r="Y577" s="27" t="s">
        <v>55</v>
      </c>
      <c r="Z577" s="29">
        <v>16</v>
      </c>
      <c r="AA577" s="30">
        <v>26284.639999999999</v>
      </c>
      <c r="AB577" s="29">
        <v>0.93198529411764697</v>
      </c>
      <c r="AC577" s="30">
        <v>20980.43</v>
      </c>
      <c r="AD577" s="30">
        <v>208.99542279411801</v>
      </c>
      <c r="AE577" s="27">
        <v>547.20000000000005</v>
      </c>
      <c r="AF577" s="29">
        <v>1</v>
      </c>
      <c r="AG577" s="30">
        <v>5095.2145772058802</v>
      </c>
      <c r="AH577" s="31">
        <f t="shared" si="129"/>
        <v>1.0604288499025341</v>
      </c>
      <c r="AI577" s="31">
        <f t="shared" si="130"/>
        <v>6.8014705882352935E-2</v>
      </c>
      <c r="AJ577" s="31">
        <f t="shared" si="131"/>
        <v>1.2867647058823529E-2</v>
      </c>
      <c r="AK577" s="31">
        <f t="shared" si="132"/>
        <v>0.93198529411764708</v>
      </c>
      <c r="AL577" s="29">
        <f t="shared" si="133"/>
        <v>0</v>
      </c>
      <c r="AM577" s="29">
        <f t="shared" si="134"/>
        <v>547.20000000000005</v>
      </c>
      <c r="AN577" s="29">
        <f t="shared" si="135"/>
        <v>0.99415204678362568</v>
      </c>
      <c r="AO577" s="29">
        <f t="shared" si="136"/>
        <v>0.9375</v>
      </c>
      <c r="AP577" s="31">
        <f t="shared" si="137"/>
        <v>1.0604288499025341</v>
      </c>
      <c r="AQ577" s="31">
        <f t="shared" si="138"/>
        <v>0.93198529411764708</v>
      </c>
      <c r="AR577" s="31">
        <f t="shared" si="139"/>
        <v>0.98830409356725146</v>
      </c>
      <c r="AS577" s="29">
        <f t="shared" si="140"/>
        <v>38.566966911764709</v>
      </c>
      <c r="AT577" s="29">
        <f t="shared" si="141"/>
        <v>9.3662032669225734</v>
      </c>
      <c r="AU577" s="27" t="str">
        <f t="shared" si="142"/>
        <v>Low</v>
      </c>
      <c r="AV577" s="27" t="str">
        <f t="shared" si="143"/>
        <v>Normal</v>
      </c>
      <c r="AW577" s="27"/>
    </row>
    <row r="578" spans="1:49" x14ac:dyDescent="0.25">
      <c r="A578" s="27">
        <v>577</v>
      </c>
      <c r="B578" s="28">
        <v>46080</v>
      </c>
      <c r="C578" s="28" t="str">
        <f t="shared" ref="C578:C641" si="144">TEXT(B578,"mmmm")</f>
        <v>February</v>
      </c>
      <c r="D578" s="27" t="s">
        <v>47</v>
      </c>
      <c r="E578" s="27" t="s">
        <v>61</v>
      </c>
      <c r="F578" s="27" t="s">
        <v>95</v>
      </c>
      <c r="G578" s="27" t="s">
        <v>78</v>
      </c>
      <c r="H578" s="27" t="s">
        <v>124</v>
      </c>
      <c r="I578" s="27" t="s">
        <v>701</v>
      </c>
      <c r="J578" s="27" t="s">
        <v>107</v>
      </c>
      <c r="K578" s="27">
        <v>685</v>
      </c>
      <c r="L578" s="27">
        <v>708</v>
      </c>
      <c r="M578" s="27">
        <v>661</v>
      </c>
      <c r="N578" s="27">
        <v>47</v>
      </c>
      <c r="O578" s="27">
        <v>17</v>
      </c>
      <c r="P578" s="27">
        <v>12</v>
      </c>
      <c r="Q578" s="27" t="s">
        <v>94</v>
      </c>
      <c r="R578" s="27">
        <v>57</v>
      </c>
      <c r="S578" s="27">
        <v>60</v>
      </c>
      <c r="T578" s="29">
        <v>75.099999999999994</v>
      </c>
      <c r="U578" s="29">
        <v>1.57</v>
      </c>
      <c r="V578" s="29">
        <v>27.38</v>
      </c>
      <c r="W578" s="30">
        <v>18949.89</v>
      </c>
      <c r="X578" s="27">
        <v>8.4</v>
      </c>
      <c r="Y578" s="27" t="s">
        <v>66</v>
      </c>
      <c r="Z578" s="29">
        <v>18</v>
      </c>
      <c r="AA578" s="30">
        <v>31293.88</v>
      </c>
      <c r="AB578" s="29">
        <v>0.93361581920904002</v>
      </c>
      <c r="AC578" s="30">
        <v>22976.31</v>
      </c>
      <c r="AD578" s="30">
        <v>455.011483050847</v>
      </c>
      <c r="AE578" s="27">
        <v>650.75</v>
      </c>
      <c r="AF578" s="29">
        <v>0.98155973876296598</v>
      </c>
      <c r="AG578" s="30">
        <v>7862.5585169491596</v>
      </c>
      <c r="AH578" s="31">
        <f t="shared" ref="AH578:AH641" si="145">IFERROR(L578/K578,0)</f>
        <v>1.0335766423357664</v>
      </c>
      <c r="AI578" s="31">
        <f t="shared" ref="AI578:AI641" si="146">IFERROR(N578/L578,0)</f>
        <v>6.6384180790960451E-2</v>
      </c>
      <c r="AJ578" s="31">
        <f t="shared" ref="AJ578:AJ641" si="147">IFERROR(O578/L578,0)</f>
        <v>2.4011299435028249E-2</v>
      </c>
      <c r="AK578" s="31">
        <f t="shared" ref="AK578:AK641" si="148">IFERROR(M578/L578,0)</f>
        <v>0.93361581920903958</v>
      </c>
      <c r="AL578" s="29">
        <f t="shared" ref="AL578:AL641" si="149">P578/60</f>
        <v>0.2</v>
      </c>
      <c r="AM578" s="29">
        <f t="shared" ref="AM578:AM641" si="150">MAX(0,AE578-P578)</f>
        <v>638.75</v>
      </c>
      <c r="AN578" s="29">
        <f t="shared" ref="AN578:AN641" si="151">IFERROR(L578/AM578,0)</f>
        <v>1.1084148727984344</v>
      </c>
      <c r="AO578" s="29">
        <f t="shared" ref="AO578:AO641" si="152">IFERROR(60/R578,0)</f>
        <v>1.0526315789473684</v>
      </c>
      <c r="AP578" s="31">
        <f t="shared" ref="AP578:AP641" si="153">IFERROR(AN578/AO578,0)</f>
        <v>1.0529941291585128</v>
      </c>
      <c r="AQ578" s="31">
        <f t="shared" ref="AQ578:AQ641" si="154">IFERROR(M578/L578,0)</f>
        <v>0.93361581920903958</v>
      </c>
      <c r="AR578" s="31">
        <f t="shared" ref="AR578:AR641" si="155">AF578*AP578*AQ578</f>
        <v>0.96496350364963523</v>
      </c>
      <c r="AS578" s="29">
        <f t="shared" ref="AS578:AS641" si="156">IFERROR(AC578/L578,0)</f>
        <v>32.452415254237287</v>
      </c>
      <c r="AT578" s="29">
        <f t="shared" ref="AT578:AT641" si="157">IFERROR(AG578/L578,0)</f>
        <v>11.1053086397587</v>
      </c>
      <c r="AU578" s="27" t="str">
        <f t="shared" ref="AU578:AU641" si="158">IF(OR(Y578="Overdue",P578&gt;=120,T578&gt;=85,U578&gt;=4,AI578&gt;=0.12,AR578&lt;0.8),"High",IF(OR(Y578="Pending",Z578&gt;=30,P578&gt;=60,T578&gt;=80,U578&gt;=3,AI578&gt;=0.08,AR578&lt;0.85),"Medium","Low"))</f>
        <v>Low</v>
      </c>
      <c r="AV578" s="27" t="str">
        <f t="shared" ref="AV578:AV641" si="159">IF(OR(P578&gt;=120,T578&gt;=90,U578&gt;=4.5,AI578&gt;=0.15,AR578&lt;0.75),"Critical",IF(OR(P578&gt;=60,T578&gt;=80,U578&gt;=3,AI578&gt;=0.08,AR578&lt;0.85),"Warning","Normal"))</f>
        <v>Normal</v>
      </c>
      <c r="AW578" s="27"/>
    </row>
    <row r="579" spans="1:49" x14ac:dyDescent="0.25">
      <c r="A579" s="27">
        <v>578</v>
      </c>
      <c r="B579" s="28">
        <v>46110</v>
      </c>
      <c r="C579" s="28" t="str">
        <f t="shared" si="144"/>
        <v>March</v>
      </c>
      <c r="D579" s="27" t="s">
        <v>67</v>
      </c>
      <c r="E579" s="27" t="s">
        <v>76</v>
      </c>
      <c r="F579" s="27" t="s">
        <v>113</v>
      </c>
      <c r="G579" s="27" t="s">
        <v>50</v>
      </c>
      <c r="H579" s="27" t="s">
        <v>79</v>
      </c>
      <c r="I579" s="27" t="s">
        <v>702</v>
      </c>
      <c r="J579" s="27" t="s">
        <v>84</v>
      </c>
      <c r="K579" s="27">
        <v>881</v>
      </c>
      <c r="L579" s="27">
        <v>810</v>
      </c>
      <c r="M579" s="27">
        <v>770</v>
      </c>
      <c r="N579" s="27">
        <v>40</v>
      </c>
      <c r="O579" s="27">
        <v>9</v>
      </c>
      <c r="P579" s="27">
        <v>22</v>
      </c>
      <c r="Q579" s="27" t="s">
        <v>94</v>
      </c>
      <c r="R579" s="27">
        <v>49</v>
      </c>
      <c r="S579" s="27">
        <v>51</v>
      </c>
      <c r="T579" s="29">
        <v>69.2</v>
      </c>
      <c r="U579" s="29">
        <v>1.5</v>
      </c>
      <c r="V579" s="29">
        <v>27.61</v>
      </c>
      <c r="W579" s="30">
        <v>18836.22</v>
      </c>
      <c r="X579" s="27">
        <v>8.24</v>
      </c>
      <c r="Y579" s="27" t="s">
        <v>110</v>
      </c>
      <c r="Z579" s="29">
        <v>31</v>
      </c>
      <c r="AA579" s="30">
        <v>28492.69</v>
      </c>
      <c r="AB579" s="29">
        <v>0.95061728395061695</v>
      </c>
      <c r="AC579" s="30">
        <v>22792.71</v>
      </c>
      <c r="AD579" s="30">
        <v>209.291333333333</v>
      </c>
      <c r="AE579" s="27">
        <v>719.48333333333301</v>
      </c>
      <c r="AF579" s="29">
        <v>0.96942250225856497</v>
      </c>
      <c r="AG579" s="30">
        <v>5490.6886666666596</v>
      </c>
      <c r="AH579" s="31">
        <f t="shared" si="145"/>
        <v>0.91940976163450627</v>
      </c>
      <c r="AI579" s="31">
        <f t="shared" si="146"/>
        <v>4.9382716049382713E-2</v>
      </c>
      <c r="AJ579" s="31">
        <f t="shared" si="147"/>
        <v>1.1111111111111112E-2</v>
      </c>
      <c r="AK579" s="31">
        <f t="shared" si="148"/>
        <v>0.95061728395061729</v>
      </c>
      <c r="AL579" s="29">
        <f t="shared" si="149"/>
        <v>0.36666666666666664</v>
      </c>
      <c r="AM579" s="29">
        <f t="shared" si="150"/>
        <v>697.48333333333301</v>
      </c>
      <c r="AN579" s="29">
        <f t="shared" si="151"/>
        <v>1.1613180721164191</v>
      </c>
      <c r="AO579" s="29">
        <f t="shared" si="152"/>
        <v>1.2244897959183674</v>
      </c>
      <c r="AP579" s="31">
        <f t="shared" si="153"/>
        <v>0.94840975889507562</v>
      </c>
      <c r="AQ579" s="31">
        <f t="shared" si="154"/>
        <v>0.95061728395061729</v>
      </c>
      <c r="AR579" s="31">
        <f t="shared" si="155"/>
        <v>0.87400681044267903</v>
      </c>
      <c r="AS579" s="29">
        <f t="shared" si="156"/>
        <v>28.139148148148148</v>
      </c>
      <c r="AT579" s="29">
        <f t="shared" si="157"/>
        <v>6.7786279835390859</v>
      </c>
      <c r="AU579" s="27" t="str">
        <f t="shared" si="158"/>
        <v>Medium</v>
      </c>
      <c r="AV579" s="27" t="str">
        <f t="shared" si="159"/>
        <v>Normal</v>
      </c>
      <c r="AW579" s="27"/>
    </row>
    <row r="580" spans="1:49" x14ac:dyDescent="0.25">
      <c r="A580" s="27">
        <v>579</v>
      </c>
      <c r="B580" s="28">
        <v>46184</v>
      </c>
      <c r="C580" s="28" t="str">
        <f t="shared" si="144"/>
        <v>June</v>
      </c>
      <c r="D580" s="27" t="s">
        <v>67</v>
      </c>
      <c r="E580" s="27" t="s">
        <v>129</v>
      </c>
      <c r="F580" s="27" t="s">
        <v>151</v>
      </c>
      <c r="G580" s="27" t="s">
        <v>63</v>
      </c>
      <c r="H580" s="27" t="s">
        <v>51</v>
      </c>
      <c r="I580" s="27" t="s">
        <v>703</v>
      </c>
      <c r="J580" s="27" t="s">
        <v>70</v>
      </c>
      <c r="K580" s="27">
        <v>842</v>
      </c>
      <c r="L580" s="27">
        <v>728</v>
      </c>
      <c r="M580" s="27">
        <v>685</v>
      </c>
      <c r="N580" s="27">
        <v>43</v>
      </c>
      <c r="O580" s="27">
        <v>17</v>
      </c>
      <c r="P580" s="27">
        <v>32</v>
      </c>
      <c r="Q580" s="27" t="s">
        <v>82</v>
      </c>
      <c r="R580" s="27">
        <v>42</v>
      </c>
      <c r="S580" s="27">
        <v>43</v>
      </c>
      <c r="T580" s="29">
        <v>74.099999999999994</v>
      </c>
      <c r="U580" s="29">
        <v>1.49</v>
      </c>
      <c r="V580" s="29">
        <v>23.81</v>
      </c>
      <c r="W580" s="30">
        <v>13136.71</v>
      </c>
      <c r="X580" s="27">
        <v>8.19</v>
      </c>
      <c r="Y580" s="27" t="s">
        <v>55</v>
      </c>
      <c r="Z580" s="29">
        <v>18</v>
      </c>
      <c r="AA580" s="30">
        <v>21976.26</v>
      </c>
      <c r="AB580" s="29">
        <v>0.94093406593406603</v>
      </c>
      <c r="AC580" s="30">
        <v>17036.5</v>
      </c>
      <c r="AD580" s="30">
        <v>306.76383241758202</v>
      </c>
      <c r="AE580" s="27">
        <v>589.4</v>
      </c>
      <c r="AF580" s="29">
        <v>0.94570749915167995</v>
      </c>
      <c r="AG580" s="30">
        <v>4632.9961675824197</v>
      </c>
      <c r="AH580" s="31">
        <f t="shared" si="145"/>
        <v>0.86460807600950118</v>
      </c>
      <c r="AI580" s="31">
        <f t="shared" si="146"/>
        <v>5.9065934065934064E-2</v>
      </c>
      <c r="AJ580" s="31">
        <f t="shared" si="147"/>
        <v>2.3351648351648352E-2</v>
      </c>
      <c r="AK580" s="31">
        <f t="shared" si="148"/>
        <v>0.94093406593406592</v>
      </c>
      <c r="AL580" s="29">
        <f t="shared" si="149"/>
        <v>0.53333333333333333</v>
      </c>
      <c r="AM580" s="29">
        <f t="shared" si="150"/>
        <v>557.4</v>
      </c>
      <c r="AN580" s="29">
        <f t="shared" si="151"/>
        <v>1.3060638679583783</v>
      </c>
      <c r="AO580" s="29">
        <f t="shared" si="152"/>
        <v>1.4285714285714286</v>
      </c>
      <c r="AP580" s="31">
        <f t="shared" si="153"/>
        <v>0.91424470757086473</v>
      </c>
      <c r="AQ580" s="31">
        <f t="shared" si="154"/>
        <v>0.94093406593406592</v>
      </c>
      <c r="AR580" s="31">
        <f t="shared" si="155"/>
        <v>0.81353919239905004</v>
      </c>
      <c r="AS580" s="29">
        <f t="shared" si="156"/>
        <v>23.401785714285715</v>
      </c>
      <c r="AT580" s="29">
        <f t="shared" si="157"/>
        <v>6.3640057247011264</v>
      </c>
      <c r="AU580" s="27" t="str">
        <f t="shared" si="158"/>
        <v>Medium</v>
      </c>
      <c r="AV580" s="27" t="str">
        <f t="shared" si="159"/>
        <v>Warning</v>
      </c>
      <c r="AW580" s="27"/>
    </row>
    <row r="581" spans="1:49" x14ac:dyDescent="0.25">
      <c r="A581" s="27">
        <v>580</v>
      </c>
      <c r="B581" s="28">
        <v>46105</v>
      </c>
      <c r="C581" s="28" t="str">
        <f t="shared" si="144"/>
        <v>March</v>
      </c>
      <c r="D581" s="27" t="s">
        <v>47</v>
      </c>
      <c r="E581" s="27" t="s">
        <v>61</v>
      </c>
      <c r="F581" s="27" t="s">
        <v>95</v>
      </c>
      <c r="G581" s="27" t="s">
        <v>63</v>
      </c>
      <c r="H581" s="27" t="s">
        <v>51</v>
      </c>
      <c r="I581" s="27" t="s">
        <v>704</v>
      </c>
      <c r="J581" s="27" t="s">
        <v>143</v>
      </c>
      <c r="K581" s="27">
        <v>846</v>
      </c>
      <c r="L581" s="27">
        <v>737</v>
      </c>
      <c r="M581" s="27">
        <v>697</v>
      </c>
      <c r="N581" s="27">
        <v>40</v>
      </c>
      <c r="O581" s="27">
        <v>10</v>
      </c>
      <c r="P581" s="27">
        <v>30</v>
      </c>
      <c r="Q581" s="27" t="s">
        <v>54</v>
      </c>
      <c r="R581" s="27">
        <v>42</v>
      </c>
      <c r="S581" s="27">
        <v>44</v>
      </c>
      <c r="T581" s="29">
        <v>68.2</v>
      </c>
      <c r="U581" s="29">
        <v>2.08</v>
      </c>
      <c r="V581" s="29">
        <v>27.77</v>
      </c>
      <c r="W581" s="30">
        <v>13055.86</v>
      </c>
      <c r="X581" s="27">
        <v>8.01</v>
      </c>
      <c r="Y581" s="27" t="s">
        <v>55</v>
      </c>
      <c r="Z581" s="29">
        <v>32</v>
      </c>
      <c r="AA581" s="30">
        <v>22928.31</v>
      </c>
      <c r="AB581" s="29">
        <v>0.94572591587516996</v>
      </c>
      <c r="AC581" s="30">
        <v>16910.29</v>
      </c>
      <c r="AD581" s="30">
        <v>177.148710990502</v>
      </c>
      <c r="AE581" s="27">
        <v>592.20000000000005</v>
      </c>
      <c r="AF581" s="29">
        <v>0.94934143870314103</v>
      </c>
      <c r="AG581" s="30">
        <v>5840.8712890095003</v>
      </c>
      <c r="AH581" s="31">
        <f t="shared" si="145"/>
        <v>0.87115839243498816</v>
      </c>
      <c r="AI581" s="31">
        <f t="shared" si="146"/>
        <v>5.4274084124830396E-2</v>
      </c>
      <c r="AJ581" s="31">
        <f t="shared" si="147"/>
        <v>1.3568521031207599E-2</v>
      </c>
      <c r="AK581" s="31">
        <f t="shared" si="148"/>
        <v>0.94572591587516963</v>
      </c>
      <c r="AL581" s="29">
        <f t="shared" si="149"/>
        <v>0.5</v>
      </c>
      <c r="AM581" s="29">
        <f t="shared" si="150"/>
        <v>562.20000000000005</v>
      </c>
      <c r="AN581" s="29">
        <f t="shared" si="151"/>
        <v>1.310921380291711</v>
      </c>
      <c r="AO581" s="29">
        <f t="shared" si="152"/>
        <v>1.4285714285714286</v>
      </c>
      <c r="AP581" s="31">
        <f t="shared" si="153"/>
        <v>0.91764496620419767</v>
      </c>
      <c r="AQ581" s="31">
        <f t="shared" si="154"/>
        <v>0.94572591587516963</v>
      </c>
      <c r="AR581" s="31">
        <f t="shared" si="155"/>
        <v>0.82387706855791976</v>
      </c>
      <c r="AS581" s="29">
        <f t="shared" si="156"/>
        <v>22.944762550881954</v>
      </c>
      <c r="AT581" s="29">
        <f t="shared" si="157"/>
        <v>7.9251984925502041</v>
      </c>
      <c r="AU581" s="27" t="str">
        <f t="shared" si="158"/>
        <v>Medium</v>
      </c>
      <c r="AV581" s="27" t="str">
        <f t="shared" si="159"/>
        <v>Warning</v>
      </c>
      <c r="AW581" s="27"/>
    </row>
    <row r="582" spans="1:49" x14ac:dyDescent="0.25">
      <c r="A582" s="27">
        <v>581</v>
      </c>
      <c r="B582" s="28">
        <v>46163</v>
      </c>
      <c r="C582" s="28" t="str">
        <f t="shared" si="144"/>
        <v>May</v>
      </c>
      <c r="D582" s="27" t="s">
        <v>67</v>
      </c>
      <c r="E582" s="27" t="s">
        <v>48</v>
      </c>
      <c r="F582" s="27" t="s">
        <v>72</v>
      </c>
      <c r="G582" s="27" t="s">
        <v>50</v>
      </c>
      <c r="H582" s="27" t="s">
        <v>68</v>
      </c>
      <c r="I582" s="27" t="s">
        <v>705</v>
      </c>
      <c r="J582" s="27" t="s">
        <v>186</v>
      </c>
      <c r="K582" s="27">
        <v>566</v>
      </c>
      <c r="L582" s="27">
        <v>612</v>
      </c>
      <c r="M582" s="27">
        <v>581</v>
      </c>
      <c r="N582" s="27">
        <v>31</v>
      </c>
      <c r="O582" s="27">
        <v>9</v>
      </c>
      <c r="P582" s="27">
        <v>10</v>
      </c>
      <c r="Q582" s="27" t="s">
        <v>94</v>
      </c>
      <c r="R582" s="27">
        <v>64</v>
      </c>
      <c r="S582" s="27">
        <v>65</v>
      </c>
      <c r="T582" s="29">
        <v>86.1</v>
      </c>
      <c r="U582" s="29">
        <v>1.67</v>
      </c>
      <c r="V582" s="29">
        <v>20.03</v>
      </c>
      <c r="W582" s="30">
        <v>18113.52</v>
      </c>
      <c r="X582" s="27">
        <v>10.5</v>
      </c>
      <c r="Y582" s="27" t="s">
        <v>71</v>
      </c>
      <c r="Z582" s="29">
        <v>2</v>
      </c>
      <c r="AA582" s="30">
        <v>29380.02</v>
      </c>
      <c r="AB582" s="29">
        <v>0.94934640522875802</v>
      </c>
      <c r="AC582" s="30">
        <v>23018.79</v>
      </c>
      <c r="AD582" s="30">
        <v>266.375294117647</v>
      </c>
      <c r="AE582" s="27">
        <v>603.73333333333301</v>
      </c>
      <c r="AF582" s="29">
        <v>0.98343639575971697</v>
      </c>
      <c r="AG582" s="30">
        <v>6094.8547058823497</v>
      </c>
      <c r="AH582" s="31">
        <f t="shared" si="145"/>
        <v>1.0812720848056536</v>
      </c>
      <c r="AI582" s="31">
        <f t="shared" si="146"/>
        <v>5.0653594771241831E-2</v>
      </c>
      <c r="AJ582" s="31">
        <f t="shared" si="147"/>
        <v>1.4705882352941176E-2</v>
      </c>
      <c r="AK582" s="31">
        <f t="shared" si="148"/>
        <v>0.94934640522875813</v>
      </c>
      <c r="AL582" s="29">
        <f t="shared" si="149"/>
        <v>0.16666666666666666</v>
      </c>
      <c r="AM582" s="29">
        <f t="shared" si="150"/>
        <v>593.73333333333301</v>
      </c>
      <c r="AN582" s="29">
        <f t="shared" si="151"/>
        <v>1.0307657758814288</v>
      </c>
      <c r="AO582" s="29">
        <f t="shared" si="152"/>
        <v>0.9375</v>
      </c>
      <c r="AP582" s="31">
        <f t="shared" si="153"/>
        <v>1.0994834942735241</v>
      </c>
      <c r="AQ582" s="31">
        <f t="shared" si="154"/>
        <v>0.94934640522875813</v>
      </c>
      <c r="AR582" s="31">
        <f t="shared" si="155"/>
        <v>1.0265017667844525</v>
      </c>
      <c r="AS582" s="29">
        <f t="shared" si="156"/>
        <v>37.612401960784318</v>
      </c>
      <c r="AT582" s="29">
        <f t="shared" si="157"/>
        <v>9.9589129181084139</v>
      </c>
      <c r="AU582" s="27" t="str">
        <f t="shared" si="158"/>
        <v>High</v>
      </c>
      <c r="AV582" s="27" t="str">
        <f t="shared" si="159"/>
        <v>Warning</v>
      </c>
      <c r="AW582" s="27"/>
    </row>
    <row r="583" spans="1:49" x14ac:dyDescent="0.25">
      <c r="A583" s="27">
        <v>582</v>
      </c>
      <c r="B583" s="28">
        <v>46040</v>
      </c>
      <c r="C583" s="28" t="str">
        <f t="shared" si="144"/>
        <v>January</v>
      </c>
      <c r="D583" s="27" t="s">
        <v>67</v>
      </c>
      <c r="E583" s="27" t="s">
        <v>48</v>
      </c>
      <c r="F583" s="27" t="s">
        <v>49</v>
      </c>
      <c r="G583" s="27" t="s">
        <v>63</v>
      </c>
      <c r="H583" s="27" t="s">
        <v>51</v>
      </c>
      <c r="I583" s="27" t="s">
        <v>706</v>
      </c>
      <c r="J583" s="27" t="s">
        <v>53</v>
      </c>
      <c r="K583" s="27">
        <v>936</v>
      </c>
      <c r="L583" s="27">
        <v>813</v>
      </c>
      <c r="M583" s="27">
        <v>778</v>
      </c>
      <c r="N583" s="27">
        <v>35</v>
      </c>
      <c r="O583" s="27">
        <v>8</v>
      </c>
      <c r="P583" s="27">
        <v>36</v>
      </c>
      <c r="Q583" s="27" t="s">
        <v>54</v>
      </c>
      <c r="R583" s="27">
        <v>42</v>
      </c>
      <c r="S583" s="27">
        <v>42</v>
      </c>
      <c r="T583" s="29">
        <v>69.099999999999994</v>
      </c>
      <c r="U583" s="29">
        <v>1.8</v>
      </c>
      <c r="V583" s="29">
        <v>31.38</v>
      </c>
      <c r="W583" s="30">
        <v>14619.49</v>
      </c>
      <c r="X583" s="27">
        <v>7.84</v>
      </c>
      <c r="Y583" s="27" t="s">
        <v>66</v>
      </c>
      <c r="Z583" s="29">
        <v>13</v>
      </c>
      <c r="AA583" s="30">
        <v>24375.73</v>
      </c>
      <c r="AB583" s="29">
        <v>0.95694956949569498</v>
      </c>
      <c r="AC583" s="30">
        <v>18429.91</v>
      </c>
      <c r="AD583" s="30">
        <v>143.85722017220201</v>
      </c>
      <c r="AE583" s="27">
        <v>655.20000000000005</v>
      </c>
      <c r="AF583" s="29">
        <v>0.94505494505494503</v>
      </c>
      <c r="AG583" s="30">
        <v>5801.9627798277997</v>
      </c>
      <c r="AH583" s="31">
        <f t="shared" si="145"/>
        <v>0.86858974358974361</v>
      </c>
      <c r="AI583" s="31">
        <f t="shared" si="146"/>
        <v>4.3050430504305043E-2</v>
      </c>
      <c r="AJ583" s="31">
        <f t="shared" si="147"/>
        <v>9.8400984009840101E-3</v>
      </c>
      <c r="AK583" s="31">
        <f t="shared" si="148"/>
        <v>0.95694956949569498</v>
      </c>
      <c r="AL583" s="29">
        <f t="shared" si="149"/>
        <v>0.6</v>
      </c>
      <c r="AM583" s="29">
        <f t="shared" si="150"/>
        <v>619.20000000000005</v>
      </c>
      <c r="AN583" s="29">
        <f t="shared" si="151"/>
        <v>1.3129844961240309</v>
      </c>
      <c r="AO583" s="29">
        <f t="shared" si="152"/>
        <v>1.4285714285714286</v>
      </c>
      <c r="AP583" s="31">
        <f t="shared" si="153"/>
        <v>0.91908914728682156</v>
      </c>
      <c r="AQ583" s="31">
        <f t="shared" si="154"/>
        <v>0.95694956949569498</v>
      </c>
      <c r="AR583" s="31">
        <f t="shared" si="155"/>
        <v>0.83119658119658102</v>
      </c>
      <c r="AS583" s="29">
        <f t="shared" si="156"/>
        <v>22.669015990159902</v>
      </c>
      <c r="AT583" s="29">
        <f t="shared" si="157"/>
        <v>7.136485584044034</v>
      </c>
      <c r="AU583" s="27" t="str">
        <f t="shared" si="158"/>
        <v>Medium</v>
      </c>
      <c r="AV583" s="27" t="str">
        <f t="shared" si="159"/>
        <v>Warning</v>
      </c>
      <c r="AW583" s="27"/>
    </row>
    <row r="584" spans="1:49" x14ac:dyDescent="0.25">
      <c r="A584" s="27">
        <v>583</v>
      </c>
      <c r="B584" s="28">
        <v>46164</v>
      </c>
      <c r="C584" s="28" t="str">
        <f t="shared" si="144"/>
        <v>May</v>
      </c>
      <c r="D584" s="27" t="s">
        <v>67</v>
      </c>
      <c r="E584" s="27" t="s">
        <v>98</v>
      </c>
      <c r="F584" s="27" t="s">
        <v>105</v>
      </c>
      <c r="G584" s="27" t="s">
        <v>78</v>
      </c>
      <c r="H584" s="27" t="s">
        <v>57</v>
      </c>
      <c r="I584" s="27" t="s">
        <v>707</v>
      </c>
      <c r="J584" s="27" t="s">
        <v>161</v>
      </c>
      <c r="K584" s="27">
        <v>688</v>
      </c>
      <c r="L584" s="27">
        <v>590</v>
      </c>
      <c r="M584" s="27">
        <v>548</v>
      </c>
      <c r="N584" s="27">
        <v>42</v>
      </c>
      <c r="O584" s="27">
        <v>9</v>
      </c>
      <c r="P584" s="27">
        <v>43</v>
      </c>
      <c r="Q584" s="27" t="s">
        <v>97</v>
      </c>
      <c r="R584" s="27">
        <v>45</v>
      </c>
      <c r="S584" s="27">
        <v>46</v>
      </c>
      <c r="T584" s="29">
        <v>72.2</v>
      </c>
      <c r="U584" s="29">
        <v>2.27</v>
      </c>
      <c r="V584" s="29">
        <v>19.739999999999998</v>
      </c>
      <c r="W584" s="30">
        <v>11525.16</v>
      </c>
      <c r="X584" s="27">
        <v>6.85</v>
      </c>
      <c r="Y584" s="27" t="s">
        <v>55</v>
      </c>
      <c r="Z584" s="29">
        <v>40</v>
      </c>
      <c r="AA584" s="30">
        <v>19271.650000000001</v>
      </c>
      <c r="AB584" s="29">
        <v>0.92881355932203402</v>
      </c>
      <c r="AC584" s="30">
        <v>14785.32</v>
      </c>
      <c r="AD584" s="30">
        <v>175.807525423729</v>
      </c>
      <c r="AE584" s="27">
        <v>516</v>
      </c>
      <c r="AF584" s="29">
        <v>0.91666666666666696</v>
      </c>
      <c r="AG584" s="30">
        <v>4310.5224745762698</v>
      </c>
      <c r="AH584" s="31">
        <f t="shared" si="145"/>
        <v>0.85755813953488369</v>
      </c>
      <c r="AI584" s="31">
        <f t="shared" si="146"/>
        <v>7.1186440677966104E-2</v>
      </c>
      <c r="AJ584" s="31">
        <f t="shared" si="147"/>
        <v>1.5254237288135594E-2</v>
      </c>
      <c r="AK584" s="31">
        <f t="shared" si="148"/>
        <v>0.92881355932203391</v>
      </c>
      <c r="AL584" s="29">
        <f t="shared" si="149"/>
        <v>0.71666666666666667</v>
      </c>
      <c r="AM584" s="29">
        <f t="shared" si="150"/>
        <v>473</v>
      </c>
      <c r="AN584" s="29">
        <f t="shared" si="151"/>
        <v>1.2473572938689217</v>
      </c>
      <c r="AO584" s="29">
        <f t="shared" si="152"/>
        <v>1.3333333333333333</v>
      </c>
      <c r="AP584" s="31">
        <f t="shared" si="153"/>
        <v>0.93551797040169127</v>
      </c>
      <c r="AQ584" s="31">
        <f t="shared" si="154"/>
        <v>0.92881355932203391</v>
      </c>
      <c r="AR584" s="31">
        <f t="shared" si="155"/>
        <v>0.79651162790697694</v>
      </c>
      <c r="AS584" s="29">
        <f t="shared" si="156"/>
        <v>25.05986440677966</v>
      </c>
      <c r="AT584" s="29">
        <f t="shared" si="157"/>
        <v>7.3059702958919823</v>
      </c>
      <c r="AU584" s="27" t="str">
        <f t="shared" si="158"/>
        <v>High</v>
      </c>
      <c r="AV584" s="27" t="str">
        <f t="shared" si="159"/>
        <v>Warning</v>
      </c>
      <c r="AW584" s="27"/>
    </row>
    <row r="585" spans="1:49" x14ac:dyDescent="0.25">
      <c r="A585" s="27">
        <v>584</v>
      </c>
      <c r="B585" s="28">
        <v>46176</v>
      </c>
      <c r="C585" s="28" t="str">
        <f t="shared" si="144"/>
        <v>June</v>
      </c>
      <c r="D585" s="27" t="s">
        <v>67</v>
      </c>
      <c r="E585" s="27" t="s">
        <v>61</v>
      </c>
      <c r="F585" s="27" t="s">
        <v>88</v>
      </c>
      <c r="G585" s="27" t="s">
        <v>50</v>
      </c>
      <c r="H585" s="27" t="s">
        <v>57</v>
      </c>
      <c r="I585" s="27" t="s">
        <v>708</v>
      </c>
      <c r="J585" s="27" t="s">
        <v>107</v>
      </c>
      <c r="K585" s="27">
        <v>907</v>
      </c>
      <c r="L585" s="27">
        <v>908</v>
      </c>
      <c r="M585" s="27">
        <v>870</v>
      </c>
      <c r="N585" s="27">
        <v>38</v>
      </c>
      <c r="O585" s="27">
        <v>11</v>
      </c>
      <c r="P585" s="27">
        <v>18</v>
      </c>
      <c r="Q585" s="27" t="s">
        <v>102</v>
      </c>
      <c r="R585" s="27">
        <v>45</v>
      </c>
      <c r="S585" s="27">
        <v>46</v>
      </c>
      <c r="T585" s="29">
        <v>68.2</v>
      </c>
      <c r="U585" s="29">
        <v>1.94</v>
      </c>
      <c r="V585" s="29">
        <v>35.75</v>
      </c>
      <c r="W585" s="30">
        <v>18216.580000000002</v>
      </c>
      <c r="X585" s="27">
        <v>8.86</v>
      </c>
      <c r="Y585" s="27" t="s">
        <v>66</v>
      </c>
      <c r="Z585" s="29">
        <v>16</v>
      </c>
      <c r="AA585" s="30">
        <v>31067.93</v>
      </c>
      <c r="AB585" s="29">
        <v>0.95814977973568305</v>
      </c>
      <c r="AC585" s="30">
        <v>22525.33</v>
      </c>
      <c r="AD585" s="30">
        <v>220.68544052863399</v>
      </c>
      <c r="AE585" s="27">
        <v>680.25</v>
      </c>
      <c r="AF585" s="29">
        <v>0.973539140022051</v>
      </c>
      <c r="AG585" s="30">
        <v>8321.91455947137</v>
      </c>
      <c r="AH585" s="31">
        <f t="shared" si="145"/>
        <v>1.0011025358324146</v>
      </c>
      <c r="AI585" s="31">
        <f t="shared" si="146"/>
        <v>4.185022026431718E-2</v>
      </c>
      <c r="AJ585" s="31">
        <f t="shared" si="147"/>
        <v>1.2114537444933921E-2</v>
      </c>
      <c r="AK585" s="31">
        <f t="shared" si="148"/>
        <v>0.95814977973568283</v>
      </c>
      <c r="AL585" s="29">
        <f t="shared" si="149"/>
        <v>0.3</v>
      </c>
      <c r="AM585" s="29">
        <f t="shared" si="150"/>
        <v>662.25</v>
      </c>
      <c r="AN585" s="29">
        <f t="shared" si="151"/>
        <v>1.3710834277085693</v>
      </c>
      <c r="AO585" s="29">
        <f t="shared" si="152"/>
        <v>1.3333333333333333</v>
      </c>
      <c r="AP585" s="31">
        <f t="shared" si="153"/>
        <v>1.0283125707814271</v>
      </c>
      <c r="AQ585" s="31">
        <f t="shared" si="154"/>
        <v>0.95814977973568283</v>
      </c>
      <c r="AR585" s="31">
        <f t="shared" si="155"/>
        <v>0.95920617420066201</v>
      </c>
      <c r="AS585" s="29">
        <f t="shared" si="156"/>
        <v>24.807632158590309</v>
      </c>
      <c r="AT585" s="29">
        <f t="shared" si="157"/>
        <v>9.1651041403869709</v>
      </c>
      <c r="AU585" s="27" t="str">
        <f t="shared" si="158"/>
        <v>Low</v>
      </c>
      <c r="AV585" s="27" t="str">
        <f t="shared" si="159"/>
        <v>Normal</v>
      </c>
      <c r="AW585" s="27"/>
    </row>
    <row r="586" spans="1:49" x14ac:dyDescent="0.25">
      <c r="A586" s="27">
        <v>585</v>
      </c>
      <c r="B586" s="28">
        <v>46178</v>
      </c>
      <c r="C586" s="28" t="str">
        <f t="shared" si="144"/>
        <v>June</v>
      </c>
      <c r="D586" s="27" t="s">
        <v>47</v>
      </c>
      <c r="E586" s="27" t="s">
        <v>129</v>
      </c>
      <c r="F586" s="27" t="s">
        <v>167</v>
      </c>
      <c r="G586" s="27" t="s">
        <v>63</v>
      </c>
      <c r="H586" s="27" t="s">
        <v>124</v>
      </c>
      <c r="I586" s="27" t="s">
        <v>709</v>
      </c>
      <c r="J586" s="27" t="s">
        <v>90</v>
      </c>
      <c r="K586" s="27">
        <v>563</v>
      </c>
      <c r="L586" s="27">
        <v>507</v>
      </c>
      <c r="M586" s="27">
        <v>469</v>
      </c>
      <c r="N586" s="27">
        <v>38</v>
      </c>
      <c r="O586" s="27">
        <v>15</v>
      </c>
      <c r="P586" s="27">
        <v>38</v>
      </c>
      <c r="Q586" s="27" t="s">
        <v>104</v>
      </c>
      <c r="R586" s="27">
        <v>57</v>
      </c>
      <c r="S586" s="27">
        <v>57</v>
      </c>
      <c r="T586" s="29">
        <v>75.5</v>
      </c>
      <c r="U586" s="29">
        <v>1.72</v>
      </c>
      <c r="V586" s="29">
        <v>18.2</v>
      </c>
      <c r="W586" s="30">
        <v>13862.6</v>
      </c>
      <c r="X586" s="27">
        <v>8.86</v>
      </c>
      <c r="Y586" s="27" t="s">
        <v>66</v>
      </c>
      <c r="Z586" s="29">
        <v>26</v>
      </c>
      <c r="AA586" s="30">
        <v>21373.599999999999</v>
      </c>
      <c r="AB586" s="29">
        <v>0.92504930966469401</v>
      </c>
      <c r="AC586" s="30">
        <v>18013.400000000001</v>
      </c>
      <c r="AD586" s="30">
        <v>410.13609467455598</v>
      </c>
      <c r="AE586" s="27">
        <v>534.85</v>
      </c>
      <c r="AF586" s="29">
        <v>0.92895204262877396</v>
      </c>
      <c r="AG586" s="30">
        <v>2950.0639053254399</v>
      </c>
      <c r="AH586" s="31">
        <f t="shared" si="145"/>
        <v>0.90053285968028418</v>
      </c>
      <c r="AI586" s="31">
        <f t="shared" si="146"/>
        <v>7.4950690335305714E-2</v>
      </c>
      <c r="AJ586" s="31">
        <f t="shared" si="147"/>
        <v>2.9585798816568046E-2</v>
      </c>
      <c r="AK586" s="31">
        <f t="shared" si="148"/>
        <v>0.92504930966469423</v>
      </c>
      <c r="AL586" s="29">
        <f t="shared" si="149"/>
        <v>0.6333333333333333</v>
      </c>
      <c r="AM586" s="29">
        <f t="shared" si="150"/>
        <v>496.85</v>
      </c>
      <c r="AN586" s="29">
        <f t="shared" si="151"/>
        <v>1.0204287008151354</v>
      </c>
      <c r="AO586" s="29">
        <f t="shared" si="152"/>
        <v>1.0526315789473684</v>
      </c>
      <c r="AP586" s="31">
        <f t="shared" si="153"/>
        <v>0.96940726577437863</v>
      </c>
      <c r="AQ586" s="31">
        <f t="shared" si="154"/>
        <v>0.92504930966469423</v>
      </c>
      <c r="AR586" s="31">
        <f t="shared" si="155"/>
        <v>0.83303730017761946</v>
      </c>
      <c r="AS586" s="29">
        <f t="shared" si="156"/>
        <v>35.529388560157791</v>
      </c>
      <c r="AT586" s="29">
        <f t="shared" si="157"/>
        <v>5.8186664799318342</v>
      </c>
      <c r="AU586" s="27" t="str">
        <f t="shared" si="158"/>
        <v>Medium</v>
      </c>
      <c r="AV586" s="27" t="str">
        <f t="shared" si="159"/>
        <v>Warning</v>
      </c>
      <c r="AW586" s="27"/>
    </row>
    <row r="587" spans="1:49" x14ac:dyDescent="0.25">
      <c r="A587" s="27">
        <v>586</v>
      </c>
      <c r="B587" s="28">
        <v>46120</v>
      </c>
      <c r="C587" s="28" t="str">
        <f t="shared" si="144"/>
        <v>April</v>
      </c>
      <c r="D587" s="27" t="s">
        <v>47</v>
      </c>
      <c r="E587" s="27" t="s">
        <v>61</v>
      </c>
      <c r="F587" s="27" t="s">
        <v>62</v>
      </c>
      <c r="G587" s="27" t="s">
        <v>63</v>
      </c>
      <c r="H587" s="27" t="s">
        <v>68</v>
      </c>
      <c r="I587" s="27" t="s">
        <v>710</v>
      </c>
      <c r="J587" s="27" t="s">
        <v>140</v>
      </c>
      <c r="K587" s="27">
        <v>561</v>
      </c>
      <c r="L587" s="27">
        <v>561</v>
      </c>
      <c r="M587" s="27">
        <v>530</v>
      </c>
      <c r="N587" s="27">
        <v>31</v>
      </c>
      <c r="O587" s="27">
        <v>10</v>
      </c>
      <c r="P587" s="27">
        <v>22</v>
      </c>
      <c r="Q587" s="27" t="s">
        <v>97</v>
      </c>
      <c r="R587" s="27">
        <v>64</v>
      </c>
      <c r="S587" s="27">
        <v>66</v>
      </c>
      <c r="T587" s="29">
        <v>76.8</v>
      </c>
      <c r="U587" s="29">
        <v>2.82</v>
      </c>
      <c r="V587" s="29">
        <v>23.13</v>
      </c>
      <c r="W587" s="30">
        <v>18390.97</v>
      </c>
      <c r="X587" s="27">
        <v>8.4</v>
      </c>
      <c r="Y587" s="27" t="s">
        <v>66</v>
      </c>
      <c r="Z587" s="29">
        <v>16</v>
      </c>
      <c r="AA587" s="30">
        <v>26881.98</v>
      </c>
      <c r="AB587" s="29">
        <v>0.94474153297682695</v>
      </c>
      <c r="AC587" s="30">
        <v>22379.14</v>
      </c>
      <c r="AD587" s="30">
        <v>327.82477718360099</v>
      </c>
      <c r="AE587" s="27">
        <v>598.4</v>
      </c>
      <c r="AF587" s="29">
        <v>0.96323529411764697</v>
      </c>
      <c r="AG587" s="30">
        <v>4175.0152228163997</v>
      </c>
      <c r="AH587" s="31">
        <f t="shared" si="145"/>
        <v>1</v>
      </c>
      <c r="AI587" s="31">
        <f t="shared" si="146"/>
        <v>5.5258467023172907E-2</v>
      </c>
      <c r="AJ587" s="31">
        <f t="shared" si="147"/>
        <v>1.7825311942959002E-2</v>
      </c>
      <c r="AK587" s="31">
        <f t="shared" si="148"/>
        <v>0.94474153297682706</v>
      </c>
      <c r="AL587" s="29">
        <f t="shared" si="149"/>
        <v>0.36666666666666664</v>
      </c>
      <c r="AM587" s="29">
        <f t="shared" si="150"/>
        <v>576.4</v>
      </c>
      <c r="AN587" s="29">
        <f t="shared" si="151"/>
        <v>0.97328244274809161</v>
      </c>
      <c r="AO587" s="29">
        <f t="shared" si="152"/>
        <v>0.9375</v>
      </c>
      <c r="AP587" s="31">
        <f t="shared" si="153"/>
        <v>1.0381679389312977</v>
      </c>
      <c r="AQ587" s="31">
        <f t="shared" si="154"/>
        <v>0.94474153297682706</v>
      </c>
      <c r="AR587" s="31">
        <f t="shared" si="155"/>
        <v>0.94474153297682695</v>
      </c>
      <c r="AS587" s="29">
        <f t="shared" si="156"/>
        <v>39.891515151515151</v>
      </c>
      <c r="AT587" s="29">
        <f t="shared" si="157"/>
        <v>7.4420948713304806</v>
      </c>
      <c r="AU587" s="27" t="str">
        <f t="shared" si="158"/>
        <v>Low</v>
      </c>
      <c r="AV587" s="27" t="str">
        <f t="shared" si="159"/>
        <v>Normal</v>
      </c>
      <c r="AW587" s="27"/>
    </row>
    <row r="588" spans="1:49" x14ac:dyDescent="0.25">
      <c r="A588" s="27">
        <v>587</v>
      </c>
      <c r="B588" s="28">
        <v>46063</v>
      </c>
      <c r="C588" s="28" t="str">
        <f t="shared" si="144"/>
        <v>February</v>
      </c>
      <c r="D588" s="27" t="s">
        <v>47</v>
      </c>
      <c r="E588" s="27" t="s">
        <v>76</v>
      </c>
      <c r="F588" s="27" t="s">
        <v>113</v>
      </c>
      <c r="G588" s="27" t="s">
        <v>63</v>
      </c>
      <c r="H588" s="27" t="s">
        <v>79</v>
      </c>
      <c r="I588" s="27" t="s">
        <v>711</v>
      </c>
      <c r="J588" s="27" t="s">
        <v>175</v>
      </c>
      <c r="K588" s="27">
        <v>750</v>
      </c>
      <c r="L588" s="27">
        <v>669</v>
      </c>
      <c r="M588" s="27">
        <v>644</v>
      </c>
      <c r="N588" s="27">
        <v>25</v>
      </c>
      <c r="O588" s="27">
        <v>5</v>
      </c>
      <c r="P588" s="27">
        <v>51</v>
      </c>
      <c r="Q588" s="27" t="s">
        <v>75</v>
      </c>
      <c r="R588" s="27">
        <v>49</v>
      </c>
      <c r="S588" s="27">
        <v>53</v>
      </c>
      <c r="T588" s="29">
        <v>76.3</v>
      </c>
      <c r="U588" s="29">
        <v>1.73</v>
      </c>
      <c r="V588" s="29">
        <v>27.81</v>
      </c>
      <c r="W588" s="30">
        <v>15519.55</v>
      </c>
      <c r="X588" s="27">
        <v>9.19</v>
      </c>
      <c r="Y588" s="27" t="s">
        <v>55</v>
      </c>
      <c r="Z588" s="29">
        <v>17</v>
      </c>
      <c r="AA588" s="30">
        <v>24542.39</v>
      </c>
      <c r="AB588" s="29">
        <v>0.96263079222720505</v>
      </c>
      <c r="AC588" s="30">
        <v>19905.34</v>
      </c>
      <c r="AD588" s="30">
        <v>115.99065769805701</v>
      </c>
      <c r="AE588" s="27">
        <v>612.5</v>
      </c>
      <c r="AF588" s="29">
        <v>0.91673469387755102</v>
      </c>
      <c r="AG588" s="30">
        <v>4521.05934230194</v>
      </c>
      <c r="AH588" s="31">
        <f t="shared" si="145"/>
        <v>0.89200000000000002</v>
      </c>
      <c r="AI588" s="31">
        <f t="shared" si="146"/>
        <v>3.7369207772795218E-2</v>
      </c>
      <c r="AJ588" s="31">
        <f t="shared" si="147"/>
        <v>7.4738415545590429E-3</v>
      </c>
      <c r="AK588" s="31">
        <f t="shared" si="148"/>
        <v>0.96263079222720482</v>
      </c>
      <c r="AL588" s="29">
        <f t="shared" si="149"/>
        <v>0.85</v>
      </c>
      <c r="AM588" s="29">
        <f t="shared" si="150"/>
        <v>561.5</v>
      </c>
      <c r="AN588" s="29">
        <f t="shared" si="151"/>
        <v>1.1914514692787177</v>
      </c>
      <c r="AO588" s="29">
        <f t="shared" si="152"/>
        <v>1.2244897959183674</v>
      </c>
      <c r="AP588" s="31">
        <f t="shared" si="153"/>
        <v>0.9730186999109528</v>
      </c>
      <c r="AQ588" s="31">
        <f t="shared" si="154"/>
        <v>0.96263079222720482</v>
      </c>
      <c r="AR588" s="31">
        <f t="shared" si="155"/>
        <v>0.85866666666666669</v>
      </c>
      <c r="AS588" s="29">
        <f t="shared" si="156"/>
        <v>29.753871449925263</v>
      </c>
      <c r="AT588" s="29">
        <f t="shared" si="157"/>
        <v>6.7579362366247233</v>
      </c>
      <c r="AU588" s="27" t="str">
        <f t="shared" si="158"/>
        <v>Low</v>
      </c>
      <c r="AV588" s="27" t="str">
        <f t="shared" si="159"/>
        <v>Normal</v>
      </c>
      <c r="AW588" s="27"/>
    </row>
    <row r="589" spans="1:49" x14ac:dyDescent="0.25">
      <c r="A589" s="27">
        <v>588</v>
      </c>
      <c r="B589" s="28">
        <v>46131</v>
      </c>
      <c r="C589" s="28" t="str">
        <f t="shared" si="144"/>
        <v>April</v>
      </c>
      <c r="D589" s="27" t="s">
        <v>47</v>
      </c>
      <c r="E589" s="27" t="s">
        <v>98</v>
      </c>
      <c r="F589" s="27" t="s">
        <v>105</v>
      </c>
      <c r="G589" s="27" t="s">
        <v>78</v>
      </c>
      <c r="H589" s="27" t="s">
        <v>51</v>
      </c>
      <c r="I589" s="27" t="s">
        <v>712</v>
      </c>
      <c r="J589" s="27" t="s">
        <v>93</v>
      </c>
      <c r="K589" s="27">
        <v>754</v>
      </c>
      <c r="L589" s="27">
        <v>720</v>
      </c>
      <c r="M589" s="27">
        <v>672</v>
      </c>
      <c r="N589" s="27">
        <v>48</v>
      </c>
      <c r="O589" s="27">
        <v>15</v>
      </c>
      <c r="P589" s="27">
        <v>19</v>
      </c>
      <c r="Q589" s="27" t="s">
        <v>94</v>
      </c>
      <c r="R589" s="27">
        <v>42</v>
      </c>
      <c r="S589" s="27">
        <v>46</v>
      </c>
      <c r="T589" s="29">
        <v>67.5</v>
      </c>
      <c r="U589" s="29">
        <v>1.95</v>
      </c>
      <c r="V589" s="29">
        <v>23.17</v>
      </c>
      <c r="W589" s="30">
        <v>13041.04</v>
      </c>
      <c r="X589" s="27">
        <v>7.42</v>
      </c>
      <c r="Y589" s="27" t="s">
        <v>55</v>
      </c>
      <c r="Z589" s="29">
        <v>22</v>
      </c>
      <c r="AA589" s="30">
        <v>21908.240000000002</v>
      </c>
      <c r="AB589" s="29">
        <v>0.93333333333333302</v>
      </c>
      <c r="AC589" s="30">
        <v>16588.57</v>
      </c>
      <c r="AD589" s="30">
        <v>271.68833333333299</v>
      </c>
      <c r="AE589" s="27">
        <v>527.79999999999995</v>
      </c>
      <c r="AF589" s="29">
        <v>0.96400151572565396</v>
      </c>
      <c r="AG589" s="30">
        <v>5047.9816666666702</v>
      </c>
      <c r="AH589" s="31">
        <f t="shared" si="145"/>
        <v>0.95490716180371349</v>
      </c>
      <c r="AI589" s="31">
        <f t="shared" si="146"/>
        <v>6.6666666666666666E-2</v>
      </c>
      <c r="AJ589" s="31">
        <f t="shared" si="147"/>
        <v>2.0833333333333332E-2</v>
      </c>
      <c r="AK589" s="31">
        <f t="shared" si="148"/>
        <v>0.93333333333333335</v>
      </c>
      <c r="AL589" s="29">
        <f t="shared" si="149"/>
        <v>0.31666666666666665</v>
      </c>
      <c r="AM589" s="29">
        <f t="shared" si="150"/>
        <v>508.79999999999995</v>
      </c>
      <c r="AN589" s="29">
        <f t="shared" si="151"/>
        <v>1.4150943396226416</v>
      </c>
      <c r="AO589" s="29">
        <f t="shared" si="152"/>
        <v>1.4285714285714286</v>
      </c>
      <c r="AP589" s="31">
        <f t="shared" si="153"/>
        <v>0.99056603773584917</v>
      </c>
      <c r="AQ589" s="31">
        <f t="shared" si="154"/>
        <v>0.93333333333333335</v>
      </c>
      <c r="AR589" s="31">
        <f t="shared" si="155"/>
        <v>0.89124668435013299</v>
      </c>
      <c r="AS589" s="29">
        <f t="shared" si="156"/>
        <v>23.039680555555556</v>
      </c>
      <c r="AT589" s="29">
        <f t="shared" si="157"/>
        <v>7.0110856481481534</v>
      </c>
      <c r="AU589" s="27" t="str">
        <f t="shared" si="158"/>
        <v>Low</v>
      </c>
      <c r="AV589" s="27" t="str">
        <f t="shared" si="159"/>
        <v>Normal</v>
      </c>
      <c r="AW589" s="27"/>
    </row>
    <row r="590" spans="1:49" x14ac:dyDescent="0.25">
      <c r="A590" s="27">
        <v>589</v>
      </c>
      <c r="B590" s="28">
        <v>46151</v>
      </c>
      <c r="C590" s="28" t="str">
        <f t="shared" si="144"/>
        <v>May</v>
      </c>
      <c r="D590" s="27" t="s">
        <v>47</v>
      </c>
      <c r="E590" s="27" t="s">
        <v>61</v>
      </c>
      <c r="F590" s="27" t="s">
        <v>88</v>
      </c>
      <c r="G590" s="27" t="s">
        <v>50</v>
      </c>
      <c r="H590" s="27" t="s">
        <v>79</v>
      </c>
      <c r="I590" s="27" t="s">
        <v>713</v>
      </c>
      <c r="J590" s="27" t="s">
        <v>153</v>
      </c>
      <c r="K590" s="27">
        <v>743</v>
      </c>
      <c r="L590" s="27">
        <v>842</v>
      </c>
      <c r="M590" s="27">
        <v>811</v>
      </c>
      <c r="N590" s="27">
        <v>31</v>
      </c>
      <c r="O590" s="27">
        <v>11</v>
      </c>
      <c r="P590" s="27">
        <v>0</v>
      </c>
      <c r="Q590" s="27" t="s">
        <v>60</v>
      </c>
      <c r="R590" s="27">
        <v>49</v>
      </c>
      <c r="S590" s="27">
        <v>49</v>
      </c>
      <c r="T590" s="29">
        <v>75.099999999999994</v>
      </c>
      <c r="U590" s="29">
        <v>2.2999999999999998</v>
      </c>
      <c r="V590" s="29">
        <v>24.31</v>
      </c>
      <c r="W590" s="30">
        <v>17413.830000000002</v>
      </c>
      <c r="X590" s="27">
        <v>9.8800000000000008</v>
      </c>
      <c r="Y590" s="27" t="s">
        <v>110</v>
      </c>
      <c r="Z590" s="29">
        <v>31</v>
      </c>
      <c r="AA590" s="30">
        <v>31146.26</v>
      </c>
      <c r="AB590" s="29">
        <v>0.96318289786223299</v>
      </c>
      <c r="AC590" s="30">
        <v>22078.62</v>
      </c>
      <c r="AD590" s="30">
        <v>227.49659144893101</v>
      </c>
      <c r="AE590" s="27">
        <v>606.78333333333296</v>
      </c>
      <c r="AF590" s="29">
        <v>1</v>
      </c>
      <c r="AG590" s="30">
        <v>8840.14340855107</v>
      </c>
      <c r="AH590" s="31">
        <f t="shared" si="145"/>
        <v>1.133243606998654</v>
      </c>
      <c r="AI590" s="31">
        <f t="shared" si="146"/>
        <v>3.6817102137767219E-2</v>
      </c>
      <c r="AJ590" s="31">
        <f t="shared" si="147"/>
        <v>1.3064133016627079E-2</v>
      </c>
      <c r="AK590" s="31">
        <f t="shared" si="148"/>
        <v>0.96318289786223277</v>
      </c>
      <c r="AL590" s="29">
        <f t="shared" si="149"/>
        <v>0</v>
      </c>
      <c r="AM590" s="29">
        <f t="shared" si="150"/>
        <v>606.78333333333296</v>
      </c>
      <c r="AN590" s="29">
        <f t="shared" si="151"/>
        <v>1.3876452330595772</v>
      </c>
      <c r="AO590" s="29">
        <f t="shared" si="152"/>
        <v>1.2244897959183674</v>
      </c>
      <c r="AP590" s="31">
        <f t="shared" si="153"/>
        <v>1.1332436069986547</v>
      </c>
      <c r="AQ590" s="31">
        <f t="shared" si="154"/>
        <v>0.96318289786223277</v>
      </c>
      <c r="AR590" s="31">
        <f t="shared" si="155"/>
        <v>1.0915208613728133</v>
      </c>
      <c r="AS590" s="29">
        <f t="shared" si="156"/>
        <v>26.221638954869359</v>
      </c>
      <c r="AT590" s="29">
        <f t="shared" si="157"/>
        <v>10.498982670488207</v>
      </c>
      <c r="AU590" s="27" t="str">
        <f t="shared" si="158"/>
        <v>Medium</v>
      </c>
      <c r="AV590" s="27" t="str">
        <f t="shared" si="159"/>
        <v>Normal</v>
      </c>
      <c r="AW590" s="27"/>
    </row>
    <row r="591" spans="1:49" x14ac:dyDescent="0.25">
      <c r="A591" s="27">
        <v>590</v>
      </c>
      <c r="B591" s="28">
        <v>46124</v>
      </c>
      <c r="C591" s="28" t="str">
        <f t="shared" si="144"/>
        <v>April</v>
      </c>
      <c r="D591" s="27" t="s">
        <v>67</v>
      </c>
      <c r="E591" s="27" t="s">
        <v>76</v>
      </c>
      <c r="F591" s="27" t="s">
        <v>119</v>
      </c>
      <c r="G591" s="27" t="s">
        <v>78</v>
      </c>
      <c r="H591" s="27" t="s">
        <v>68</v>
      </c>
      <c r="I591" s="27" t="s">
        <v>714</v>
      </c>
      <c r="J591" s="27" t="s">
        <v>170</v>
      </c>
      <c r="K591" s="27">
        <v>651</v>
      </c>
      <c r="L591" s="27">
        <v>529</v>
      </c>
      <c r="M591" s="27">
        <v>467</v>
      </c>
      <c r="N591" s="27">
        <v>62</v>
      </c>
      <c r="O591" s="27">
        <v>14</v>
      </c>
      <c r="P591" s="27">
        <v>20</v>
      </c>
      <c r="Q591" s="27" t="s">
        <v>94</v>
      </c>
      <c r="R591" s="27">
        <v>64</v>
      </c>
      <c r="S591" s="27">
        <v>70</v>
      </c>
      <c r="T591" s="29">
        <v>66.099999999999994</v>
      </c>
      <c r="U591" s="29">
        <v>2.13</v>
      </c>
      <c r="V591" s="29">
        <v>19.93</v>
      </c>
      <c r="W591" s="30">
        <v>16002.36</v>
      </c>
      <c r="X591" s="27">
        <v>7.47</v>
      </c>
      <c r="Y591" s="27" t="s">
        <v>66</v>
      </c>
      <c r="Z591" s="29">
        <v>29</v>
      </c>
      <c r="AA591" s="30">
        <v>24103.25</v>
      </c>
      <c r="AB591" s="29">
        <v>0.88279773156899799</v>
      </c>
      <c r="AC591" s="30">
        <v>19543.23</v>
      </c>
      <c r="AD591" s="30">
        <v>423.50291115311899</v>
      </c>
      <c r="AE591" s="27">
        <v>694.4</v>
      </c>
      <c r="AF591" s="29">
        <v>0.97119815668202802</v>
      </c>
      <c r="AG591" s="30">
        <v>4136.5170888468801</v>
      </c>
      <c r="AH591" s="31">
        <f t="shared" si="145"/>
        <v>0.8125960061443932</v>
      </c>
      <c r="AI591" s="31">
        <f t="shared" si="146"/>
        <v>0.11720226843100189</v>
      </c>
      <c r="AJ591" s="31">
        <f t="shared" si="147"/>
        <v>2.6465028355387523E-2</v>
      </c>
      <c r="AK591" s="31">
        <f t="shared" si="148"/>
        <v>0.8827977315689981</v>
      </c>
      <c r="AL591" s="29">
        <f t="shared" si="149"/>
        <v>0.33333333333333331</v>
      </c>
      <c r="AM591" s="29">
        <f t="shared" si="150"/>
        <v>674.4</v>
      </c>
      <c r="AN591" s="29">
        <f t="shared" si="151"/>
        <v>0.78440094899169632</v>
      </c>
      <c r="AO591" s="29">
        <f t="shared" si="152"/>
        <v>0.9375</v>
      </c>
      <c r="AP591" s="31">
        <f t="shared" si="153"/>
        <v>0.83669434559114275</v>
      </c>
      <c r="AQ591" s="31">
        <f t="shared" si="154"/>
        <v>0.8827977315689981</v>
      </c>
      <c r="AR591" s="31">
        <f t="shared" si="155"/>
        <v>0.7173579109062983</v>
      </c>
      <c r="AS591" s="29">
        <f t="shared" si="156"/>
        <v>36.943724007561435</v>
      </c>
      <c r="AT591" s="29">
        <f t="shared" si="157"/>
        <v>7.8195030034912669</v>
      </c>
      <c r="AU591" s="27" t="str">
        <f t="shared" si="158"/>
        <v>High</v>
      </c>
      <c r="AV591" s="27" t="str">
        <f t="shared" si="159"/>
        <v>Critical</v>
      </c>
      <c r="AW591" s="27"/>
    </row>
    <row r="592" spans="1:49" x14ac:dyDescent="0.25">
      <c r="A592" s="27">
        <v>591</v>
      </c>
      <c r="B592" s="28">
        <v>46118</v>
      </c>
      <c r="C592" s="28" t="str">
        <f t="shared" si="144"/>
        <v>April</v>
      </c>
      <c r="D592" s="27" t="s">
        <v>47</v>
      </c>
      <c r="E592" s="27" t="s">
        <v>129</v>
      </c>
      <c r="F592" s="27" t="s">
        <v>151</v>
      </c>
      <c r="G592" s="27" t="s">
        <v>50</v>
      </c>
      <c r="H592" s="27" t="s">
        <v>51</v>
      </c>
      <c r="I592" s="27" t="s">
        <v>715</v>
      </c>
      <c r="J592" s="27" t="s">
        <v>74</v>
      </c>
      <c r="K592" s="27">
        <v>795</v>
      </c>
      <c r="L592" s="27">
        <v>741</v>
      </c>
      <c r="M592" s="27">
        <v>703</v>
      </c>
      <c r="N592" s="27">
        <v>38</v>
      </c>
      <c r="O592" s="27">
        <v>10</v>
      </c>
      <c r="P592" s="27">
        <v>7</v>
      </c>
      <c r="Q592" s="27" t="s">
        <v>54</v>
      </c>
      <c r="R592" s="27">
        <v>42</v>
      </c>
      <c r="S592" s="27">
        <v>45</v>
      </c>
      <c r="T592" s="29">
        <v>73.7</v>
      </c>
      <c r="U592" s="29">
        <v>2.86</v>
      </c>
      <c r="V592" s="29">
        <v>27.96</v>
      </c>
      <c r="W592" s="30">
        <v>13222.71</v>
      </c>
      <c r="X592" s="27">
        <v>7.11</v>
      </c>
      <c r="Y592" s="27" t="s">
        <v>71</v>
      </c>
      <c r="Z592" s="29">
        <v>6</v>
      </c>
      <c r="AA592" s="30">
        <v>22152.31</v>
      </c>
      <c r="AB592" s="29">
        <v>0.94871794871794901</v>
      </c>
      <c r="AC592" s="30">
        <v>16673.849999999999</v>
      </c>
      <c r="AD592" s="30">
        <v>178.444129554656</v>
      </c>
      <c r="AE592" s="27">
        <v>556.5</v>
      </c>
      <c r="AF592" s="29">
        <v>0.98742138364779897</v>
      </c>
      <c r="AG592" s="30">
        <v>5300.0158704453497</v>
      </c>
      <c r="AH592" s="31">
        <f t="shared" si="145"/>
        <v>0.93207547169811322</v>
      </c>
      <c r="AI592" s="31">
        <f t="shared" si="146"/>
        <v>5.128205128205128E-2</v>
      </c>
      <c r="AJ592" s="31">
        <f t="shared" si="147"/>
        <v>1.3495276653171391E-2</v>
      </c>
      <c r="AK592" s="31">
        <f t="shared" si="148"/>
        <v>0.94871794871794868</v>
      </c>
      <c r="AL592" s="29">
        <f t="shared" si="149"/>
        <v>0.11666666666666667</v>
      </c>
      <c r="AM592" s="29">
        <f t="shared" si="150"/>
        <v>549.5</v>
      </c>
      <c r="AN592" s="29">
        <f t="shared" si="151"/>
        <v>1.348498635122839</v>
      </c>
      <c r="AO592" s="29">
        <f t="shared" si="152"/>
        <v>1.4285714285714286</v>
      </c>
      <c r="AP592" s="31">
        <f t="shared" si="153"/>
        <v>0.94394904458598727</v>
      </c>
      <c r="AQ592" s="31">
        <f t="shared" si="154"/>
        <v>0.94871794871794868</v>
      </c>
      <c r="AR592" s="31">
        <f t="shared" si="155"/>
        <v>0.88427672955974856</v>
      </c>
      <c r="AS592" s="29">
        <f t="shared" si="156"/>
        <v>22.501821862348176</v>
      </c>
      <c r="AT592" s="29">
        <f t="shared" si="157"/>
        <v>7.1525180437858973</v>
      </c>
      <c r="AU592" s="27" t="str">
        <f t="shared" si="158"/>
        <v>High</v>
      </c>
      <c r="AV592" s="27" t="str">
        <f t="shared" si="159"/>
        <v>Normal</v>
      </c>
      <c r="AW592" s="27"/>
    </row>
    <row r="593" spans="1:49" x14ac:dyDescent="0.25">
      <c r="A593" s="27">
        <v>592</v>
      </c>
      <c r="B593" s="28">
        <v>46060</v>
      </c>
      <c r="C593" s="28" t="str">
        <f t="shared" si="144"/>
        <v>February</v>
      </c>
      <c r="D593" s="27" t="s">
        <v>47</v>
      </c>
      <c r="E593" s="27" t="s">
        <v>129</v>
      </c>
      <c r="F593" s="27" t="s">
        <v>151</v>
      </c>
      <c r="G593" s="27" t="s">
        <v>50</v>
      </c>
      <c r="H593" s="27" t="s">
        <v>79</v>
      </c>
      <c r="I593" s="27" t="s">
        <v>716</v>
      </c>
      <c r="J593" s="27" t="s">
        <v>90</v>
      </c>
      <c r="K593" s="27">
        <v>841</v>
      </c>
      <c r="L593" s="27">
        <v>790</v>
      </c>
      <c r="M593" s="27">
        <v>753</v>
      </c>
      <c r="N593" s="27">
        <v>37</v>
      </c>
      <c r="O593" s="27">
        <v>10</v>
      </c>
      <c r="P593" s="27">
        <v>13</v>
      </c>
      <c r="Q593" s="27" t="s">
        <v>94</v>
      </c>
      <c r="R593" s="27">
        <v>49</v>
      </c>
      <c r="S593" s="27">
        <v>47</v>
      </c>
      <c r="T593" s="29">
        <v>81.599999999999994</v>
      </c>
      <c r="U593" s="29">
        <v>1.97</v>
      </c>
      <c r="V593" s="29">
        <v>26.03</v>
      </c>
      <c r="W593" s="30">
        <v>16360.26</v>
      </c>
      <c r="X593" s="27">
        <v>7.08</v>
      </c>
      <c r="Y593" s="27" t="s">
        <v>66</v>
      </c>
      <c r="Z593" s="29">
        <v>8</v>
      </c>
      <c r="AA593" s="30">
        <v>28719.74</v>
      </c>
      <c r="AB593" s="29">
        <v>0.95316455696202496</v>
      </c>
      <c r="AC593" s="30">
        <v>19780.53</v>
      </c>
      <c r="AD593" s="30">
        <v>207.09189873417699</v>
      </c>
      <c r="AE593" s="27">
        <v>686.81666666666695</v>
      </c>
      <c r="AF593" s="29">
        <v>0.981072095901381</v>
      </c>
      <c r="AG593" s="30">
        <v>8732.1181012658199</v>
      </c>
      <c r="AH593" s="31">
        <f t="shared" si="145"/>
        <v>0.93935790725326995</v>
      </c>
      <c r="AI593" s="31">
        <f t="shared" si="146"/>
        <v>4.6835443037974683E-2</v>
      </c>
      <c r="AJ593" s="31">
        <f t="shared" si="147"/>
        <v>1.2658227848101266E-2</v>
      </c>
      <c r="AK593" s="31">
        <f t="shared" si="148"/>
        <v>0.95316455696202529</v>
      </c>
      <c r="AL593" s="29">
        <f t="shared" si="149"/>
        <v>0.21666666666666667</v>
      </c>
      <c r="AM593" s="29">
        <f t="shared" si="150"/>
        <v>673.81666666666695</v>
      </c>
      <c r="AN593" s="29">
        <f t="shared" si="151"/>
        <v>1.1724257340028192</v>
      </c>
      <c r="AO593" s="29">
        <f t="shared" si="152"/>
        <v>1.2244897959183674</v>
      </c>
      <c r="AP593" s="31">
        <f t="shared" si="153"/>
        <v>0.95748101610230241</v>
      </c>
      <c r="AQ593" s="31">
        <f t="shared" si="154"/>
        <v>0.95316455696202529</v>
      </c>
      <c r="AR593" s="31">
        <f t="shared" si="155"/>
        <v>0.89536266349583804</v>
      </c>
      <c r="AS593" s="29">
        <f t="shared" si="156"/>
        <v>25.03864556962025</v>
      </c>
      <c r="AT593" s="29">
        <f t="shared" si="157"/>
        <v>11.053314052235216</v>
      </c>
      <c r="AU593" s="27" t="str">
        <f t="shared" si="158"/>
        <v>Medium</v>
      </c>
      <c r="AV593" s="27" t="str">
        <f t="shared" si="159"/>
        <v>Warning</v>
      </c>
      <c r="AW593" s="27"/>
    </row>
    <row r="594" spans="1:49" x14ac:dyDescent="0.25">
      <c r="A594" s="27">
        <v>593</v>
      </c>
      <c r="B594" s="28">
        <v>46038</v>
      </c>
      <c r="C594" s="28" t="str">
        <f t="shared" si="144"/>
        <v>January</v>
      </c>
      <c r="D594" s="27" t="s">
        <v>47</v>
      </c>
      <c r="E594" s="27" t="s">
        <v>76</v>
      </c>
      <c r="F594" s="27" t="s">
        <v>77</v>
      </c>
      <c r="G594" s="27" t="s">
        <v>63</v>
      </c>
      <c r="H594" s="27" t="s">
        <v>79</v>
      </c>
      <c r="I594" s="27" t="s">
        <v>717</v>
      </c>
      <c r="J594" s="27" t="s">
        <v>218</v>
      </c>
      <c r="K594" s="27">
        <v>826</v>
      </c>
      <c r="L594" s="27">
        <v>782</v>
      </c>
      <c r="M594" s="27">
        <v>733</v>
      </c>
      <c r="N594" s="27">
        <v>49</v>
      </c>
      <c r="O594" s="27">
        <v>15</v>
      </c>
      <c r="P594" s="27">
        <v>13</v>
      </c>
      <c r="Q594" s="27" t="s">
        <v>75</v>
      </c>
      <c r="R594" s="27">
        <v>49</v>
      </c>
      <c r="S594" s="27">
        <v>50</v>
      </c>
      <c r="T594" s="29">
        <v>65.7</v>
      </c>
      <c r="U594" s="29">
        <v>2.65</v>
      </c>
      <c r="V594" s="29">
        <v>29.41</v>
      </c>
      <c r="W594" s="30">
        <v>17717.93</v>
      </c>
      <c r="X594" s="27">
        <v>8.4</v>
      </c>
      <c r="Y594" s="27" t="s">
        <v>71</v>
      </c>
      <c r="Z594" s="29">
        <v>15</v>
      </c>
      <c r="AA594" s="30">
        <v>27274.63</v>
      </c>
      <c r="AB594" s="29">
        <v>0.93734015345268495</v>
      </c>
      <c r="AC594" s="30">
        <v>21762.62</v>
      </c>
      <c r="AD594" s="30">
        <v>339.85799232736599</v>
      </c>
      <c r="AE594" s="27">
        <v>674.56666666666695</v>
      </c>
      <c r="AF594" s="29">
        <v>0.98072836882937198</v>
      </c>
      <c r="AG594" s="30">
        <v>5172.1520076726401</v>
      </c>
      <c r="AH594" s="31">
        <f t="shared" si="145"/>
        <v>0.94673123486682809</v>
      </c>
      <c r="AI594" s="31">
        <f t="shared" si="146"/>
        <v>6.2659846547314574E-2</v>
      </c>
      <c r="AJ594" s="31">
        <f t="shared" si="147"/>
        <v>1.9181585677749361E-2</v>
      </c>
      <c r="AK594" s="31">
        <f t="shared" si="148"/>
        <v>0.9373401534526854</v>
      </c>
      <c r="AL594" s="29">
        <f t="shared" si="149"/>
        <v>0.21666666666666667</v>
      </c>
      <c r="AM594" s="29">
        <f t="shared" si="150"/>
        <v>661.56666666666695</v>
      </c>
      <c r="AN594" s="29">
        <f t="shared" si="151"/>
        <v>1.1820426260895849</v>
      </c>
      <c r="AO594" s="29">
        <f t="shared" si="152"/>
        <v>1.2244897959183674</v>
      </c>
      <c r="AP594" s="31">
        <f t="shared" si="153"/>
        <v>0.96533481130649434</v>
      </c>
      <c r="AQ594" s="31">
        <f t="shared" si="154"/>
        <v>0.9373401534526854</v>
      </c>
      <c r="AR594" s="31">
        <f t="shared" si="155"/>
        <v>0.88740920096852272</v>
      </c>
      <c r="AS594" s="29">
        <f t="shared" si="156"/>
        <v>27.829437340153451</v>
      </c>
      <c r="AT594" s="29">
        <f t="shared" si="157"/>
        <v>6.6140051249010741</v>
      </c>
      <c r="AU594" s="27" t="str">
        <f t="shared" si="158"/>
        <v>High</v>
      </c>
      <c r="AV594" s="27" t="str">
        <f t="shared" si="159"/>
        <v>Normal</v>
      </c>
      <c r="AW594" s="27"/>
    </row>
    <row r="595" spans="1:49" x14ac:dyDescent="0.25">
      <c r="A595" s="27">
        <v>594</v>
      </c>
      <c r="B595" s="28">
        <v>46119</v>
      </c>
      <c r="C595" s="28" t="str">
        <f t="shared" si="144"/>
        <v>April</v>
      </c>
      <c r="D595" s="27" t="s">
        <v>67</v>
      </c>
      <c r="E595" s="27" t="s">
        <v>61</v>
      </c>
      <c r="F595" s="27" t="s">
        <v>95</v>
      </c>
      <c r="G595" s="27" t="s">
        <v>63</v>
      </c>
      <c r="H595" s="27" t="s">
        <v>79</v>
      </c>
      <c r="I595" s="27" t="s">
        <v>718</v>
      </c>
      <c r="J595" s="27" t="s">
        <v>101</v>
      </c>
      <c r="K595" s="27">
        <v>720</v>
      </c>
      <c r="L595" s="27">
        <v>701</v>
      </c>
      <c r="M595" s="27">
        <v>662</v>
      </c>
      <c r="N595" s="27">
        <v>39</v>
      </c>
      <c r="O595" s="27">
        <v>11</v>
      </c>
      <c r="P595" s="27">
        <v>9</v>
      </c>
      <c r="Q595" s="27" t="s">
        <v>54</v>
      </c>
      <c r="R595" s="27">
        <v>49</v>
      </c>
      <c r="S595" s="27">
        <v>49</v>
      </c>
      <c r="T595" s="29">
        <v>75.099999999999994</v>
      </c>
      <c r="U595" s="29">
        <v>1.99</v>
      </c>
      <c r="V595" s="29">
        <v>27.52</v>
      </c>
      <c r="W595" s="30">
        <v>15509.08</v>
      </c>
      <c r="X595" s="27">
        <v>7.83</v>
      </c>
      <c r="Y595" s="27" t="s">
        <v>110</v>
      </c>
      <c r="Z595" s="29">
        <v>10</v>
      </c>
      <c r="AA595" s="30">
        <v>24402.18</v>
      </c>
      <c r="AB595" s="29">
        <v>0.944365192582026</v>
      </c>
      <c r="AC595" s="30">
        <v>19280.259999999998</v>
      </c>
      <c r="AD595" s="30">
        <v>243.36644793152601</v>
      </c>
      <c r="AE595" s="27">
        <v>588</v>
      </c>
      <c r="AF595" s="29">
        <v>0.98469387755102</v>
      </c>
      <c r="AG595" s="30">
        <v>4878.5535520684698</v>
      </c>
      <c r="AH595" s="31">
        <f t="shared" si="145"/>
        <v>0.97361111111111109</v>
      </c>
      <c r="AI595" s="31">
        <f t="shared" si="146"/>
        <v>5.5634807417974323E-2</v>
      </c>
      <c r="AJ595" s="31">
        <f t="shared" si="147"/>
        <v>1.5691868758915834E-2</v>
      </c>
      <c r="AK595" s="31">
        <f t="shared" si="148"/>
        <v>0.94436519258202567</v>
      </c>
      <c r="AL595" s="29">
        <f t="shared" si="149"/>
        <v>0.15</v>
      </c>
      <c r="AM595" s="29">
        <f t="shared" si="150"/>
        <v>579</v>
      </c>
      <c r="AN595" s="29">
        <f t="shared" si="151"/>
        <v>1.2107081174438687</v>
      </c>
      <c r="AO595" s="29">
        <f t="shared" si="152"/>
        <v>1.2244897959183674</v>
      </c>
      <c r="AP595" s="31">
        <f t="shared" si="153"/>
        <v>0.98874496257915945</v>
      </c>
      <c r="AQ595" s="31">
        <f t="shared" si="154"/>
        <v>0.94436519258202567</v>
      </c>
      <c r="AR595" s="31">
        <f t="shared" si="155"/>
        <v>0.91944444444444395</v>
      </c>
      <c r="AS595" s="29">
        <f t="shared" si="156"/>
        <v>27.503937232524962</v>
      </c>
      <c r="AT595" s="29">
        <f t="shared" si="157"/>
        <v>6.9594201884000997</v>
      </c>
      <c r="AU595" s="27" t="str">
        <f t="shared" si="158"/>
        <v>Medium</v>
      </c>
      <c r="AV595" s="27" t="str">
        <f t="shared" si="159"/>
        <v>Normal</v>
      </c>
      <c r="AW595" s="27"/>
    </row>
    <row r="596" spans="1:49" x14ac:dyDescent="0.25">
      <c r="A596" s="27">
        <v>595</v>
      </c>
      <c r="B596" s="28">
        <v>46039</v>
      </c>
      <c r="C596" s="28" t="str">
        <f t="shared" si="144"/>
        <v>January</v>
      </c>
      <c r="D596" s="27" t="s">
        <v>47</v>
      </c>
      <c r="E596" s="27" t="s">
        <v>48</v>
      </c>
      <c r="F596" s="27" t="s">
        <v>56</v>
      </c>
      <c r="G596" s="27" t="s">
        <v>63</v>
      </c>
      <c r="H596" s="27" t="s">
        <v>57</v>
      </c>
      <c r="I596" s="27" t="s">
        <v>719</v>
      </c>
      <c r="J596" s="27" t="s">
        <v>286</v>
      </c>
      <c r="K596" s="27">
        <v>919</v>
      </c>
      <c r="L596" s="27">
        <v>922</v>
      </c>
      <c r="M596" s="27">
        <v>872</v>
      </c>
      <c r="N596" s="27">
        <v>50</v>
      </c>
      <c r="O596" s="27">
        <v>20</v>
      </c>
      <c r="P596" s="27">
        <v>44</v>
      </c>
      <c r="Q596" s="27" t="s">
        <v>54</v>
      </c>
      <c r="R596" s="27">
        <v>45</v>
      </c>
      <c r="S596" s="27">
        <v>47</v>
      </c>
      <c r="T596" s="29">
        <v>67.8</v>
      </c>
      <c r="U596" s="29">
        <v>2.0099999999999998</v>
      </c>
      <c r="V596" s="29">
        <v>35.24</v>
      </c>
      <c r="W596" s="30">
        <v>19811.259999999998</v>
      </c>
      <c r="X596" s="27">
        <v>9.68</v>
      </c>
      <c r="Y596" s="27" t="s">
        <v>110</v>
      </c>
      <c r="Z596" s="29">
        <v>33</v>
      </c>
      <c r="AA596" s="30">
        <v>30202.35</v>
      </c>
      <c r="AB596" s="29">
        <v>0.94577006507592198</v>
      </c>
      <c r="AC596" s="30">
        <v>24484.42</v>
      </c>
      <c r="AD596" s="30">
        <v>429.74533622559699</v>
      </c>
      <c r="AE596" s="27">
        <v>689.25</v>
      </c>
      <c r="AF596" s="29">
        <v>0.93616249546608599</v>
      </c>
      <c r="AG596" s="30">
        <v>5288.1846637744002</v>
      </c>
      <c r="AH596" s="31">
        <f t="shared" si="145"/>
        <v>1.0032644178454841</v>
      </c>
      <c r="AI596" s="31">
        <f t="shared" si="146"/>
        <v>5.4229934924078092E-2</v>
      </c>
      <c r="AJ596" s="31">
        <f t="shared" si="147"/>
        <v>2.1691973969631236E-2</v>
      </c>
      <c r="AK596" s="31">
        <f t="shared" si="148"/>
        <v>0.94577006507592187</v>
      </c>
      <c r="AL596" s="29">
        <f t="shared" si="149"/>
        <v>0.73333333333333328</v>
      </c>
      <c r="AM596" s="29">
        <f t="shared" si="150"/>
        <v>645.25</v>
      </c>
      <c r="AN596" s="29">
        <f t="shared" si="151"/>
        <v>1.4289035257652072</v>
      </c>
      <c r="AO596" s="29">
        <f t="shared" si="152"/>
        <v>1.3333333333333333</v>
      </c>
      <c r="AP596" s="31">
        <f t="shared" si="153"/>
        <v>1.0716776443239056</v>
      </c>
      <c r="AQ596" s="31">
        <f t="shared" si="154"/>
        <v>0.94577006507592187</v>
      </c>
      <c r="AR596" s="31">
        <f t="shared" si="155"/>
        <v>0.94885745375408026</v>
      </c>
      <c r="AS596" s="29">
        <f t="shared" si="156"/>
        <v>26.555770065075919</v>
      </c>
      <c r="AT596" s="29">
        <f t="shared" si="157"/>
        <v>5.7355582036598705</v>
      </c>
      <c r="AU596" s="27" t="str">
        <f t="shared" si="158"/>
        <v>Medium</v>
      </c>
      <c r="AV596" s="27" t="str">
        <f t="shared" si="159"/>
        <v>Normal</v>
      </c>
      <c r="AW596" s="27"/>
    </row>
    <row r="597" spans="1:49" x14ac:dyDescent="0.25">
      <c r="A597" s="27">
        <v>596</v>
      </c>
      <c r="B597" s="28">
        <v>46062</v>
      </c>
      <c r="C597" s="28" t="str">
        <f t="shared" si="144"/>
        <v>February</v>
      </c>
      <c r="D597" s="27" t="s">
        <v>67</v>
      </c>
      <c r="E597" s="27" t="s">
        <v>76</v>
      </c>
      <c r="F597" s="27" t="s">
        <v>77</v>
      </c>
      <c r="G597" s="27" t="s">
        <v>50</v>
      </c>
      <c r="H597" s="27" t="s">
        <v>51</v>
      </c>
      <c r="I597" s="27" t="s">
        <v>720</v>
      </c>
      <c r="J597" s="27" t="s">
        <v>84</v>
      </c>
      <c r="K597" s="27">
        <v>859</v>
      </c>
      <c r="L597" s="27">
        <v>850</v>
      </c>
      <c r="M597" s="27">
        <v>798</v>
      </c>
      <c r="N597" s="27">
        <v>52</v>
      </c>
      <c r="O597" s="27">
        <v>20</v>
      </c>
      <c r="P597" s="27">
        <v>0</v>
      </c>
      <c r="Q597" s="27" t="s">
        <v>60</v>
      </c>
      <c r="R597" s="27">
        <v>42</v>
      </c>
      <c r="S597" s="27">
        <v>45</v>
      </c>
      <c r="T597" s="29">
        <v>61.8</v>
      </c>
      <c r="U597" s="29">
        <v>2.72</v>
      </c>
      <c r="V597" s="29">
        <v>24.98</v>
      </c>
      <c r="W597" s="30">
        <v>15203.48</v>
      </c>
      <c r="X597" s="27">
        <v>9.68</v>
      </c>
      <c r="Y597" s="27" t="s">
        <v>110</v>
      </c>
      <c r="Z597" s="29">
        <v>12</v>
      </c>
      <c r="AA597" s="30">
        <v>25151.03</v>
      </c>
      <c r="AB597" s="29">
        <v>0.93882352941176495</v>
      </c>
      <c r="AC597" s="30">
        <v>19784.3</v>
      </c>
      <c r="AD597" s="30">
        <v>357.72894117647098</v>
      </c>
      <c r="AE597" s="27">
        <v>601.29999999999995</v>
      </c>
      <c r="AF597" s="29">
        <v>1</v>
      </c>
      <c r="AG597" s="30">
        <v>5009.00105882353</v>
      </c>
      <c r="AH597" s="31">
        <f t="shared" si="145"/>
        <v>0.98952270081490101</v>
      </c>
      <c r="AI597" s="31">
        <f t="shared" si="146"/>
        <v>6.1176470588235297E-2</v>
      </c>
      <c r="AJ597" s="31">
        <f t="shared" si="147"/>
        <v>2.3529411764705882E-2</v>
      </c>
      <c r="AK597" s="31">
        <f t="shared" si="148"/>
        <v>0.93882352941176472</v>
      </c>
      <c r="AL597" s="29">
        <f t="shared" si="149"/>
        <v>0</v>
      </c>
      <c r="AM597" s="29">
        <f t="shared" si="150"/>
        <v>601.29999999999995</v>
      </c>
      <c r="AN597" s="29">
        <f t="shared" si="151"/>
        <v>1.4136038583070016</v>
      </c>
      <c r="AO597" s="29">
        <f t="shared" si="152"/>
        <v>1.4285714285714286</v>
      </c>
      <c r="AP597" s="31">
        <f t="shared" si="153"/>
        <v>0.98952270081490112</v>
      </c>
      <c r="AQ597" s="31">
        <f t="shared" si="154"/>
        <v>0.93882352941176472</v>
      </c>
      <c r="AR597" s="31">
        <f t="shared" si="155"/>
        <v>0.9289871944121072</v>
      </c>
      <c r="AS597" s="29">
        <f t="shared" si="156"/>
        <v>23.27564705882353</v>
      </c>
      <c r="AT597" s="29">
        <f t="shared" si="157"/>
        <v>5.892942422145329</v>
      </c>
      <c r="AU597" s="27" t="str">
        <f t="shared" si="158"/>
        <v>Medium</v>
      </c>
      <c r="AV597" s="27" t="str">
        <f t="shared" si="159"/>
        <v>Normal</v>
      </c>
      <c r="AW597" s="27"/>
    </row>
    <row r="598" spans="1:49" x14ac:dyDescent="0.25">
      <c r="A598" s="27">
        <v>597</v>
      </c>
      <c r="B598" s="28">
        <v>46062</v>
      </c>
      <c r="C598" s="28" t="str">
        <f t="shared" si="144"/>
        <v>February</v>
      </c>
      <c r="D598" s="27" t="s">
        <v>47</v>
      </c>
      <c r="E598" s="27" t="s">
        <v>76</v>
      </c>
      <c r="F598" s="27" t="s">
        <v>113</v>
      </c>
      <c r="G598" s="27" t="s">
        <v>50</v>
      </c>
      <c r="H598" s="27" t="s">
        <v>57</v>
      </c>
      <c r="I598" s="27" t="s">
        <v>721</v>
      </c>
      <c r="J598" s="27" t="s">
        <v>107</v>
      </c>
      <c r="K598" s="27">
        <v>849</v>
      </c>
      <c r="L598" s="27">
        <v>787</v>
      </c>
      <c r="M598" s="27">
        <v>753</v>
      </c>
      <c r="N598" s="27">
        <v>34</v>
      </c>
      <c r="O598" s="27">
        <v>10</v>
      </c>
      <c r="P598" s="27">
        <v>43</v>
      </c>
      <c r="Q598" s="27" t="s">
        <v>97</v>
      </c>
      <c r="R598" s="27">
        <v>45</v>
      </c>
      <c r="S598" s="27">
        <v>47</v>
      </c>
      <c r="T598" s="29">
        <v>60.7</v>
      </c>
      <c r="U598" s="29">
        <v>2.48</v>
      </c>
      <c r="V598" s="29">
        <v>34.119999999999997</v>
      </c>
      <c r="W598" s="30">
        <v>15882.55</v>
      </c>
      <c r="X598" s="27">
        <v>7.62</v>
      </c>
      <c r="Y598" s="27" t="s">
        <v>66</v>
      </c>
      <c r="Z598" s="29">
        <v>24</v>
      </c>
      <c r="AA598" s="30">
        <v>27142.17</v>
      </c>
      <c r="AB598" s="29">
        <v>0.956797966963151</v>
      </c>
      <c r="AC598" s="30">
        <v>19618.63</v>
      </c>
      <c r="AD598" s="30">
        <v>201.81130876747099</v>
      </c>
      <c r="AE598" s="27">
        <v>636.75</v>
      </c>
      <c r="AF598" s="29">
        <v>0.93246957204554404</v>
      </c>
      <c r="AG598" s="30">
        <v>7321.7286912325299</v>
      </c>
      <c r="AH598" s="31">
        <f t="shared" si="145"/>
        <v>0.92697290930506482</v>
      </c>
      <c r="AI598" s="31">
        <f t="shared" si="146"/>
        <v>4.3202033036848796E-2</v>
      </c>
      <c r="AJ598" s="31">
        <f t="shared" si="147"/>
        <v>1.2706480304955527E-2</v>
      </c>
      <c r="AK598" s="31">
        <f t="shared" si="148"/>
        <v>0.95679796696315123</v>
      </c>
      <c r="AL598" s="29">
        <f t="shared" si="149"/>
        <v>0.71666666666666667</v>
      </c>
      <c r="AM598" s="29">
        <f t="shared" si="150"/>
        <v>593.75</v>
      </c>
      <c r="AN598" s="29">
        <f t="shared" si="151"/>
        <v>1.3254736842105264</v>
      </c>
      <c r="AO598" s="29">
        <f t="shared" si="152"/>
        <v>1.3333333333333333</v>
      </c>
      <c r="AP598" s="31">
        <f t="shared" si="153"/>
        <v>0.99410526315789483</v>
      </c>
      <c r="AQ598" s="31">
        <f t="shared" si="154"/>
        <v>0.95679796696315123</v>
      </c>
      <c r="AR598" s="31">
        <f t="shared" si="155"/>
        <v>0.88692579505300395</v>
      </c>
      <c r="AS598" s="29">
        <f t="shared" si="156"/>
        <v>24.928373570520968</v>
      </c>
      <c r="AT598" s="29">
        <f t="shared" si="157"/>
        <v>9.3033401413373955</v>
      </c>
      <c r="AU598" s="27" t="str">
        <f t="shared" si="158"/>
        <v>Low</v>
      </c>
      <c r="AV598" s="27" t="str">
        <f t="shared" si="159"/>
        <v>Normal</v>
      </c>
      <c r="AW598" s="27"/>
    </row>
    <row r="599" spans="1:49" x14ac:dyDescent="0.25">
      <c r="A599" s="27">
        <v>598</v>
      </c>
      <c r="B599" s="28">
        <v>46124</v>
      </c>
      <c r="C599" s="28" t="str">
        <f t="shared" si="144"/>
        <v>April</v>
      </c>
      <c r="D599" s="27" t="s">
        <v>47</v>
      </c>
      <c r="E599" s="27" t="s">
        <v>61</v>
      </c>
      <c r="F599" s="27" t="s">
        <v>62</v>
      </c>
      <c r="G599" s="27" t="s">
        <v>78</v>
      </c>
      <c r="H599" s="27" t="s">
        <v>79</v>
      </c>
      <c r="I599" s="27" t="s">
        <v>722</v>
      </c>
      <c r="J599" s="27" t="s">
        <v>65</v>
      </c>
      <c r="K599" s="27">
        <v>792</v>
      </c>
      <c r="L599" s="27">
        <v>717</v>
      </c>
      <c r="M599" s="27">
        <v>679</v>
      </c>
      <c r="N599" s="27">
        <v>38</v>
      </c>
      <c r="O599" s="27">
        <v>11</v>
      </c>
      <c r="P599" s="27">
        <v>13</v>
      </c>
      <c r="Q599" s="27" t="s">
        <v>54</v>
      </c>
      <c r="R599" s="27">
        <v>49</v>
      </c>
      <c r="S599" s="27">
        <v>49</v>
      </c>
      <c r="T599" s="29">
        <v>72.2</v>
      </c>
      <c r="U599" s="29">
        <v>2</v>
      </c>
      <c r="V599" s="29">
        <v>21.9</v>
      </c>
      <c r="W599" s="30">
        <v>16357.19</v>
      </c>
      <c r="X599" s="27">
        <v>8.4499999999999993</v>
      </c>
      <c r="Y599" s="27" t="s">
        <v>71</v>
      </c>
      <c r="Z599" s="29">
        <v>28</v>
      </c>
      <c r="AA599" s="30">
        <v>25031.17</v>
      </c>
      <c r="AB599" s="29">
        <v>0.947001394700139</v>
      </c>
      <c r="AC599" s="30">
        <v>20356.79</v>
      </c>
      <c r="AD599" s="30">
        <v>250.94712691771301</v>
      </c>
      <c r="AE599" s="27">
        <v>646.79999999999995</v>
      </c>
      <c r="AF599" s="29">
        <v>0.97990105132962302</v>
      </c>
      <c r="AG599" s="30">
        <v>4423.4328730822899</v>
      </c>
      <c r="AH599" s="31">
        <f t="shared" si="145"/>
        <v>0.90530303030303028</v>
      </c>
      <c r="AI599" s="31">
        <f t="shared" si="146"/>
        <v>5.2998605299860529E-2</v>
      </c>
      <c r="AJ599" s="31">
        <f t="shared" si="147"/>
        <v>1.5341701534170154E-2</v>
      </c>
      <c r="AK599" s="31">
        <f t="shared" si="148"/>
        <v>0.94700139470013944</v>
      </c>
      <c r="AL599" s="29">
        <f t="shared" si="149"/>
        <v>0.21666666666666667</v>
      </c>
      <c r="AM599" s="29">
        <f t="shared" si="150"/>
        <v>633.79999999999995</v>
      </c>
      <c r="AN599" s="29">
        <f t="shared" si="151"/>
        <v>1.1312716945408647</v>
      </c>
      <c r="AO599" s="29">
        <f t="shared" si="152"/>
        <v>1.2244897959183674</v>
      </c>
      <c r="AP599" s="31">
        <f t="shared" si="153"/>
        <v>0.92387188387503949</v>
      </c>
      <c r="AQ599" s="31">
        <f t="shared" si="154"/>
        <v>0.94700139470013944</v>
      </c>
      <c r="AR599" s="31">
        <f t="shared" si="155"/>
        <v>0.8573232323232326</v>
      </c>
      <c r="AS599" s="29">
        <f t="shared" si="156"/>
        <v>28.391617852161787</v>
      </c>
      <c r="AT599" s="29">
        <f t="shared" si="157"/>
        <v>6.169362445024114</v>
      </c>
      <c r="AU599" s="27" t="str">
        <f t="shared" si="158"/>
        <v>High</v>
      </c>
      <c r="AV599" s="27" t="str">
        <f t="shared" si="159"/>
        <v>Normal</v>
      </c>
      <c r="AW599" s="27"/>
    </row>
    <row r="600" spans="1:49" x14ac:dyDescent="0.25">
      <c r="A600" s="27">
        <v>599</v>
      </c>
      <c r="B600" s="28">
        <v>46068</v>
      </c>
      <c r="C600" s="28" t="str">
        <f t="shared" si="144"/>
        <v>February</v>
      </c>
      <c r="D600" s="27" t="s">
        <v>47</v>
      </c>
      <c r="E600" s="27" t="s">
        <v>98</v>
      </c>
      <c r="F600" s="27" t="s">
        <v>99</v>
      </c>
      <c r="G600" s="27" t="s">
        <v>78</v>
      </c>
      <c r="H600" s="27" t="s">
        <v>79</v>
      </c>
      <c r="I600" s="27" t="s">
        <v>723</v>
      </c>
      <c r="J600" s="27" t="s">
        <v>170</v>
      </c>
      <c r="K600" s="27">
        <v>664</v>
      </c>
      <c r="L600" s="27">
        <v>567</v>
      </c>
      <c r="M600" s="27">
        <v>541</v>
      </c>
      <c r="N600" s="27">
        <v>26</v>
      </c>
      <c r="O600" s="27">
        <v>7</v>
      </c>
      <c r="P600" s="27">
        <v>13</v>
      </c>
      <c r="Q600" s="27" t="s">
        <v>54</v>
      </c>
      <c r="R600" s="27">
        <v>49</v>
      </c>
      <c r="S600" s="27">
        <v>53</v>
      </c>
      <c r="T600" s="29">
        <v>71.5</v>
      </c>
      <c r="U600" s="29">
        <v>2.1800000000000002</v>
      </c>
      <c r="V600" s="29">
        <v>23.71</v>
      </c>
      <c r="W600" s="30">
        <v>12613.76</v>
      </c>
      <c r="X600" s="27">
        <v>7.88</v>
      </c>
      <c r="Y600" s="27" t="s">
        <v>66</v>
      </c>
      <c r="Z600" s="29">
        <v>32</v>
      </c>
      <c r="AA600" s="30">
        <v>20967.27</v>
      </c>
      <c r="AB600" s="29">
        <v>0.95414462081128804</v>
      </c>
      <c r="AC600" s="30">
        <v>16373.15</v>
      </c>
      <c r="AD600" s="30">
        <v>155.725432098765</v>
      </c>
      <c r="AE600" s="27">
        <v>542.26666666666699</v>
      </c>
      <c r="AF600" s="29">
        <v>0.97602655520039305</v>
      </c>
      <c r="AG600" s="30">
        <v>4438.3945679012404</v>
      </c>
      <c r="AH600" s="31">
        <f t="shared" si="145"/>
        <v>0.85391566265060237</v>
      </c>
      <c r="AI600" s="31">
        <f t="shared" si="146"/>
        <v>4.585537918871252E-2</v>
      </c>
      <c r="AJ600" s="31">
        <f t="shared" si="147"/>
        <v>1.2345679012345678E-2</v>
      </c>
      <c r="AK600" s="31">
        <f t="shared" si="148"/>
        <v>0.95414462081128748</v>
      </c>
      <c r="AL600" s="29">
        <f t="shared" si="149"/>
        <v>0.21666666666666667</v>
      </c>
      <c r="AM600" s="29">
        <f t="shared" si="150"/>
        <v>529.26666666666699</v>
      </c>
      <c r="AN600" s="29">
        <f t="shared" si="151"/>
        <v>1.0712936138052644</v>
      </c>
      <c r="AO600" s="29">
        <f t="shared" si="152"/>
        <v>1.2244897959183674</v>
      </c>
      <c r="AP600" s="31">
        <f t="shared" si="153"/>
        <v>0.87488978460763256</v>
      </c>
      <c r="AQ600" s="31">
        <f t="shared" si="154"/>
        <v>0.95414462081128748</v>
      </c>
      <c r="AR600" s="31">
        <f t="shared" si="155"/>
        <v>0.81475903614457745</v>
      </c>
      <c r="AS600" s="29">
        <f t="shared" si="156"/>
        <v>28.876807760141094</v>
      </c>
      <c r="AT600" s="29">
        <f t="shared" si="157"/>
        <v>7.8278563807782016</v>
      </c>
      <c r="AU600" s="27" t="str">
        <f t="shared" si="158"/>
        <v>Medium</v>
      </c>
      <c r="AV600" s="27" t="str">
        <f t="shared" si="159"/>
        <v>Warning</v>
      </c>
      <c r="AW600" s="27"/>
    </row>
    <row r="601" spans="1:49" x14ac:dyDescent="0.25">
      <c r="A601" s="27">
        <v>600</v>
      </c>
      <c r="B601" s="28">
        <v>46095</v>
      </c>
      <c r="C601" s="28" t="str">
        <f t="shared" si="144"/>
        <v>March</v>
      </c>
      <c r="D601" s="27" t="s">
        <v>47</v>
      </c>
      <c r="E601" s="27" t="s">
        <v>48</v>
      </c>
      <c r="F601" s="27" t="s">
        <v>56</v>
      </c>
      <c r="G601" s="27" t="s">
        <v>63</v>
      </c>
      <c r="H601" s="27" t="s">
        <v>79</v>
      </c>
      <c r="I601" s="27" t="s">
        <v>724</v>
      </c>
      <c r="J601" s="27" t="s">
        <v>81</v>
      </c>
      <c r="K601" s="27">
        <v>669</v>
      </c>
      <c r="L601" s="27">
        <v>666</v>
      </c>
      <c r="M601" s="27">
        <v>630</v>
      </c>
      <c r="N601" s="27">
        <v>36</v>
      </c>
      <c r="O601" s="27">
        <v>15</v>
      </c>
      <c r="P601" s="27">
        <v>23</v>
      </c>
      <c r="Q601" s="27" t="s">
        <v>75</v>
      </c>
      <c r="R601" s="27">
        <v>49</v>
      </c>
      <c r="S601" s="27">
        <v>49</v>
      </c>
      <c r="T601" s="29">
        <v>74.900000000000006</v>
      </c>
      <c r="U601" s="29">
        <v>2.5099999999999998</v>
      </c>
      <c r="V601" s="29">
        <v>22.71</v>
      </c>
      <c r="W601" s="30">
        <v>15205.21</v>
      </c>
      <c r="X601" s="27">
        <v>8.5399999999999991</v>
      </c>
      <c r="Y601" s="27" t="s">
        <v>110</v>
      </c>
      <c r="Z601" s="29">
        <v>16</v>
      </c>
      <c r="AA601" s="30">
        <v>24362.67</v>
      </c>
      <c r="AB601" s="29">
        <v>0.94594594594594605</v>
      </c>
      <c r="AC601" s="30">
        <v>19252.599999999999</v>
      </c>
      <c r="AD601" s="30">
        <v>342.45968468468499</v>
      </c>
      <c r="AE601" s="27">
        <v>546.35</v>
      </c>
      <c r="AF601" s="29">
        <v>0.95790244348860598</v>
      </c>
      <c r="AG601" s="30">
        <v>4767.6103153153199</v>
      </c>
      <c r="AH601" s="31">
        <f t="shared" si="145"/>
        <v>0.99551569506726456</v>
      </c>
      <c r="AI601" s="31">
        <f t="shared" si="146"/>
        <v>5.4054054054054057E-2</v>
      </c>
      <c r="AJ601" s="31">
        <f t="shared" si="147"/>
        <v>2.2522522522522521E-2</v>
      </c>
      <c r="AK601" s="31">
        <f t="shared" si="148"/>
        <v>0.94594594594594594</v>
      </c>
      <c r="AL601" s="29">
        <f t="shared" si="149"/>
        <v>0.38333333333333336</v>
      </c>
      <c r="AM601" s="29">
        <f t="shared" si="150"/>
        <v>523.35</v>
      </c>
      <c r="AN601" s="29">
        <f t="shared" si="151"/>
        <v>1.2725709372312983</v>
      </c>
      <c r="AO601" s="29">
        <f t="shared" si="152"/>
        <v>1.2244897959183674</v>
      </c>
      <c r="AP601" s="31">
        <f t="shared" si="153"/>
        <v>1.0392662654055602</v>
      </c>
      <c r="AQ601" s="31">
        <f t="shared" si="154"/>
        <v>0.94594594594594594</v>
      </c>
      <c r="AR601" s="31">
        <f t="shared" si="155"/>
        <v>0.94170403587443918</v>
      </c>
      <c r="AS601" s="29">
        <f t="shared" si="156"/>
        <v>28.907807807807806</v>
      </c>
      <c r="AT601" s="29">
        <f t="shared" si="157"/>
        <v>7.1585740470200001</v>
      </c>
      <c r="AU601" s="27" t="str">
        <f t="shared" si="158"/>
        <v>Medium</v>
      </c>
      <c r="AV601" s="27" t="str">
        <f t="shared" si="159"/>
        <v>Normal</v>
      </c>
      <c r="AW601" s="27"/>
    </row>
    <row r="602" spans="1:49" x14ac:dyDescent="0.25">
      <c r="A602" s="27">
        <v>601</v>
      </c>
      <c r="B602" s="28">
        <v>46102</v>
      </c>
      <c r="C602" s="28" t="str">
        <f t="shared" si="144"/>
        <v>March</v>
      </c>
      <c r="D602" s="27" t="s">
        <v>67</v>
      </c>
      <c r="E602" s="27" t="s">
        <v>98</v>
      </c>
      <c r="F602" s="27" t="s">
        <v>105</v>
      </c>
      <c r="G602" s="27" t="s">
        <v>63</v>
      </c>
      <c r="H602" s="27" t="s">
        <v>57</v>
      </c>
      <c r="I602" s="27" t="s">
        <v>725</v>
      </c>
      <c r="J602" s="27" t="s">
        <v>86</v>
      </c>
      <c r="K602" s="27">
        <v>720</v>
      </c>
      <c r="L602" s="27">
        <v>619</v>
      </c>
      <c r="M602" s="27">
        <v>582</v>
      </c>
      <c r="N602" s="27">
        <v>37</v>
      </c>
      <c r="O602" s="27">
        <v>11</v>
      </c>
      <c r="P602" s="27">
        <v>16</v>
      </c>
      <c r="Q602" s="27" t="s">
        <v>97</v>
      </c>
      <c r="R602" s="27">
        <v>45</v>
      </c>
      <c r="S602" s="27">
        <v>44</v>
      </c>
      <c r="T602" s="29">
        <v>68</v>
      </c>
      <c r="U602" s="29">
        <v>1.89</v>
      </c>
      <c r="V602" s="29">
        <v>21.79</v>
      </c>
      <c r="W602" s="30">
        <v>12945.73</v>
      </c>
      <c r="X602" s="27">
        <v>8.1</v>
      </c>
      <c r="Y602" s="27" t="s">
        <v>110</v>
      </c>
      <c r="Z602" s="29">
        <v>28</v>
      </c>
      <c r="AA602" s="30">
        <v>20128.669999999998</v>
      </c>
      <c r="AB602" s="29">
        <v>0.94022617124394203</v>
      </c>
      <c r="AC602" s="30">
        <v>16786.84</v>
      </c>
      <c r="AD602" s="30">
        <v>230.05336025848101</v>
      </c>
      <c r="AE602" s="27">
        <v>540</v>
      </c>
      <c r="AF602" s="29">
        <v>0.97037037037036999</v>
      </c>
      <c r="AG602" s="30">
        <v>3111.7766397415198</v>
      </c>
      <c r="AH602" s="31">
        <f t="shared" si="145"/>
        <v>0.85972222222222228</v>
      </c>
      <c r="AI602" s="31">
        <f t="shared" si="146"/>
        <v>5.9773828756058162E-2</v>
      </c>
      <c r="AJ602" s="31">
        <f t="shared" si="147"/>
        <v>1.7770597738287562E-2</v>
      </c>
      <c r="AK602" s="31">
        <f t="shared" si="148"/>
        <v>0.94022617124394181</v>
      </c>
      <c r="AL602" s="29">
        <f t="shared" si="149"/>
        <v>0.26666666666666666</v>
      </c>
      <c r="AM602" s="29">
        <f t="shared" si="150"/>
        <v>524</v>
      </c>
      <c r="AN602" s="29">
        <f t="shared" si="151"/>
        <v>1.1812977099236641</v>
      </c>
      <c r="AO602" s="29">
        <f t="shared" si="152"/>
        <v>1.3333333333333333</v>
      </c>
      <c r="AP602" s="31">
        <f t="shared" si="153"/>
        <v>0.88597328244274809</v>
      </c>
      <c r="AQ602" s="31">
        <f t="shared" si="154"/>
        <v>0.94022617124394181</v>
      </c>
      <c r="AR602" s="31">
        <f t="shared" si="155"/>
        <v>0.8083333333333329</v>
      </c>
      <c r="AS602" s="29">
        <f t="shared" si="156"/>
        <v>27.119289176090469</v>
      </c>
      <c r="AT602" s="29">
        <f t="shared" si="157"/>
        <v>5.0271028105678832</v>
      </c>
      <c r="AU602" s="27" t="str">
        <f t="shared" si="158"/>
        <v>Medium</v>
      </c>
      <c r="AV602" s="27" t="str">
        <f t="shared" si="159"/>
        <v>Warning</v>
      </c>
      <c r="AW602" s="27"/>
    </row>
    <row r="603" spans="1:49" x14ac:dyDescent="0.25">
      <c r="A603" s="27">
        <v>602</v>
      </c>
      <c r="B603" s="28">
        <v>46076</v>
      </c>
      <c r="C603" s="28" t="str">
        <f t="shared" si="144"/>
        <v>February</v>
      </c>
      <c r="D603" s="27" t="s">
        <v>67</v>
      </c>
      <c r="E603" s="27" t="s">
        <v>48</v>
      </c>
      <c r="F603" s="27" t="s">
        <v>56</v>
      </c>
      <c r="G603" s="27" t="s">
        <v>50</v>
      </c>
      <c r="H603" s="27" t="s">
        <v>51</v>
      </c>
      <c r="I603" s="27" t="s">
        <v>726</v>
      </c>
      <c r="J603" s="27" t="s">
        <v>93</v>
      </c>
      <c r="K603" s="27">
        <v>745</v>
      </c>
      <c r="L603" s="27">
        <v>661</v>
      </c>
      <c r="M603" s="27">
        <v>622</v>
      </c>
      <c r="N603" s="27">
        <v>39</v>
      </c>
      <c r="O603" s="27">
        <v>10</v>
      </c>
      <c r="P603" s="27">
        <v>31</v>
      </c>
      <c r="Q603" s="27" t="s">
        <v>54</v>
      </c>
      <c r="R603" s="27">
        <v>42</v>
      </c>
      <c r="S603" s="27">
        <v>43</v>
      </c>
      <c r="T603" s="29">
        <v>69.3</v>
      </c>
      <c r="U603" s="29">
        <v>1.69</v>
      </c>
      <c r="V603" s="29">
        <v>21.14</v>
      </c>
      <c r="W603" s="30">
        <v>12913.34</v>
      </c>
      <c r="X603" s="27">
        <v>7.62</v>
      </c>
      <c r="Y603" s="27" t="s">
        <v>55</v>
      </c>
      <c r="Z603" s="29">
        <v>33</v>
      </c>
      <c r="AA603" s="30">
        <v>20400.2</v>
      </c>
      <c r="AB603" s="29">
        <v>0.940998487140696</v>
      </c>
      <c r="AC603" s="30">
        <v>16532.599999999999</v>
      </c>
      <c r="AD603" s="30">
        <v>195.36066565809401</v>
      </c>
      <c r="AE603" s="27">
        <v>521.5</v>
      </c>
      <c r="AF603" s="29">
        <v>0.94055608820709502</v>
      </c>
      <c r="AG603" s="30">
        <v>3672.2393343419099</v>
      </c>
      <c r="AH603" s="31">
        <f t="shared" si="145"/>
        <v>0.88724832214765104</v>
      </c>
      <c r="AI603" s="31">
        <f t="shared" si="146"/>
        <v>5.9001512859304085E-2</v>
      </c>
      <c r="AJ603" s="31">
        <f t="shared" si="147"/>
        <v>1.5128593040847202E-2</v>
      </c>
      <c r="AK603" s="31">
        <f t="shared" si="148"/>
        <v>0.94099848714069589</v>
      </c>
      <c r="AL603" s="29">
        <f t="shared" si="149"/>
        <v>0.51666666666666672</v>
      </c>
      <c r="AM603" s="29">
        <f t="shared" si="150"/>
        <v>490.5</v>
      </c>
      <c r="AN603" s="29">
        <f t="shared" si="151"/>
        <v>1.3476044852191642</v>
      </c>
      <c r="AO603" s="29">
        <f t="shared" si="152"/>
        <v>1.4285714285714286</v>
      </c>
      <c r="AP603" s="31">
        <f t="shared" si="153"/>
        <v>0.94332313965341497</v>
      </c>
      <c r="AQ603" s="31">
        <f t="shared" si="154"/>
        <v>0.94099848714069589</v>
      </c>
      <c r="AR603" s="31">
        <f t="shared" si="155"/>
        <v>0.83489932885906049</v>
      </c>
      <c r="AS603" s="29">
        <f t="shared" si="156"/>
        <v>25.011497730711042</v>
      </c>
      <c r="AT603" s="29">
        <f t="shared" si="157"/>
        <v>5.5555814437850373</v>
      </c>
      <c r="AU603" s="27" t="str">
        <f t="shared" si="158"/>
        <v>Medium</v>
      </c>
      <c r="AV603" s="27" t="str">
        <f t="shared" si="159"/>
        <v>Warning</v>
      </c>
      <c r="AW603" s="27"/>
    </row>
    <row r="604" spans="1:49" x14ac:dyDescent="0.25">
      <c r="A604" s="27">
        <v>603</v>
      </c>
      <c r="B604" s="28">
        <v>46168</v>
      </c>
      <c r="C604" s="28" t="str">
        <f t="shared" si="144"/>
        <v>May</v>
      </c>
      <c r="D604" s="27" t="s">
        <v>47</v>
      </c>
      <c r="E604" s="27" t="s">
        <v>48</v>
      </c>
      <c r="F604" s="27" t="s">
        <v>72</v>
      </c>
      <c r="G604" s="27" t="s">
        <v>78</v>
      </c>
      <c r="H604" s="27" t="s">
        <v>79</v>
      </c>
      <c r="I604" s="27" t="s">
        <v>727</v>
      </c>
      <c r="J604" s="27" t="s">
        <v>186</v>
      </c>
      <c r="K604" s="27">
        <v>791</v>
      </c>
      <c r="L604" s="27">
        <v>708</v>
      </c>
      <c r="M604" s="27">
        <v>676</v>
      </c>
      <c r="N604" s="27">
        <v>32</v>
      </c>
      <c r="O604" s="27">
        <v>11</v>
      </c>
      <c r="P604" s="27">
        <v>12</v>
      </c>
      <c r="Q604" s="27" t="s">
        <v>102</v>
      </c>
      <c r="R604" s="27">
        <v>49</v>
      </c>
      <c r="S604" s="27">
        <v>55</v>
      </c>
      <c r="T604" s="29">
        <v>67.599999999999994</v>
      </c>
      <c r="U604" s="29">
        <v>1.36</v>
      </c>
      <c r="V604" s="29">
        <v>27.79</v>
      </c>
      <c r="W604" s="30">
        <v>14646.56</v>
      </c>
      <c r="X604" s="27">
        <v>7.87</v>
      </c>
      <c r="Y604" s="27" t="s">
        <v>110</v>
      </c>
      <c r="Z604" s="29">
        <v>30</v>
      </c>
      <c r="AA604" s="30">
        <v>25689.66</v>
      </c>
      <c r="AB604" s="29">
        <v>0.95480225988700596</v>
      </c>
      <c r="AC604" s="30">
        <v>18438.169999999998</v>
      </c>
      <c r="AD604" s="30">
        <v>227.55954802259899</v>
      </c>
      <c r="AE604" s="27">
        <v>645.98333333333301</v>
      </c>
      <c r="AF604" s="29">
        <v>0.98142366934131398</v>
      </c>
      <c r="AG604" s="30">
        <v>7023.9304519773996</v>
      </c>
      <c r="AH604" s="31">
        <f t="shared" si="145"/>
        <v>0.89506953223767383</v>
      </c>
      <c r="AI604" s="31">
        <f t="shared" si="146"/>
        <v>4.519774011299435E-2</v>
      </c>
      <c r="AJ604" s="31">
        <f t="shared" si="147"/>
        <v>1.5536723163841809E-2</v>
      </c>
      <c r="AK604" s="31">
        <f t="shared" si="148"/>
        <v>0.95480225988700562</v>
      </c>
      <c r="AL604" s="29">
        <f t="shared" si="149"/>
        <v>0.2</v>
      </c>
      <c r="AM604" s="29">
        <f t="shared" si="150"/>
        <v>633.98333333333301</v>
      </c>
      <c r="AN604" s="29">
        <f t="shared" si="151"/>
        <v>1.116748600120929</v>
      </c>
      <c r="AO604" s="29">
        <f t="shared" si="152"/>
        <v>1.2244897959183674</v>
      </c>
      <c r="AP604" s="31">
        <f t="shared" si="153"/>
        <v>0.91201135676542533</v>
      </c>
      <c r="AQ604" s="31">
        <f t="shared" si="154"/>
        <v>0.95480225988700562</v>
      </c>
      <c r="AR604" s="31">
        <f t="shared" si="155"/>
        <v>0.85461441213653611</v>
      </c>
      <c r="AS604" s="29">
        <f t="shared" si="156"/>
        <v>26.042612994350279</v>
      </c>
      <c r="AT604" s="29">
        <f t="shared" si="157"/>
        <v>9.9208057231319202</v>
      </c>
      <c r="AU604" s="27" t="str">
        <f t="shared" si="158"/>
        <v>Medium</v>
      </c>
      <c r="AV604" s="27" t="str">
        <f t="shared" si="159"/>
        <v>Normal</v>
      </c>
      <c r="AW604" s="27"/>
    </row>
    <row r="605" spans="1:49" x14ac:dyDescent="0.25">
      <c r="A605" s="27">
        <v>604</v>
      </c>
      <c r="B605" s="28">
        <v>46077</v>
      </c>
      <c r="C605" s="28" t="str">
        <f t="shared" si="144"/>
        <v>February</v>
      </c>
      <c r="D605" s="27" t="s">
        <v>47</v>
      </c>
      <c r="E605" s="27" t="s">
        <v>129</v>
      </c>
      <c r="F605" s="27" t="s">
        <v>130</v>
      </c>
      <c r="G605" s="27" t="s">
        <v>63</v>
      </c>
      <c r="H605" s="27" t="s">
        <v>57</v>
      </c>
      <c r="I605" s="27" t="s">
        <v>728</v>
      </c>
      <c r="J605" s="27" t="s">
        <v>81</v>
      </c>
      <c r="K605" s="27">
        <v>820</v>
      </c>
      <c r="L605" s="27">
        <v>673</v>
      </c>
      <c r="M605" s="27">
        <v>572</v>
      </c>
      <c r="N605" s="27">
        <v>101</v>
      </c>
      <c r="O605" s="27">
        <v>26</v>
      </c>
      <c r="P605" s="27">
        <v>67</v>
      </c>
      <c r="Q605" s="27" t="s">
        <v>104</v>
      </c>
      <c r="R605" s="27">
        <v>45</v>
      </c>
      <c r="S605" s="27">
        <v>51</v>
      </c>
      <c r="T605" s="29">
        <v>85</v>
      </c>
      <c r="U605" s="29">
        <v>3.63</v>
      </c>
      <c r="V605" s="29">
        <v>26.43</v>
      </c>
      <c r="W605" s="30">
        <v>14279.66</v>
      </c>
      <c r="X605" s="27">
        <v>7.19</v>
      </c>
      <c r="Y605" s="27" t="s">
        <v>71</v>
      </c>
      <c r="Z605" s="29">
        <v>55</v>
      </c>
      <c r="AA605" s="30">
        <v>20535.37</v>
      </c>
      <c r="AB605" s="29">
        <v>0.84992570579494797</v>
      </c>
      <c r="AC605" s="30">
        <v>17753.03</v>
      </c>
      <c r="AD605" s="30">
        <v>551.66591381872195</v>
      </c>
      <c r="AE605" s="27">
        <v>615</v>
      </c>
      <c r="AF605" s="29">
        <v>0.89105691056910596</v>
      </c>
      <c r="AG605" s="30">
        <v>2230.67408618128</v>
      </c>
      <c r="AH605" s="31">
        <f t="shared" si="145"/>
        <v>0.82073170731707312</v>
      </c>
      <c r="AI605" s="31">
        <f t="shared" si="146"/>
        <v>0.150074294205052</v>
      </c>
      <c r="AJ605" s="31">
        <f t="shared" si="147"/>
        <v>3.8632986627043092E-2</v>
      </c>
      <c r="AK605" s="31">
        <f t="shared" si="148"/>
        <v>0.84992570579494797</v>
      </c>
      <c r="AL605" s="29">
        <f t="shared" si="149"/>
        <v>1.1166666666666667</v>
      </c>
      <c r="AM605" s="29">
        <f t="shared" si="150"/>
        <v>548</v>
      </c>
      <c r="AN605" s="29">
        <f t="shared" si="151"/>
        <v>1.2281021897810218</v>
      </c>
      <c r="AO605" s="29">
        <f t="shared" si="152"/>
        <v>1.3333333333333333</v>
      </c>
      <c r="AP605" s="31">
        <f t="shared" si="153"/>
        <v>0.92107664233576636</v>
      </c>
      <c r="AQ605" s="31">
        <f t="shared" si="154"/>
        <v>0.84992570579494797</v>
      </c>
      <c r="AR605" s="31">
        <f t="shared" si="155"/>
        <v>0.69756097560975627</v>
      </c>
      <c r="AS605" s="29">
        <f t="shared" si="156"/>
        <v>26.37894502228826</v>
      </c>
      <c r="AT605" s="29">
        <f t="shared" si="157"/>
        <v>3.3145231592589601</v>
      </c>
      <c r="AU605" s="27" t="str">
        <f t="shared" si="158"/>
        <v>High</v>
      </c>
      <c r="AV605" s="27" t="str">
        <f t="shared" si="159"/>
        <v>Critical</v>
      </c>
      <c r="AW605" s="27"/>
    </row>
    <row r="606" spans="1:49" x14ac:dyDescent="0.25">
      <c r="A606" s="27">
        <v>605</v>
      </c>
      <c r="B606" s="28">
        <v>46178</v>
      </c>
      <c r="C606" s="28" t="str">
        <f t="shared" si="144"/>
        <v>June</v>
      </c>
      <c r="D606" s="27" t="s">
        <v>47</v>
      </c>
      <c r="E606" s="27" t="s">
        <v>129</v>
      </c>
      <c r="F606" s="27" t="s">
        <v>130</v>
      </c>
      <c r="G606" s="27" t="s">
        <v>50</v>
      </c>
      <c r="H606" s="27" t="s">
        <v>79</v>
      </c>
      <c r="I606" s="27" t="s">
        <v>729</v>
      </c>
      <c r="J606" s="27" t="s">
        <v>86</v>
      </c>
      <c r="K606" s="27">
        <v>737</v>
      </c>
      <c r="L606" s="27">
        <v>682</v>
      </c>
      <c r="M606" s="27">
        <v>600</v>
      </c>
      <c r="N606" s="27">
        <v>82</v>
      </c>
      <c r="O606" s="27">
        <v>26</v>
      </c>
      <c r="P606" s="27">
        <v>19</v>
      </c>
      <c r="Q606" s="27" t="s">
        <v>54</v>
      </c>
      <c r="R606" s="27">
        <v>49</v>
      </c>
      <c r="S606" s="27">
        <v>56</v>
      </c>
      <c r="T606" s="29">
        <v>80.599999999999994</v>
      </c>
      <c r="U606" s="29">
        <v>1.9</v>
      </c>
      <c r="V606" s="29">
        <v>23.84</v>
      </c>
      <c r="W606" s="30">
        <v>15818.89</v>
      </c>
      <c r="X606" s="27">
        <v>9.09</v>
      </c>
      <c r="Y606" s="27" t="s">
        <v>66</v>
      </c>
      <c r="Z606" s="29">
        <v>18</v>
      </c>
      <c r="AA606" s="30">
        <v>22534.89</v>
      </c>
      <c r="AB606" s="29">
        <v>0.87976539589442804</v>
      </c>
      <c r="AC606" s="30">
        <v>20123.95</v>
      </c>
      <c r="AD606" s="30">
        <v>603.06618768328497</v>
      </c>
      <c r="AE606" s="27">
        <v>601.88333333333298</v>
      </c>
      <c r="AF606" s="29">
        <v>0.96843242045800704</v>
      </c>
      <c r="AG606" s="30">
        <v>1807.87381231671</v>
      </c>
      <c r="AH606" s="31">
        <f t="shared" si="145"/>
        <v>0.92537313432835822</v>
      </c>
      <c r="AI606" s="31">
        <f t="shared" si="146"/>
        <v>0.12023460410557185</v>
      </c>
      <c r="AJ606" s="31">
        <f t="shared" si="147"/>
        <v>3.8123167155425221E-2</v>
      </c>
      <c r="AK606" s="31">
        <f t="shared" si="148"/>
        <v>0.87976539589442815</v>
      </c>
      <c r="AL606" s="29">
        <f t="shared" si="149"/>
        <v>0.31666666666666665</v>
      </c>
      <c r="AM606" s="29">
        <f t="shared" si="150"/>
        <v>582.88333333333298</v>
      </c>
      <c r="AN606" s="29">
        <f t="shared" si="151"/>
        <v>1.1700454636433828</v>
      </c>
      <c r="AO606" s="29">
        <f t="shared" si="152"/>
        <v>1.2244897959183674</v>
      </c>
      <c r="AP606" s="31">
        <f t="shared" si="153"/>
        <v>0.95553712864209595</v>
      </c>
      <c r="AQ606" s="31">
        <f t="shared" si="154"/>
        <v>0.87976539589442815</v>
      </c>
      <c r="AR606" s="31">
        <f t="shared" si="155"/>
        <v>0.81411126187245664</v>
      </c>
      <c r="AS606" s="29">
        <f t="shared" si="156"/>
        <v>29.50725806451613</v>
      </c>
      <c r="AT606" s="29">
        <f t="shared" si="157"/>
        <v>2.6508413670332991</v>
      </c>
      <c r="AU606" s="27" t="str">
        <f t="shared" si="158"/>
        <v>High</v>
      </c>
      <c r="AV606" s="27" t="str">
        <f t="shared" si="159"/>
        <v>Warning</v>
      </c>
      <c r="AW606" s="27"/>
    </row>
    <row r="607" spans="1:49" x14ac:dyDescent="0.25">
      <c r="A607" s="27">
        <v>606</v>
      </c>
      <c r="B607" s="28">
        <v>46176</v>
      </c>
      <c r="C607" s="28" t="str">
        <f t="shared" si="144"/>
        <v>June</v>
      </c>
      <c r="D607" s="27" t="s">
        <v>47</v>
      </c>
      <c r="E607" s="27" t="s">
        <v>61</v>
      </c>
      <c r="F607" s="27" t="s">
        <v>95</v>
      </c>
      <c r="G607" s="27" t="s">
        <v>50</v>
      </c>
      <c r="H607" s="27" t="s">
        <v>57</v>
      </c>
      <c r="I607" s="27" t="s">
        <v>730</v>
      </c>
      <c r="J607" s="27" t="s">
        <v>143</v>
      </c>
      <c r="K607" s="27">
        <v>739</v>
      </c>
      <c r="L607" s="27">
        <v>775</v>
      </c>
      <c r="M607" s="27">
        <v>734</v>
      </c>
      <c r="N607" s="27">
        <v>41</v>
      </c>
      <c r="O607" s="27">
        <v>11</v>
      </c>
      <c r="P607" s="27">
        <v>40</v>
      </c>
      <c r="Q607" s="27" t="s">
        <v>91</v>
      </c>
      <c r="R607" s="27">
        <v>45</v>
      </c>
      <c r="S607" s="27">
        <v>44</v>
      </c>
      <c r="T607" s="29">
        <v>71.5</v>
      </c>
      <c r="U607" s="29">
        <v>2.0099999999999998</v>
      </c>
      <c r="V607" s="29">
        <v>26.34</v>
      </c>
      <c r="W607" s="30">
        <v>15123.87</v>
      </c>
      <c r="X607" s="27">
        <v>10.77</v>
      </c>
      <c r="Y607" s="27" t="s">
        <v>110</v>
      </c>
      <c r="Z607" s="29">
        <v>36</v>
      </c>
      <c r="AA607" s="30">
        <v>25179.83</v>
      </c>
      <c r="AB607" s="29">
        <v>0.94709677419354799</v>
      </c>
      <c r="AC607" s="30">
        <v>20207.43</v>
      </c>
      <c r="AD607" s="30">
        <v>214.66138064516099</v>
      </c>
      <c r="AE607" s="27">
        <v>554.25</v>
      </c>
      <c r="AF607" s="29">
        <v>0.92783040144339202</v>
      </c>
      <c r="AG607" s="30">
        <v>4757.73861935484</v>
      </c>
      <c r="AH607" s="31">
        <f t="shared" si="145"/>
        <v>1.0487144790257104</v>
      </c>
      <c r="AI607" s="31">
        <f t="shared" si="146"/>
        <v>5.2903225806451612E-2</v>
      </c>
      <c r="AJ607" s="31">
        <f t="shared" si="147"/>
        <v>1.4193548387096775E-2</v>
      </c>
      <c r="AK607" s="31">
        <f t="shared" si="148"/>
        <v>0.94709677419354843</v>
      </c>
      <c r="AL607" s="29">
        <f t="shared" si="149"/>
        <v>0.66666666666666663</v>
      </c>
      <c r="AM607" s="29">
        <f t="shared" si="150"/>
        <v>514.25</v>
      </c>
      <c r="AN607" s="29">
        <f t="shared" si="151"/>
        <v>1.5070491006319884</v>
      </c>
      <c r="AO607" s="29">
        <f t="shared" si="152"/>
        <v>1.3333333333333333</v>
      </c>
      <c r="AP607" s="31">
        <f t="shared" si="153"/>
        <v>1.1302868254739913</v>
      </c>
      <c r="AQ607" s="31">
        <f t="shared" si="154"/>
        <v>0.94709677419354843</v>
      </c>
      <c r="AR607" s="31">
        <f t="shared" si="155"/>
        <v>0.99323410013531821</v>
      </c>
      <c r="AS607" s="29">
        <f t="shared" si="156"/>
        <v>26.074103225806454</v>
      </c>
      <c r="AT607" s="29">
        <f t="shared" si="157"/>
        <v>6.1390175733610839</v>
      </c>
      <c r="AU607" s="27" t="str">
        <f t="shared" si="158"/>
        <v>Medium</v>
      </c>
      <c r="AV607" s="27" t="str">
        <f t="shared" si="159"/>
        <v>Normal</v>
      </c>
      <c r="AW607" s="27"/>
    </row>
    <row r="608" spans="1:49" x14ac:dyDescent="0.25">
      <c r="A608" s="27">
        <v>607</v>
      </c>
      <c r="B608" s="28">
        <v>46097</v>
      </c>
      <c r="C608" s="28" t="str">
        <f t="shared" si="144"/>
        <v>March</v>
      </c>
      <c r="D608" s="27" t="s">
        <v>67</v>
      </c>
      <c r="E608" s="27" t="s">
        <v>61</v>
      </c>
      <c r="F608" s="27" t="s">
        <v>88</v>
      </c>
      <c r="G608" s="27" t="s">
        <v>78</v>
      </c>
      <c r="H608" s="27" t="s">
        <v>51</v>
      </c>
      <c r="I608" s="27" t="s">
        <v>731</v>
      </c>
      <c r="J608" s="27" t="s">
        <v>65</v>
      </c>
      <c r="K608" s="27">
        <v>905</v>
      </c>
      <c r="L608" s="27">
        <v>851</v>
      </c>
      <c r="M608" s="27">
        <v>823</v>
      </c>
      <c r="N608" s="27">
        <v>28</v>
      </c>
      <c r="O608" s="27">
        <v>7</v>
      </c>
      <c r="P608" s="27">
        <v>16</v>
      </c>
      <c r="Q608" s="27" t="s">
        <v>94</v>
      </c>
      <c r="R608" s="27">
        <v>42</v>
      </c>
      <c r="S608" s="27">
        <v>45</v>
      </c>
      <c r="T608" s="29">
        <v>78</v>
      </c>
      <c r="U608" s="29">
        <v>2.65</v>
      </c>
      <c r="V608" s="29">
        <v>33.51</v>
      </c>
      <c r="W608" s="30">
        <v>16583</v>
      </c>
      <c r="X608" s="27">
        <v>9.77</v>
      </c>
      <c r="Y608" s="27" t="s">
        <v>55</v>
      </c>
      <c r="Z608" s="29">
        <v>33</v>
      </c>
      <c r="AA608" s="30">
        <v>26259.03</v>
      </c>
      <c r="AB608" s="29">
        <v>0.96709753231492401</v>
      </c>
      <c r="AC608" s="30">
        <v>21281.09</v>
      </c>
      <c r="AD608" s="30">
        <v>136.40540540540499</v>
      </c>
      <c r="AE608" s="27">
        <v>633.5</v>
      </c>
      <c r="AF608" s="29">
        <v>0.97474348855564297</v>
      </c>
      <c r="AG608" s="30">
        <v>4841.5345945945901</v>
      </c>
      <c r="AH608" s="31">
        <f t="shared" si="145"/>
        <v>0.94033149171270713</v>
      </c>
      <c r="AI608" s="31">
        <f t="shared" si="146"/>
        <v>3.2902467685076382E-2</v>
      </c>
      <c r="AJ608" s="31">
        <f t="shared" si="147"/>
        <v>8.2256169212690956E-3</v>
      </c>
      <c r="AK608" s="31">
        <f t="shared" si="148"/>
        <v>0.96709753231492357</v>
      </c>
      <c r="AL608" s="29">
        <f t="shared" si="149"/>
        <v>0.26666666666666666</v>
      </c>
      <c r="AM608" s="29">
        <f t="shared" si="150"/>
        <v>617.5</v>
      </c>
      <c r="AN608" s="29">
        <f t="shared" si="151"/>
        <v>1.3781376518218624</v>
      </c>
      <c r="AO608" s="29">
        <f t="shared" si="152"/>
        <v>1.4285714285714286</v>
      </c>
      <c r="AP608" s="31">
        <f t="shared" si="153"/>
        <v>0.9646963562753037</v>
      </c>
      <c r="AQ608" s="31">
        <f t="shared" si="154"/>
        <v>0.96709753231492357</v>
      </c>
      <c r="AR608" s="31">
        <f t="shared" si="155"/>
        <v>0.90939226519336991</v>
      </c>
      <c r="AS608" s="29">
        <f t="shared" si="156"/>
        <v>25.007156286721504</v>
      </c>
      <c r="AT608" s="29">
        <f t="shared" si="157"/>
        <v>5.6892298408867097</v>
      </c>
      <c r="AU608" s="27" t="str">
        <f t="shared" si="158"/>
        <v>Medium</v>
      </c>
      <c r="AV608" s="27" t="str">
        <f t="shared" si="159"/>
        <v>Normal</v>
      </c>
      <c r="AW608" s="27"/>
    </row>
    <row r="609" spans="1:49" x14ac:dyDescent="0.25">
      <c r="A609" s="27">
        <v>608</v>
      </c>
      <c r="B609" s="28">
        <v>46054</v>
      </c>
      <c r="C609" s="28" t="str">
        <f t="shared" si="144"/>
        <v>February</v>
      </c>
      <c r="D609" s="27" t="s">
        <v>67</v>
      </c>
      <c r="E609" s="27" t="s">
        <v>76</v>
      </c>
      <c r="F609" s="27" t="s">
        <v>77</v>
      </c>
      <c r="G609" s="27" t="s">
        <v>63</v>
      </c>
      <c r="H609" s="27" t="s">
        <v>124</v>
      </c>
      <c r="I609" s="27" t="s">
        <v>732</v>
      </c>
      <c r="J609" s="27" t="s">
        <v>140</v>
      </c>
      <c r="K609" s="27">
        <v>611</v>
      </c>
      <c r="L609" s="27">
        <v>635</v>
      </c>
      <c r="M609" s="27">
        <v>593</v>
      </c>
      <c r="N609" s="27">
        <v>42</v>
      </c>
      <c r="O609" s="27">
        <v>17</v>
      </c>
      <c r="P609" s="27">
        <v>13</v>
      </c>
      <c r="Q609" s="27" t="s">
        <v>54</v>
      </c>
      <c r="R609" s="27">
        <v>57</v>
      </c>
      <c r="S609" s="27">
        <v>62</v>
      </c>
      <c r="T609" s="29">
        <v>70.3</v>
      </c>
      <c r="U609" s="29">
        <v>1.1100000000000001</v>
      </c>
      <c r="V609" s="29">
        <v>25.08</v>
      </c>
      <c r="W609" s="30">
        <v>16754.830000000002</v>
      </c>
      <c r="X609" s="27">
        <v>8.66</v>
      </c>
      <c r="Y609" s="27" t="s">
        <v>55</v>
      </c>
      <c r="Z609" s="29">
        <v>7</v>
      </c>
      <c r="AA609" s="30">
        <v>27588.2</v>
      </c>
      <c r="AB609" s="29">
        <v>0.93385826771653602</v>
      </c>
      <c r="AC609" s="30">
        <v>20877.55</v>
      </c>
      <c r="AD609" s="30">
        <v>448.55450393700801</v>
      </c>
      <c r="AE609" s="27">
        <v>580.45000000000005</v>
      </c>
      <c r="AF609" s="29">
        <v>0.97760358342665199</v>
      </c>
      <c r="AG609" s="30">
        <v>6262.0954960629897</v>
      </c>
      <c r="AH609" s="31">
        <f t="shared" si="145"/>
        <v>1.039279869067103</v>
      </c>
      <c r="AI609" s="31">
        <f t="shared" si="146"/>
        <v>6.6141732283464566E-2</v>
      </c>
      <c r="AJ609" s="31">
        <f t="shared" si="147"/>
        <v>2.6771653543307086E-2</v>
      </c>
      <c r="AK609" s="31">
        <f t="shared" si="148"/>
        <v>0.93385826771653546</v>
      </c>
      <c r="AL609" s="29">
        <f t="shared" si="149"/>
        <v>0.21666666666666667</v>
      </c>
      <c r="AM609" s="29">
        <f t="shared" si="150"/>
        <v>567.45000000000005</v>
      </c>
      <c r="AN609" s="29">
        <f t="shared" si="151"/>
        <v>1.1190413252268923</v>
      </c>
      <c r="AO609" s="29">
        <f t="shared" si="152"/>
        <v>1.0526315789473684</v>
      </c>
      <c r="AP609" s="31">
        <f t="shared" si="153"/>
        <v>1.0630892589655476</v>
      </c>
      <c r="AQ609" s="31">
        <f t="shared" si="154"/>
        <v>0.93385826771653546</v>
      </c>
      <c r="AR609" s="31">
        <f t="shared" si="155"/>
        <v>0.97054009819967302</v>
      </c>
      <c r="AS609" s="29">
        <f t="shared" si="156"/>
        <v>32.878031496062988</v>
      </c>
      <c r="AT609" s="29">
        <f t="shared" si="157"/>
        <v>9.8615677103354162</v>
      </c>
      <c r="AU609" s="27" t="str">
        <f t="shared" si="158"/>
        <v>Low</v>
      </c>
      <c r="AV609" s="27" t="str">
        <f t="shared" si="159"/>
        <v>Normal</v>
      </c>
      <c r="AW609" s="27"/>
    </row>
    <row r="610" spans="1:49" x14ac:dyDescent="0.25">
      <c r="A610" s="27">
        <v>609</v>
      </c>
      <c r="B610" s="28">
        <v>46072</v>
      </c>
      <c r="C610" s="28" t="str">
        <f t="shared" si="144"/>
        <v>February</v>
      </c>
      <c r="D610" s="27" t="s">
        <v>67</v>
      </c>
      <c r="E610" s="27" t="s">
        <v>129</v>
      </c>
      <c r="F610" s="27" t="s">
        <v>167</v>
      </c>
      <c r="G610" s="27" t="s">
        <v>50</v>
      </c>
      <c r="H610" s="27" t="s">
        <v>79</v>
      </c>
      <c r="I610" s="27" t="s">
        <v>733</v>
      </c>
      <c r="J610" s="27" t="s">
        <v>74</v>
      </c>
      <c r="K610" s="27">
        <v>673</v>
      </c>
      <c r="L610" s="27">
        <v>637</v>
      </c>
      <c r="M610" s="27">
        <v>580</v>
      </c>
      <c r="N610" s="27">
        <v>57</v>
      </c>
      <c r="O610" s="27">
        <v>22</v>
      </c>
      <c r="P610" s="27">
        <v>8</v>
      </c>
      <c r="Q610" s="27" t="s">
        <v>54</v>
      </c>
      <c r="R610" s="27">
        <v>49</v>
      </c>
      <c r="S610" s="27">
        <v>51</v>
      </c>
      <c r="T610" s="29">
        <v>72.7</v>
      </c>
      <c r="U610" s="29">
        <v>1.73</v>
      </c>
      <c r="V610" s="29">
        <v>26.1</v>
      </c>
      <c r="W610" s="30">
        <v>14110.63</v>
      </c>
      <c r="X610" s="27">
        <v>8.24</v>
      </c>
      <c r="Y610" s="27" t="s">
        <v>55</v>
      </c>
      <c r="Z610" s="29">
        <v>25</v>
      </c>
      <c r="AA610" s="30">
        <v>21866.59</v>
      </c>
      <c r="AB610" s="29">
        <v>0.91051805337519598</v>
      </c>
      <c r="AC610" s="30">
        <v>18053.53</v>
      </c>
      <c r="AD610" s="30">
        <v>487.33729984301402</v>
      </c>
      <c r="AE610" s="27">
        <v>549.61666666666702</v>
      </c>
      <c r="AF610" s="29">
        <v>0.98544440064287198</v>
      </c>
      <c r="AG610" s="30">
        <v>3325.72270015699</v>
      </c>
      <c r="AH610" s="31">
        <f t="shared" si="145"/>
        <v>0.94650817236255569</v>
      </c>
      <c r="AI610" s="31">
        <f t="shared" si="146"/>
        <v>8.9481946624803771E-2</v>
      </c>
      <c r="AJ610" s="31">
        <f t="shared" si="147"/>
        <v>3.453689167974882E-2</v>
      </c>
      <c r="AK610" s="31">
        <f t="shared" si="148"/>
        <v>0.9105180533751962</v>
      </c>
      <c r="AL610" s="29">
        <f t="shared" si="149"/>
        <v>0.13333333333333333</v>
      </c>
      <c r="AM610" s="29">
        <f t="shared" si="150"/>
        <v>541.61666666666702</v>
      </c>
      <c r="AN610" s="29">
        <f t="shared" si="151"/>
        <v>1.1761085638674331</v>
      </c>
      <c r="AO610" s="29">
        <f t="shared" si="152"/>
        <v>1.2244897959183674</v>
      </c>
      <c r="AP610" s="31">
        <f t="shared" si="153"/>
        <v>0.96048866049173698</v>
      </c>
      <c r="AQ610" s="31">
        <f t="shared" si="154"/>
        <v>0.9105180533751962</v>
      </c>
      <c r="AR610" s="31">
        <f t="shared" si="155"/>
        <v>0.86181277860326799</v>
      </c>
      <c r="AS610" s="29">
        <f t="shared" si="156"/>
        <v>28.341491365777078</v>
      </c>
      <c r="AT610" s="29">
        <f t="shared" si="157"/>
        <v>5.2209147569183516</v>
      </c>
      <c r="AU610" s="27" t="str">
        <f t="shared" si="158"/>
        <v>Medium</v>
      </c>
      <c r="AV610" s="27" t="str">
        <f t="shared" si="159"/>
        <v>Warning</v>
      </c>
      <c r="AW610" s="27"/>
    </row>
    <row r="611" spans="1:49" x14ac:dyDescent="0.25">
      <c r="A611" s="27">
        <v>610</v>
      </c>
      <c r="B611" s="28">
        <v>46033</v>
      </c>
      <c r="C611" s="28" t="str">
        <f t="shared" si="144"/>
        <v>January</v>
      </c>
      <c r="D611" s="27" t="s">
        <v>47</v>
      </c>
      <c r="E611" s="27" t="s">
        <v>61</v>
      </c>
      <c r="F611" s="27" t="s">
        <v>88</v>
      </c>
      <c r="G611" s="27" t="s">
        <v>50</v>
      </c>
      <c r="H611" s="27" t="s">
        <v>79</v>
      </c>
      <c r="I611" s="27" t="s">
        <v>734</v>
      </c>
      <c r="J611" s="27" t="s">
        <v>155</v>
      </c>
      <c r="K611" s="27">
        <v>793</v>
      </c>
      <c r="L611" s="27">
        <v>721</v>
      </c>
      <c r="M611" s="27">
        <v>695</v>
      </c>
      <c r="N611" s="27">
        <v>26</v>
      </c>
      <c r="O611" s="27">
        <v>5</v>
      </c>
      <c r="P611" s="27">
        <v>41</v>
      </c>
      <c r="Q611" s="27" t="s">
        <v>97</v>
      </c>
      <c r="R611" s="27">
        <v>49</v>
      </c>
      <c r="S611" s="27">
        <v>48</v>
      </c>
      <c r="T611" s="29">
        <v>75.7</v>
      </c>
      <c r="U611" s="29">
        <v>1.53</v>
      </c>
      <c r="V611" s="29">
        <v>23.71</v>
      </c>
      <c r="W611" s="30">
        <v>16806.36</v>
      </c>
      <c r="X611" s="27">
        <v>8.7200000000000006</v>
      </c>
      <c r="Y611" s="27" t="s">
        <v>55</v>
      </c>
      <c r="Z611" s="29">
        <v>1</v>
      </c>
      <c r="AA611" s="30">
        <v>26607.99</v>
      </c>
      <c r="AB611" s="29">
        <v>0.96393897364771197</v>
      </c>
      <c r="AC611" s="30">
        <v>20943.75</v>
      </c>
      <c r="AD611" s="30">
        <v>116.548959778086</v>
      </c>
      <c r="AE611" s="27">
        <v>647.61666666666702</v>
      </c>
      <c r="AF611" s="29">
        <v>0.93669094371670503</v>
      </c>
      <c r="AG611" s="30">
        <v>5547.69104022192</v>
      </c>
      <c r="AH611" s="31">
        <f t="shared" si="145"/>
        <v>0.90920554854981084</v>
      </c>
      <c r="AI611" s="31">
        <f t="shared" si="146"/>
        <v>3.6061026352288486E-2</v>
      </c>
      <c r="AJ611" s="31">
        <f t="shared" si="147"/>
        <v>6.9348127600554789E-3</v>
      </c>
      <c r="AK611" s="31">
        <f t="shared" si="148"/>
        <v>0.96393897364771153</v>
      </c>
      <c r="AL611" s="29">
        <f t="shared" si="149"/>
        <v>0.68333333333333335</v>
      </c>
      <c r="AM611" s="29">
        <f t="shared" si="150"/>
        <v>606.61666666666702</v>
      </c>
      <c r="AN611" s="29">
        <f t="shared" si="151"/>
        <v>1.188559496661812</v>
      </c>
      <c r="AO611" s="29">
        <f t="shared" si="152"/>
        <v>1.2244897959183674</v>
      </c>
      <c r="AP611" s="31">
        <f t="shared" si="153"/>
        <v>0.97065692227381317</v>
      </c>
      <c r="AQ611" s="31">
        <f t="shared" si="154"/>
        <v>0.96393897364771153</v>
      </c>
      <c r="AR611" s="31">
        <f t="shared" si="155"/>
        <v>0.87641866330390894</v>
      </c>
      <c r="AS611" s="29">
        <f t="shared" si="156"/>
        <v>29.048196948682385</v>
      </c>
      <c r="AT611" s="29">
        <f t="shared" si="157"/>
        <v>7.6944397229152841</v>
      </c>
      <c r="AU611" s="27" t="str">
        <f t="shared" si="158"/>
        <v>Low</v>
      </c>
      <c r="AV611" s="27" t="str">
        <f t="shared" si="159"/>
        <v>Normal</v>
      </c>
      <c r="AW611" s="27"/>
    </row>
    <row r="612" spans="1:49" x14ac:dyDescent="0.25">
      <c r="A612" s="27">
        <v>611</v>
      </c>
      <c r="B612" s="28">
        <v>46031</v>
      </c>
      <c r="C612" s="28" t="str">
        <f t="shared" si="144"/>
        <v>January</v>
      </c>
      <c r="D612" s="27" t="s">
        <v>67</v>
      </c>
      <c r="E612" s="27" t="s">
        <v>98</v>
      </c>
      <c r="F612" s="27" t="s">
        <v>99</v>
      </c>
      <c r="G612" s="27" t="s">
        <v>63</v>
      </c>
      <c r="H612" s="27" t="s">
        <v>79</v>
      </c>
      <c r="I612" s="27" t="s">
        <v>735</v>
      </c>
      <c r="J612" s="27" t="s">
        <v>86</v>
      </c>
      <c r="K612" s="27">
        <v>674</v>
      </c>
      <c r="L612" s="27">
        <v>522</v>
      </c>
      <c r="M612" s="27">
        <v>503</v>
      </c>
      <c r="N612" s="27">
        <v>19</v>
      </c>
      <c r="O612" s="27">
        <v>6</v>
      </c>
      <c r="P612" s="27">
        <v>60</v>
      </c>
      <c r="Q612" s="27" t="s">
        <v>54</v>
      </c>
      <c r="R612" s="27">
        <v>49</v>
      </c>
      <c r="S612" s="27">
        <v>49</v>
      </c>
      <c r="T612" s="29">
        <v>74</v>
      </c>
      <c r="U612" s="29">
        <v>1.81</v>
      </c>
      <c r="V612" s="29">
        <v>17.97</v>
      </c>
      <c r="W612" s="30">
        <v>11208.14</v>
      </c>
      <c r="X612" s="27">
        <v>5.63</v>
      </c>
      <c r="Y612" s="27" t="s">
        <v>71</v>
      </c>
      <c r="Z612" s="29">
        <v>14</v>
      </c>
      <c r="AA612" s="30">
        <v>18916.46</v>
      </c>
      <c r="AB612" s="29">
        <v>0.96360153256704995</v>
      </c>
      <c r="AC612" s="30">
        <v>13903.37</v>
      </c>
      <c r="AD612" s="30">
        <v>128.82919540229901</v>
      </c>
      <c r="AE612" s="27">
        <v>550.43333333333305</v>
      </c>
      <c r="AF612" s="29">
        <v>0.89099497365711899</v>
      </c>
      <c r="AG612" s="30">
        <v>4884.2608045977004</v>
      </c>
      <c r="AH612" s="31">
        <f t="shared" si="145"/>
        <v>0.77448071216617209</v>
      </c>
      <c r="AI612" s="31">
        <f t="shared" si="146"/>
        <v>3.6398467432950193E-2</v>
      </c>
      <c r="AJ612" s="31">
        <f t="shared" si="147"/>
        <v>1.1494252873563218E-2</v>
      </c>
      <c r="AK612" s="31">
        <f t="shared" si="148"/>
        <v>0.96360153256704983</v>
      </c>
      <c r="AL612" s="29">
        <f t="shared" si="149"/>
        <v>1</v>
      </c>
      <c r="AM612" s="29">
        <f t="shared" si="150"/>
        <v>490.43333333333305</v>
      </c>
      <c r="AN612" s="29">
        <f t="shared" si="151"/>
        <v>1.0643648474138523</v>
      </c>
      <c r="AO612" s="29">
        <f t="shared" si="152"/>
        <v>1.2244897959183674</v>
      </c>
      <c r="AP612" s="31">
        <f t="shared" si="153"/>
        <v>0.869231292054646</v>
      </c>
      <c r="AQ612" s="31">
        <f t="shared" si="154"/>
        <v>0.96360153256704983</v>
      </c>
      <c r="AR612" s="31">
        <f t="shared" si="155"/>
        <v>0.74629080118694435</v>
      </c>
      <c r="AS612" s="29">
        <f t="shared" si="156"/>
        <v>26.634808429118774</v>
      </c>
      <c r="AT612" s="29">
        <f t="shared" si="157"/>
        <v>9.3568214647465524</v>
      </c>
      <c r="AU612" s="27" t="str">
        <f t="shared" si="158"/>
        <v>High</v>
      </c>
      <c r="AV612" s="27" t="str">
        <f t="shared" si="159"/>
        <v>Critical</v>
      </c>
      <c r="AW612" s="27"/>
    </row>
    <row r="613" spans="1:49" x14ac:dyDescent="0.25">
      <c r="A613" s="27">
        <v>612</v>
      </c>
      <c r="B613" s="28">
        <v>46046</v>
      </c>
      <c r="C613" s="28" t="str">
        <f t="shared" si="144"/>
        <v>January</v>
      </c>
      <c r="D613" s="27" t="s">
        <v>47</v>
      </c>
      <c r="E613" s="27" t="s">
        <v>76</v>
      </c>
      <c r="F613" s="27" t="s">
        <v>113</v>
      </c>
      <c r="G613" s="27" t="s">
        <v>63</v>
      </c>
      <c r="H613" s="27" t="s">
        <v>51</v>
      </c>
      <c r="I613" s="27" t="s">
        <v>736</v>
      </c>
      <c r="J613" s="27" t="s">
        <v>197</v>
      </c>
      <c r="K613" s="27">
        <v>768</v>
      </c>
      <c r="L613" s="27">
        <v>753</v>
      </c>
      <c r="M613" s="27">
        <v>726</v>
      </c>
      <c r="N613" s="27">
        <v>27</v>
      </c>
      <c r="O613" s="27">
        <v>7</v>
      </c>
      <c r="P613" s="27">
        <v>25</v>
      </c>
      <c r="Q613" s="27" t="s">
        <v>54</v>
      </c>
      <c r="R613" s="27">
        <v>42</v>
      </c>
      <c r="S613" s="27">
        <v>44</v>
      </c>
      <c r="T613" s="29">
        <v>70.2</v>
      </c>
      <c r="U613" s="29">
        <v>1.96</v>
      </c>
      <c r="V613" s="29">
        <v>30.16</v>
      </c>
      <c r="W613" s="30">
        <v>14620.85</v>
      </c>
      <c r="X613" s="27">
        <v>7.32</v>
      </c>
      <c r="Y613" s="27" t="s">
        <v>110</v>
      </c>
      <c r="Z613" s="29">
        <v>34</v>
      </c>
      <c r="AA613" s="30">
        <v>23838.65</v>
      </c>
      <c r="AB613" s="29">
        <v>0.96414342629482097</v>
      </c>
      <c r="AC613" s="30">
        <v>18186.29</v>
      </c>
      <c r="AD613" s="30">
        <v>135.91759628154099</v>
      </c>
      <c r="AE613" s="27">
        <v>537.6</v>
      </c>
      <c r="AF613" s="29">
        <v>0.95349702380952395</v>
      </c>
      <c r="AG613" s="30">
        <v>5516.4424037184599</v>
      </c>
      <c r="AH613" s="31">
        <f t="shared" si="145"/>
        <v>0.98046875</v>
      </c>
      <c r="AI613" s="31">
        <f t="shared" si="146"/>
        <v>3.5856573705179286E-2</v>
      </c>
      <c r="AJ613" s="31">
        <f t="shared" si="147"/>
        <v>9.2961487383798145E-3</v>
      </c>
      <c r="AK613" s="31">
        <f t="shared" si="148"/>
        <v>0.96414342629482075</v>
      </c>
      <c r="AL613" s="29">
        <f t="shared" si="149"/>
        <v>0.41666666666666669</v>
      </c>
      <c r="AM613" s="29">
        <f t="shared" si="150"/>
        <v>512.6</v>
      </c>
      <c r="AN613" s="29">
        <f t="shared" si="151"/>
        <v>1.4689816621147092</v>
      </c>
      <c r="AO613" s="29">
        <f t="shared" si="152"/>
        <v>1.4285714285714286</v>
      </c>
      <c r="AP613" s="31">
        <f t="shared" si="153"/>
        <v>1.0282871634802964</v>
      </c>
      <c r="AQ613" s="31">
        <f t="shared" si="154"/>
        <v>0.96414342629482075</v>
      </c>
      <c r="AR613" s="31">
        <f t="shared" si="155"/>
        <v>0.9453125</v>
      </c>
      <c r="AS613" s="29">
        <f t="shared" si="156"/>
        <v>24.151779548472778</v>
      </c>
      <c r="AT613" s="29">
        <f t="shared" si="157"/>
        <v>7.3259527273817531</v>
      </c>
      <c r="AU613" s="27" t="str">
        <f t="shared" si="158"/>
        <v>Medium</v>
      </c>
      <c r="AV613" s="27" t="str">
        <f t="shared" si="159"/>
        <v>Normal</v>
      </c>
      <c r="AW613" s="27"/>
    </row>
    <row r="614" spans="1:49" x14ac:dyDescent="0.25">
      <c r="A614" s="27">
        <v>613</v>
      </c>
      <c r="B614" s="28">
        <v>46199</v>
      </c>
      <c r="C614" s="28" t="str">
        <f t="shared" si="144"/>
        <v>June</v>
      </c>
      <c r="D614" s="27" t="s">
        <v>67</v>
      </c>
      <c r="E614" s="27" t="s">
        <v>76</v>
      </c>
      <c r="F614" s="27" t="s">
        <v>113</v>
      </c>
      <c r="G614" s="27" t="s">
        <v>50</v>
      </c>
      <c r="H614" s="27" t="s">
        <v>68</v>
      </c>
      <c r="I614" s="27" t="s">
        <v>737</v>
      </c>
      <c r="J614" s="27" t="s">
        <v>86</v>
      </c>
      <c r="K614" s="27">
        <v>529</v>
      </c>
      <c r="L614" s="27">
        <v>609</v>
      </c>
      <c r="M614" s="27">
        <v>577</v>
      </c>
      <c r="N614" s="27">
        <v>32</v>
      </c>
      <c r="O614" s="27">
        <v>9</v>
      </c>
      <c r="P614" s="27">
        <v>32</v>
      </c>
      <c r="Q614" s="27" t="s">
        <v>75</v>
      </c>
      <c r="R614" s="27">
        <v>64</v>
      </c>
      <c r="S614" s="27">
        <v>62</v>
      </c>
      <c r="T614" s="29">
        <v>77.099999999999994</v>
      </c>
      <c r="U614" s="29">
        <v>1.87</v>
      </c>
      <c r="V614" s="29">
        <v>21.72</v>
      </c>
      <c r="W614" s="30">
        <v>18344.990000000002</v>
      </c>
      <c r="X614" s="27">
        <v>10.53</v>
      </c>
      <c r="Y614" s="27" t="s">
        <v>66</v>
      </c>
      <c r="Z614" s="29">
        <v>8</v>
      </c>
      <c r="AA614" s="30">
        <v>30533.46</v>
      </c>
      <c r="AB614" s="29">
        <v>0.94745484400656799</v>
      </c>
      <c r="AC614" s="30">
        <v>23278.97</v>
      </c>
      <c r="AD614" s="30">
        <v>271.10822660098501</v>
      </c>
      <c r="AE614" s="27">
        <v>564.26666666666699</v>
      </c>
      <c r="AF614" s="29">
        <v>0.94328922495274103</v>
      </c>
      <c r="AG614" s="30">
        <v>6983.3817733990099</v>
      </c>
      <c r="AH614" s="31">
        <f t="shared" si="145"/>
        <v>1.1512287334593572</v>
      </c>
      <c r="AI614" s="31">
        <f t="shared" si="146"/>
        <v>5.2545155993431854E-2</v>
      </c>
      <c r="AJ614" s="31">
        <f t="shared" si="147"/>
        <v>1.4778325123152709E-2</v>
      </c>
      <c r="AK614" s="31">
        <f t="shared" si="148"/>
        <v>0.9474548440065681</v>
      </c>
      <c r="AL614" s="29">
        <f t="shared" si="149"/>
        <v>0.53333333333333333</v>
      </c>
      <c r="AM614" s="29">
        <f t="shared" si="150"/>
        <v>532.26666666666699</v>
      </c>
      <c r="AN614" s="29">
        <f t="shared" si="151"/>
        <v>1.144163326653306</v>
      </c>
      <c r="AO614" s="29">
        <f t="shared" si="152"/>
        <v>0.9375</v>
      </c>
      <c r="AP614" s="31">
        <f t="shared" si="153"/>
        <v>1.2204408817635264</v>
      </c>
      <c r="AQ614" s="31">
        <f t="shared" si="154"/>
        <v>0.9474548440065681</v>
      </c>
      <c r="AR614" s="31">
        <f t="shared" si="155"/>
        <v>1.0907372400756137</v>
      </c>
      <c r="AS614" s="29">
        <f t="shared" si="156"/>
        <v>38.224909688013135</v>
      </c>
      <c r="AT614" s="29">
        <f t="shared" si="157"/>
        <v>11.466965145154369</v>
      </c>
      <c r="AU614" s="27" t="str">
        <f t="shared" si="158"/>
        <v>Low</v>
      </c>
      <c r="AV614" s="27" t="str">
        <f t="shared" si="159"/>
        <v>Normal</v>
      </c>
      <c r="AW614" s="27"/>
    </row>
    <row r="615" spans="1:49" x14ac:dyDescent="0.25">
      <c r="A615" s="27">
        <v>614</v>
      </c>
      <c r="B615" s="28">
        <v>46043</v>
      </c>
      <c r="C615" s="28" t="str">
        <f t="shared" si="144"/>
        <v>January</v>
      </c>
      <c r="D615" s="27" t="s">
        <v>67</v>
      </c>
      <c r="E615" s="27" t="s">
        <v>98</v>
      </c>
      <c r="F615" s="27" t="s">
        <v>105</v>
      </c>
      <c r="G615" s="27" t="s">
        <v>63</v>
      </c>
      <c r="H615" s="27" t="s">
        <v>124</v>
      </c>
      <c r="I615" s="27" t="s">
        <v>738</v>
      </c>
      <c r="J615" s="27" t="s">
        <v>53</v>
      </c>
      <c r="K615" s="27">
        <v>681</v>
      </c>
      <c r="L615" s="27">
        <v>695</v>
      </c>
      <c r="M615" s="27">
        <v>648</v>
      </c>
      <c r="N615" s="27">
        <v>47</v>
      </c>
      <c r="O615" s="27">
        <v>11</v>
      </c>
      <c r="P615" s="27">
        <v>0</v>
      </c>
      <c r="Q615" s="27" t="s">
        <v>60</v>
      </c>
      <c r="R615" s="27">
        <v>57</v>
      </c>
      <c r="S615" s="27">
        <v>56</v>
      </c>
      <c r="T615" s="29">
        <v>71.3</v>
      </c>
      <c r="U615" s="29">
        <v>1.26</v>
      </c>
      <c r="V615" s="29">
        <v>23.15</v>
      </c>
      <c r="W615" s="30">
        <v>19972.73</v>
      </c>
      <c r="X615" s="27">
        <v>9.2899999999999991</v>
      </c>
      <c r="Y615" s="27" t="s">
        <v>66</v>
      </c>
      <c r="Z615" s="29">
        <v>20</v>
      </c>
      <c r="AA615" s="30">
        <v>30419.37</v>
      </c>
      <c r="AB615" s="29">
        <v>0.93237410071942495</v>
      </c>
      <c r="AC615" s="30">
        <v>24361.58</v>
      </c>
      <c r="AD615" s="30">
        <v>316.11515107913698</v>
      </c>
      <c r="AE615" s="27">
        <v>646.95000000000005</v>
      </c>
      <c r="AF615" s="29">
        <v>1</v>
      </c>
      <c r="AG615" s="30">
        <v>5741.6748489208603</v>
      </c>
      <c r="AH615" s="31">
        <f t="shared" si="145"/>
        <v>1.0205580029368575</v>
      </c>
      <c r="AI615" s="31">
        <f t="shared" si="146"/>
        <v>6.7625899280575538E-2</v>
      </c>
      <c r="AJ615" s="31">
        <f t="shared" si="147"/>
        <v>1.5827338129496403E-2</v>
      </c>
      <c r="AK615" s="31">
        <f t="shared" si="148"/>
        <v>0.9323741007194245</v>
      </c>
      <c r="AL615" s="29">
        <f t="shared" si="149"/>
        <v>0</v>
      </c>
      <c r="AM615" s="29">
        <f t="shared" si="150"/>
        <v>646.95000000000005</v>
      </c>
      <c r="AN615" s="29">
        <f t="shared" si="151"/>
        <v>1.0742715820387974</v>
      </c>
      <c r="AO615" s="29">
        <f t="shared" si="152"/>
        <v>1.0526315789473684</v>
      </c>
      <c r="AP615" s="31">
        <f t="shared" si="153"/>
        <v>1.0205580029368575</v>
      </c>
      <c r="AQ615" s="31">
        <f t="shared" si="154"/>
        <v>0.9323741007194245</v>
      </c>
      <c r="AR615" s="31">
        <f t="shared" si="155"/>
        <v>0.95154185022026427</v>
      </c>
      <c r="AS615" s="29">
        <f t="shared" si="156"/>
        <v>35.052633093525181</v>
      </c>
      <c r="AT615" s="29">
        <f t="shared" si="157"/>
        <v>8.2614026603177848</v>
      </c>
      <c r="AU615" s="27" t="str">
        <f t="shared" si="158"/>
        <v>Low</v>
      </c>
      <c r="AV615" s="27" t="str">
        <f t="shared" si="159"/>
        <v>Normal</v>
      </c>
      <c r="AW615" s="27"/>
    </row>
    <row r="616" spans="1:49" x14ac:dyDescent="0.25">
      <c r="A616" s="27">
        <v>615</v>
      </c>
      <c r="B616" s="28">
        <v>46149</v>
      </c>
      <c r="C616" s="28" t="str">
        <f t="shared" si="144"/>
        <v>May</v>
      </c>
      <c r="D616" s="27" t="s">
        <v>47</v>
      </c>
      <c r="E616" s="27" t="s">
        <v>48</v>
      </c>
      <c r="F616" s="27" t="s">
        <v>56</v>
      </c>
      <c r="G616" s="27" t="s">
        <v>50</v>
      </c>
      <c r="H616" s="27" t="s">
        <v>57</v>
      </c>
      <c r="I616" s="27" t="s">
        <v>739</v>
      </c>
      <c r="J616" s="27" t="s">
        <v>138</v>
      </c>
      <c r="K616" s="27">
        <v>950</v>
      </c>
      <c r="L616" s="27">
        <v>849</v>
      </c>
      <c r="M616" s="27">
        <v>807</v>
      </c>
      <c r="N616" s="27">
        <v>42</v>
      </c>
      <c r="O616" s="27">
        <v>14</v>
      </c>
      <c r="P616" s="27">
        <v>64</v>
      </c>
      <c r="Q616" s="27" t="s">
        <v>104</v>
      </c>
      <c r="R616" s="27">
        <v>45</v>
      </c>
      <c r="S616" s="27">
        <v>47</v>
      </c>
      <c r="T616" s="29">
        <v>78.900000000000006</v>
      </c>
      <c r="U616" s="29">
        <v>2.61</v>
      </c>
      <c r="V616" s="29">
        <v>26.32</v>
      </c>
      <c r="W616" s="30">
        <v>17594.009999999998</v>
      </c>
      <c r="X616" s="27">
        <v>8.64</v>
      </c>
      <c r="Y616" s="27" t="s">
        <v>71</v>
      </c>
      <c r="Z616" s="29">
        <v>45</v>
      </c>
      <c r="AA616" s="30">
        <v>28374.84</v>
      </c>
      <c r="AB616" s="29">
        <v>0.95053003533568903</v>
      </c>
      <c r="AC616" s="30">
        <v>21718.89</v>
      </c>
      <c r="AD616" s="30">
        <v>290.12501766784499</v>
      </c>
      <c r="AE616" s="27">
        <v>712.5</v>
      </c>
      <c r="AF616" s="29">
        <v>0.91017543859649097</v>
      </c>
      <c r="AG616" s="30">
        <v>6365.8249823321603</v>
      </c>
      <c r="AH616" s="31">
        <f t="shared" si="145"/>
        <v>0.89368421052631575</v>
      </c>
      <c r="AI616" s="31">
        <f t="shared" si="146"/>
        <v>4.9469964664310952E-2</v>
      </c>
      <c r="AJ616" s="31">
        <f t="shared" si="147"/>
        <v>1.6489988221436984E-2</v>
      </c>
      <c r="AK616" s="31">
        <f t="shared" si="148"/>
        <v>0.95053003533568903</v>
      </c>
      <c r="AL616" s="29">
        <f t="shared" si="149"/>
        <v>1.0666666666666667</v>
      </c>
      <c r="AM616" s="29">
        <f t="shared" si="150"/>
        <v>648.5</v>
      </c>
      <c r="AN616" s="29">
        <f t="shared" si="151"/>
        <v>1.3091750192752505</v>
      </c>
      <c r="AO616" s="29">
        <f t="shared" si="152"/>
        <v>1.3333333333333333</v>
      </c>
      <c r="AP616" s="31">
        <f t="shared" si="153"/>
        <v>0.98188126445643786</v>
      </c>
      <c r="AQ616" s="31">
        <f t="shared" si="154"/>
        <v>0.95053003533568903</v>
      </c>
      <c r="AR616" s="31">
        <f t="shared" si="155"/>
        <v>0.84947368421052605</v>
      </c>
      <c r="AS616" s="29">
        <f t="shared" si="156"/>
        <v>25.58173144876325</v>
      </c>
      <c r="AT616" s="29">
        <f t="shared" si="157"/>
        <v>7.4980270698847589</v>
      </c>
      <c r="AU616" s="27" t="str">
        <f t="shared" si="158"/>
        <v>High</v>
      </c>
      <c r="AV616" s="27" t="str">
        <f t="shared" si="159"/>
        <v>Warning</v>
      </c>
      <c r="AW616" s="27"/>
    </row>
    <row r="617" spans="1:49" x14ac:dyDescent="0.25">
      <c r="A617" s="27">
        <v>616</v>
      </c>
      <c r="B617" s="28">
        <v>46187</v>
      </c>
      <c r="C617" s="28" t="str">
        <f t="shared" si="144"/>
        <v>June</v>
      </c>
      <c r="D617" s="27" t="s">
        <v>47</v>
      </c>
      <c r="E617" s="27" t="s">
        <v>98</v>
      </c>
      <c r="F617" s="27" t="s">
        <v>105</v>
      </c>
      <c r="G617" s="27" t="s">
        <v>63</v>
      </c>
      <c r="H617" s="27" t="s">
        <v>51</v>
      </c>
      <c r="I617" s="27" t="s">
        <v>740</v>
      </c>
      <c r="J617" s="27" t="s">
        <v>115</v>
      </c>
      <c r="K617" s="27">
        <v>743</v>
      </c>
      <c r="L617" s="27">
        <v>702</v>
      </c>
      <c r="M617" s="27">
        <v>654</v>
      </c>
      <c r="N617" s="27">
        <v>48</v>
      </c>
      <c r="O617" s="27">
        <v>18</v>
      </c>
      <c r="P617" s="27">
        <v>19</v>
      </c>
      <c r="Q617" s="27" t="s">
        <v>54</v>
      </c>
      <c r="R617" s="27">
        <v>42</v>
      </c>
      <c r="S617" s="27">
        <v>46</v>
      </c>
      <c r="T617" s="29">
        <v>65.5</v>
      </c>
      <c r="U617" s="29">
        <v>1.79</v>
      </c>
      <c r="V617" s="29">
        <v>20.53</v>
      </c>
      <c r="W617" s="30">
        <v>12529.34</v>
      </c>
      <c r="X617" s="27">
        <v>7.25</v>
      </c>
      <c r="Y617" s="27" t="s">
        <v>66</v>
      </c>
      <c r="Z617" s="29">
        <v>11</v>
      </c>
      <c r="AA617" s="30">
        <v>21286.62</v>
      </c>
      <c r="AB617" s="29">
        <v>0.93162393162393198</v>
      </c>
      <c r="AC617" s="30">
        <v>15976.61</v>
      </c>
      <c r="AD617" s="30">
        <v>321.26512820512801</v>
      </c>
      <c r="AE617" s="27">
        <v>520.1</v>
      </c>
      <c r="AF617" s="29">
        <v>0.96346856373774303</v>
      </c>
      <c r="AG617" s="30">
        <v>4988.7448717948701</v>
      </c>
      <c r="AH617" s="31">
        <f t="shared" si="145"/>
        <v>0.94481830417227453</v>
      </c>
      <c r="AI617" s="31">
        <f t="shared" si="146"/>
        <v>6.8376068376068383E-2</v>
      </c>
      <c r="AJ617" s="31">
        <f t="shared" si="147"/>
        <v>2.564102564102564E-2</v>
      </c>
      <c r="AK617" s="31">
        <f t="shared" si="148"/>
        <v>0.93162393162393164</v>
      </c>
      <c r="AL617" s="29">
        <f t="shared" si="149"/>
        <v>0.31666666666666665</v>
      </c>
      <c r="AM617" s="29">
        <f t="shared" si="150"/>
        <v>501.1</v>
      </c>
      <c r="AN617" s="29">
        <f t="shared" si="151"/>
        <v>1.4009179804430252</v>
      </c>
      <c r="AO617" s="29">
        <f t="shared" si="152"/>
        <v>1.4285714285714286</v>
      </c>
      <c r="AP617" s="31">
        <f t="shared" si="153"/>
        <v>0.98064258631011758</v>
      </c>
      <c r="AQ617" s="31">
        <f t="shared" si="154"/>
        <v>0.93162393162393164</v>
      </c>
      <c r="AR617" s="31">
        <f t="shared" si="155"/>
        <v>0.88021534320323036</v>
      </c>
      <c r="AS617" s="29">
        <f t="shared" si="156"/>
        <v>22.758703703703706</v>
      </c>
      <c r="AT617" s="29">
        <f t="shared" si="157"/>
        <v>7.1064741763459685</v>
      </c>
      <c r="AU617" s="27" t="str">
        <f t="shared" si="158"/>
        <v>Low</v>
      </c>
      <c r="AV617" s="27" t="str">
        <f t="shared" si="159"/>
        <v>Normal</v>
      </c>
      <c r="AW617" s="27"/>
    </row>
    <row r="618" spans="1:49" x14ac:dyDescent="0.25">
      <c r="A618" s="27">
        <v>617</v>
      </c>
      <c r="B618" s="28">
        <v>46117</v>
      </c>
      <c r="C618" s="28" t="str">
        <f t="shared" si="144"/>
        <v>April</v>
      </c>
      <c r="D618" s="27" t="s">
        <v>67</v>
      </c>
      <c r="E618" s="27" t="s">
        <v>61</v>
      </c>
      <c r="F618" s="27" t="s">
        <v>62</v>
      </c>
      <c r="G618" s="27" t="s">
        <v>63</v>
      </c>
      <c r="H618" s="27" t="s">
        <v>57</v>
      </c>
      <c r="I618" s="27" t="s">
        <v>741</v>
      </c>
      <c r="J618" s="27" t="s">
        <v>218</v>
      </c>
      <c r="K618" s="27">
        <v>783</v>
      </c>
      <c r="L618" s="27">
        <v>828</v>
      </c>
      <c r="M618" s="27">
        <v>798</v>
      </c>
      <c r="N618" s="27">
        <v>30</v>
      </c>
      <c r="O618" s="27">
        <v>5</v>
      </c>
      <c r="P618" s="27">
        <v>34</v>
      </c>
      <c r="Q618" s="27" t="s">
        <v>54</v>
      </c>
      <c r="R618" s="27">
        <v>45</v>
      </c>
      <c r="S618" s="27">
        <v>47</v>
      </c>
      <c r="T618" s="29">
        <v>70.8</v>
      </c>
      <c r="U618" s="29">
        <v>1.69</v>
      </c>
      <c r="V618" s="29">
        <v>29.45</v>
      </c>
      <c r="W618" s="30">
        <v>17766.22</v>
      </c>
      <c r="X618" s="27">
        <v>7.82</v>
      </c>
      <c r="Y618" s="27" t="s">
        <v>66</v>
      </c>
      <c r="Z618" s="29">
        <v>31</v>
      </c>
      <c r="AA618" s="30">
        <v>27576.53</v>
      </c>
      <c r="AB618" s="29">
        <v>0.96376811594202905</v>
      </c>
      <c r="AC618" s="30">
        <v>21550.27</v>
      </c>
      <c r="AD618" s="30">
        <v>107.283937198068</v>
      </c>
      <c r="AE618" s="27">
        <v>587.25</v>
      </c>
      <c r="AF618" s="29">
        <v>0.94210302256279299</v>
      </c>
      <c r="AG618" s="30">
        <v>5918.9760628019303</v>
      </c>
      <c r="AH618" s="31">
        <f t="shared" si="145"/>
        <v>1.0574712643678161</v>
      </c>
      <c r="AI618" s="31">
        <f t="shared" si="146"/>
        <v>3.6231884057971016E-2</v>
      </c>
      <c r="AJ618" s="31">
        <f t="shared" si="147"/>
        <v>6.038647342995169E-3</v>
      </c>
      <c r="AK618" s="31">
        <f t="shared" si="148"/>
        <v>0.96376811594202894</v>
      </c>
      <c r="AL618" s="29">
        <f t="shared" si="149"/>
        <v>0.56666666666666665</v>
      </c>
      <c r="AM618" s="29">
        <f t="shared" si="150"/>
        <v>553.25</v>
      </c>
      <c r="AN618" s="29">
        <f t="shared" si="151"/>
        <v>1.4966109353818347</v>
      </c>
      <c r="AO618" s="29">
        <f t="shared" si="152"/>
        <v>1.3333333333333333</v>
      </c>
      <c r="AP618" s="31">
        <f t="shared" si="153"/>
        <v>1.122458201536376</v>
      </c>
      <c r="AQ618" s="31">
        <f t="shared" si="154"/>
        <v>0.96376811594202894</v>
      </c>
      <c r="AR618" s="31">
        <f t="shared" si="155"/>
        <v>1.0191570881226057</v>
      </c>
      <c r="AS618" s="29">
        <f t="shared" si="156"/>
        <v>26.026896135265702</v>
      </c>
      <c r="AT618" s="29">
        <f t="shared" si="157"/>
        <v>7.1485218149781771</v>
      </c>
      <c r="AU618" s="27" t="str">
        <f t="shared" si="158"/>
        <v>Medium</v>
      </c>
      <c r="AV618" s="27" t="str">
        <f t="shared" si="159"/>
        <v>Normal</v>
      </c>
      <c r="AW618" s="27"/>
    </row>
    <row r="619" spans="1:49" x14ac:dyDescent="0.25">
      <c r="A619" s="27">
        <v>618</v>
      </c>
      <c r="B619" s="28">
        <v>46128</v>
      </c>
      <c r="C619" s="28" t="str">
        <f t="shared" si="144"/>
        <v>April</v>
      </c>
      <c r="D619" s="27" t="s">
        <v>47</v>
      </c>
      <c r="E619" s="27" t="s">
        <v>129</v>
      </c>
      <c r="F619" s="27" t="s">
        <v>167</v>
      </c>
      <c r="G619" s="27" t="s">
        <v>50</v>
      </c>
      <c r="H619" s="27" t="s">
        <v>51</v>
      </c>
      <c r="I619" s="27" t="s">
        <v>742</v>
      </c>
      <c r="J619" s="27" t="s">
        <v>132</v>
      </c>
      <c r="K619" s="27">
        <v>962</v>
      </c>
      <c r="L619" s="27">
        <v>966</v>
      </c>
      <c r="M619" s="27">
        <v>881</v>
      </c>
      <c r="N619" s="27">
        <v>85</v>
      </c>
      <c r="O619" s="27">
        <v>21</v>
      </c>
      <c r="P619" s="27">
        <v>0</v>
      </c>
      <c r="Q619" s="27" t="s">
        <v>60</v>
      </c>
      <c r="R619" s="27">
        <v>42</v>
      </c>
      <c r="S619" s="27">
        <v>42</v>
      </c>
      <c r="T619" s="29">
        <v>68.599999999999994</v>
      </c>
      <c r="U619" s="29">
        <v>1.74</v>
      </c>
      <c r="V619" s="29">
        <v>33.04</v>
      </c>
      <c r="W619" s="30">
        <v>17142.849999999999</v>
      </c>
      <c r="X619" s="27">
        <v>7.96</v>
      </c>
      <c r="Y619" s="27" t="s">
        <v>71</v>
      </c>
      <c r="Z619" s="29">
        <v>24</v>
      </c>
      <c r="AA619" s="30">
        <v>27375.24</v>
      </c>
      <c r="AB619" s="29">
        <v>0.912008281573499</v>
      </c>
      <c r="AC619" s="30">
        <v>21022.21</v>
      </c>
      <c r="AD619" s="30">
        <v>372.67065217391303</v>
      </c>
      <c r="AE619" s="27">
        <v>673.4</v>
      </c>
      <c r="AF619" s="29">
        <v>1</v>
      </c>
      <c r="AG619" s="30">
        <v>5980.35934782609</v>
      </c>
      <c r="AH619" s="31">
        <f t="shared" si="145"/>
        <v>1.004158004158004</v>
      </c>
      <c r="AI619" s="31">
        <f t="shared" si="146"/>
        <v>8.7991718426501039E-2</v>
      </c>
      <c r="AJ619" s="31">
        <f t="shared" si="147"/>
        <v>2.1739130434782608E-2</v>
      </c>
      <c r="AK619" s="31">
        <f t="shared" si="148"/>
        <v>0.912008281573499</v>
      </c>
      <c r="AL619" s="29">
        <f t="shared" si="149"/>
        <v>0</v>
      </c>
      <c r="AM619" s="29">
        <f t="shared" si="150"/>
        <v>673.4</v>
      </c>
      <c r="AN619" s="29">
        <f t="shared" si="151"/>
        <v>1.4345114345114345</v>
      </c>
      <c r="AO619" s="29">
        <f t="shared" si="152"/>
        <v>1.4285714285714286</v>
      </c>
      <c r="AP619" s="31">
        <f t="shared" si="153"/>
        <v>1.004158004158004</v>
      </c>
      <c r="AQ619" s="31">
        <f t="shared" si="154"/>
        <v>0.912008281573499</v>
      </c>
      <c r="AR619" s="31">
        <f t="shared" si="155"/>
        <v>0.91580041580041571</v>
      </c>
      <c r="AS619" s="29">
        <f t="shared" si="156"/>
        <v>21.762122153209109</v>
      </c>
      <c r="AT619" s="29">
        <f t="shared" si="157"/>
        <v>6.1908481861553728</v>
      </c>
      <c r="AU619" s="27" t="str">
        <f t="shared" si="158"/>
        <v>High</v>
      </c>
      <c r="AV619" s="27" t="str">
        <f t="shared" si="159"/>
        <v>Warning</v>
      </c>
      <c r="AW619" s="27"/>
    </row>
    <row r="620" spans="1:49" x14ac:dyDescent="0.25">
      <c r="A620" s="27">
        <v>619</v>
      </c>
      <c r="B620" s="28">
        <v>46083</v>
      </c>
      <c r="C620" s="28" t="str">
        <f t="shared" si="144"/>
        <v>March</v>
      </c>
      <c r="D620" s="27" t="s">
        <v>67</v>
      </c>
      <c r="E620" s="27" t="s">
        <v>61</v>
      </c>
      <c r="F620" s="27" t="s">
        <v>88</v>
      </c>
      <c r="G620" s="27" t="s">
        <v>78</v>
      </c>
      <c r="H620" s="27" t="s">
        <v>124</v>
      </c>
      <c r="I620" s="27" t="s">
        <v>743</v>
      </c>
      <c r="J620" s="27" t="s">
        <v>101</v>
      </c>
      <c r="K620" s="27">
        <v>548</v>
      </c>
      <c r="L620" s="27">
        <v>450</v>
      </c>
      <c r="M620" s="27">
        <v>427</v>
      </c>
      <c r="N620" s="27">
        <v>23</v>
      </c>
      <c r="O620" s="27">
        <v>5</v>
      </c>
      <c r="P620" s="27">
        <v>28</v>
      </c>
      <c r="Q620" s="27" t="s">
        <v>54</v>
      </c>
      <c r="R620" s="27">
        <v>57</v>
      </c>
      <c r="S620" s="27">
        <v>63</v>
      </c>
      <c r="T620" s="29">
        <v>71.599999999999994</v>
      </c>
      <c r="U620" s="29">
        <v>1.9</v>
      </c>
      <c r="V620" s="29">
        <v>19.12</v>
      </c>
      <c r="W620" s="30">
        <v>11995.28</v>
      </c>
      <c r="X620" s="27">
        <v>8.51</v>
      </c>
      <c r="Y620" s="27" t="s">
        <v>110</v>
      </c>
      <c r="Z620" s="29">
        <v>17</v>
      </c>
      <c r="AA620" s="30">
        <v>20061.38</v>
      </c>
      <c r="AB620" s="29">
        <v>0.948888888888889</v>
      </c>
      <c r="AC620" s="30">
        <v>15996.86</v>
      </c>
      <c r="AD620" s="30">
        <v>133.280888888889</v>
      </c>
      <c r="AE620" s="27">
        <v>520.6</v>
      </c>
      <c r="AF620" s="29">
        <v>0.94621590472531703</v>
      </c>
      <c r="AG620" s="30">
        <v>3931.2391111111101</v>
      </c>
      <c r="AH620" s="31">
        <f t="shared" si="145"/>
        <v>0.82116788321167888</v>
      </c>
      <c r="AI620" s="31">
        <f t="shared" si="146"/>
        <v>5.1111111111111114E-2</v>
      </c>
      <c r="AJ620" s="31">
        <f t="shared" si="147"/>
        <v>1.1111111111111112E-2</v>
      </c>
      <c r="AK620" s="31">
        <f t="shared" si="148"/>
        <v>0.94888888888888889</v>
      </c>
      <c r="AL620" s="29">
        <f t="shared" si="149"/>
        <v>0.46666666666666667</v>
      </c>
      <c r="AM620" s="29">
        <f t="shared" si="150"/>
        <v>492.6</v>
      </c>
      <c r="AN620" s="29">
        <f t="shared" si="151"/>
        <v>0.91352009744214369</v>
      </c>
      <c r="AO620" s="29">
        <f t="shared" si="152"/>
        <v>1.0526315789473684</v>
      </c>
      <c r="AP620" s="31">
        <f t="shared" si="153"/>
        <v>0.86784409257003658</v>
      </c>
      <c r="AQ620" s="31">
        <f t="shared" si="154"/>
        <v>0.94888888888888889</v>
      </c>
      <c r="AR620" s="31">
        <f t="shared" si="155"/>
        <v>0.77919708029197099</v>
      </c>
      <c r="AS620" s="29">
        <f t="shared" si="156"/>
        <v>35.54857777777778</v>
      </c>
      <c r="AT620" s="29">
        <f t="shared" si="157"/>
        <v>8.7360869135802446</v>
      </c>
      <c r="AU620" s="27" t="str">
        <f t="shared" si="158"/>
        <v>High</v>
      </c>
      <c r="AV620" s="27" t="str">
        <f t="shared" si="159"/>
        <v>Warning</v>
      </c>
      <c r="AW620" s="27"/>
    </row>
    <row r="621" spans="1:49" x14ac:dyDescent="0.25">
      <c r="A621" s="27">
        <v>620</v>
      </c>
      <c r="B621" s="28">
        <v>46170</v>
      </c>
      <c r="C621" s="28" t="str">
        <f t="shared" si="144"/>
        <v>May</v>
      </c>
      <c r="D621" s="27" t="s">
        <v>47</v>
      </c>
      <c r="E621" s="27" t="s">
        <v>61</v>
      </c>
      <c r="F621" s="27" t="s">
        <v>95</v>
      </c>
      <c r="G621" s="27" t="s">
        <v>50</v>
      </c>
      <c r="H621" s="27" t="s">
        <v>68</v>
      </c>
      <c r="I621" s="27" t="s">
        <v>744</v>
      </c>
      <c r="J621" s="27" t="s">
        <v>70</v>
      </c>
      <c r="K621" s="27">
        <v>646</v>
      </c>
      <c r="L621" s="27">
        <v>701</v>
      </c>
      <c r="M621" s="27">
        <v>660</v>
      </c>
      <c r="N621" s="27">
        <v>41</v>
      </c>
      <c r="O621" s="27">
        <v>15</v>
      </c>
      <c r="P621" s="27">
        <v>0</v>
      </c>
      <c r="Q621" s="27" t="s">
        <v>60</v>
      </c>
      <c r="R621" s="27">
        <v>64</v>
      </c>
      <c r="S621" s="27">
        <v>61</v>
      </c>
      <c r="T621" s="29">
        <v>72.8</v>
      </c>
      <c r="U621" s="29">
        <v>2.27</v>
      </c>
      <c r="V621" s="29">
        <v>21.92</v>
      </c>
      <c r="W621" s="30">
        <v>21955.77</v>
      </c>
      <c r="X621" s="27">
        <v>10.06</v>
      </c>
      <c r="Y621" s="27" t="s">
        <v>110</v>
      </c>
      <c r="Z621" s="29">
        <v>26</v>
      </c>
      <c r="AA621" s="30">
        <v>35268.58</v>
      </c>
      <c r="AB621" s="29">
        <v>0.94151212553495001</v>
      </c>
      <c r="AC621" s="30">
        <v>26680.05</v>
      </c>
      <c r="AD621" s="30">
        <v>469.80962910128397</v>
      </c>
      <c r="AE621" s="27">
        <v>689.06666666666695</v>
      </c>
      <c r="AF621" s="29">
        <v>1</v>
      </c>
      <c r="AG621" s="30">
        <v>8118.7203708987199</v>
      </c>
      <c r="AH621" s="31">
        <f t="shared" si="145"/>
        <v>1.085139318885449</v>
      </c>
      <c r="AI621" s="31">
        <f t="shared" si="146"/>
        <v>5.8487874465049931E-2</v>
      </c>
      <c r="AJ621" s="31">
        <f t="shared" si="147"/>
        <v>2.1398002853067047E-2</v>
      </c>
      <c r="AK621" s="31">
        <f t="shared" si="148"/>
        <v>0.94151212553495012</v>
      </c>
      <c r="AL621" s="29">
        <f t="shared" si="149"/>
        <v>0</v>
      </c>
      <c r="AM621" s="29">
        <f t="shared" si="150"/>
        <v>689.06666666666695</v>
      </c>
      <c r="AN621" s="29">
        <f t="shared" si="151"/>
        <v>1.017318111455108</v>
      </c>
      <c r="AO621" s="29">
        <f t="shared" si="152"/>
        <v>0.9375</v>
      </c>
      <c r="AP621" s="31">
        <f t="shared" si="153"/>
        <v>1.0851393188854486</v>
      </c>
      <c r="AQ621" s="31">
        <f t="shared" si="154"/>
        <v>0.94151212553495012</v>
      </c>
      <c r="AR621" s="31">
        <f t="shared" si="155"/>
        <v>1.0216718266253868</v>
      </c>
      <c r="AS621" s="29">
        <f t="shared" si="156"/>
        <v>38.059985734664764</v>
      </c>
      <c r="AT621" s="29">
        <f t="shared" si="157"/>
        <v>11.581626777316291</v>
      </c>
      <c r="AU621" s="27" t="str">
        <f t="shared" si="158"/>
        <v>Medium</v>
      </c>
      <c r="AV621" s="27" t="str">
        <f t="shared" si="159"/>
        <v>Normal</v>
      </c>
      <c r="AW621" s="27"/>
    </row>
    <row r="622" spans="1:49" x14ac:dyDescent="0.25">
      <c r="A622" s="27">
        <v>621</v>
      </c>
      <c r="B622" s="28">
        <v>46167</v>
      </c>
      <c r="C622" s="28" t="str">
        <f t="shared" si="144"/>
        <v>May</v>
      </c>
      <c r="D622" s="27" t="s">
        <v>67</v>
      </c>
      <c r="E622" s="27" t="s">
        <v>48</v>
      </c>
      <c r="F622" s="27" t="s">
        <v>56</v>
      </c>
      <c r="G622" s="27" t="s">
        <v>63</v>
      </c>
      <c r="H622" s="27" t="s">
        <v>51</v>
      </c>
      <c r="I622" s="27" t="s">
        <v>745</v>
      </c>
      <c r="J622" s="27" t="s">
        <v>115</v>
      </c>
      <c r="K622" s="27">
        <v>886</v>
      </c>
      <c r="L622" s="27">
        <v>777</v>
      </c>
      <c r="M622" s="27">
        <v>726</v>
      </c>
      <c r="N622" s="27">
        <v>51</v>
      </c>
      <c r="O622" s="27">
        <v>11</v>
      </c>
      <c r="P622" s="27">
        <v>37</v>
      </c>
      <c r="Q622" s="27" t="s">
        <v>75</v>
      </c>
      <c r="R622" s="27">
        <v>42</v>
      </c>
      <c r="S622" s="27">
        <v>42</v>
      </c>
      <c r="T622" s="29">
        <v>84.4</v>
      </c>
      <c r="U622" s="29">
        <v>2.25</v>
      </c>
      <c r="V622" s="29">
        <v>27.26</v>
      </c>
      <c r="W622" s="30">
        <v>14317.72</v>
      </c>
      <c r="X622" s="27">
        <v>7.86</v>
      </c>
      <c r="Y622" s="27" t="s">
        <v>66</v>
      </c>
      <c r="Z622" s="29">
        <v>17</v>
      </c>
      <c r="AA622" s="30">
        <v>22678.080000000002</v>
      </c>
      <c r="AB622" s="29">
        <v>0.93436293436293405</v>
      </c>
      <c r="AC622" s="30">
        <v>18100.060000000001</v>
      </c>
      <c r="AD622" s="30">
        <v>202.696164736165</v>
      </c>
      <c r="AE622" s="27">
        <v>620.20000000000005</v>
      </c>
      <c r="AF622" s="29">
        <v>0.94034182521767196</v>
      </c>
      <c r="AG622" s="30">
        <v>4375.32383526384</v>
      </c>
      <c r="AH622" s="31">
        <f t="shared" si="145"/>
        <v>0.87697516930022579</v>
      </c>
      <c r="AI622" s="31">
        <f t="shared" si="146"/>
        <v>6.5637065637065631E-2</v>
      </c>
      <c r="AJ622" s="31">
        <f t="shared" si="147"/>
        <v>1.4157014157014158E-2</v>
      </c>
      <c r="AK622" s="31">
        <f t="shared" si="148"/>
        <v>0.93436293436293438</v>
      </c>
      <c r="AL622" s="29">
        <f t="shared" si="149"/>
        <v>0.6166666666666667</v>
      </c>
      <c r="AM622" s="29">
        <f t="shared" si="150"/>
        <v>583.20000000000005</v>
      </c>
      <c r="AN622" s="29">
        <f t="shared" si="151"/>
        <v>1.332304526748971</v>
      </c>
      <c r="AO622" s="29">
        <f t="shared" si="152"/>
        <v>1.4285714285714286</v>
      </c>
      <c r="AP622" s="31">
        <f t="shared" si="153"/>
        <v>0.93261316872427968</v>
      </c>
      <c r="AQ622" s="31">
        <f t="shared" si="154"/>
        <v>0.93436293436293438</v>
      </c>
      <c r="AR622" s="31">
        <f t="shared" si="155"/>
        <v>0.81941309255079009</v>
      </c>
      <c r="AS622" s="29">
        <f t="shared" si="156"/>
        <v>23.294800514800517</v>
      </c>
      <c r="AT622" s="29">
        <f t="shared" si="157"/>
        <v>5.6310474070319687</v>
      </c>
      <c r="AU622" s="27" t="str">
        <f t="shared" si="158"/>
        <v>Medium</v>
      </c>
      <c r="AV622" s="27" t="str">
        <f t="shared" si="159"/>
        <v>Warning</v>
      </c>
      <c r="AW622" s="27"/>
    </row>
    <row r="623" spans="1:49" x14ac:dyDescent="0.25">
      <c r="A623" s="27">
        <v>622</v>
      </c>
      <c r="B623" s="28">
        <v>46163</v>
      </c>
      <c r="C623" s="28" t="str">
        <f t="shared" si="144"/>
        <v>May</v>
      </c>
      <c r="D623" s="27" t="s">
        <v>67</v>
      </c>
      <c r="E623" s="27" t="s">
        <v>98</v>
      </c>
      <c r="F623" s="27" t="s">
        <v>105</v>
      </c>
      <c r="G623" s="27" t="s">
        <v>63</v>
      </c>
      <c r="H623" s="27" t="s">
        <v>51</v>
      </c>
      <c r="I623" s="27" t="s">
        <v>746</v>
      </c>
      <c r="J623" s="27" t="s">
        <v>53</v>
      </c>
      <c r="K623" s="27">
        <v>738</v>
      </c>
      <c r="L623" s="27">
        <v>621</v>
      </c>
      <c r="M623" s="27">
        <v>586</v>
      </c>
      <c r="N623" s="27">
        <v>35</v>
      </c>
      <c r="O623" s="27">
        <v>14</v>
      </c>
      <c r="P623" s="27">
        <v>37</v>
      </c>
      <c r="Q623" s="27" t="s">
        <v>97</v>
      </c>
      <c r="R623" s="27">
        <v>42</v>
      </c>
      <c r="S623" s="27">
        <v>44</v>
      </c>
      <c r="T623" s="29">
        <v>80.099999999999994</v>
      </c>
      <c r="U623" s="29">
        <v>1.48</v>
      </c>
      <c r="V623" s="29">
        <v>23.76</v>
      </c>
      <c r="W623" s="30">
        <v>11144.28</v>
      </c>
      <c r="X623" s="27">
        <v>7.72</v>
      </c>
      <c r="Y623" s="27" t="s">
        <v>110</v>
      </c>
      <c r="Z623" s="29">
        <v>24</v>
      </c>
      <c r="AA623" s="30">
        <v>19245.11</v>
      </c>
      <c r="AB623" s="29">
        <v>0.94363929146537795</v>
      </c>
      <c r="AC623" s="30">
        <v>14832.12</v>
      </c>
      <c r="AD623" s="30">
        <v>251.239806763285</v>
      </c>
      <c r="AE623" s="27">
        <v>516.6</v>
      </c>
      <c r="AF623" s="29">
        <v>0.92837785520712401</v>
      </c>
      <c r="AG623" s="30">
        <v>4161.7501932367204</v>
      </c>
      <c r="AH623" s="31">
        <f t="shared" si="145"/>
        <v>0.84146341463414631</v>
      </c>
      <c r="AI623" s="31">
        <f t="shared" si="146"/>
        <v>5.6360708534621579E-2</v>
      </c>
      <c r="AJ623" s="31">
        <f t="shared" si="147"/>
        <v>2.2544283413848631E-2</v>
      </c>
      <c r="AK623" s="31">
        <f t="shared" si="148"/>
        <v>0.94363929146537839</v>
      </c>
      <c r="AL623" s="29">
        <f t="shared" si="149"/>
        <v>0.6166666666666667</v>
      </c>
      <c r="AM623" s="29">
        <f t="shared" si="150"/>
        <v>479.6</v>
      </c>
      <c r="AN623" s="29">
        <f t="shared" si="151"/>
        <v>1.2948290241868223</v>
      </c>
      <c r="AO623" s="29">
        <f t="shared" si="152"/>
        <v>1.4285714285714286</v>
      </c>
      <c r="AP623" s="31">
        <f t="shared" si="153"/>
        <v>0.90638031693077559</v>
      </c>
      <c r="AQ623" s="31">
        <f t="shared" si="154"/>
        <v>0.94363929146537839</v>
      </c>
      <c r="AR623" s="31">
        <f t="shared" si="155"/>
        <v>0.79403794037940412</v>
      </c>
      <c r="AS623" s="29">
        <f t="shared" si="156"/>
        <v>23.88425120772947</v>
      </c>
      <c r="AT623" s="29">
        <f t="shared" si="157"/>
        <v>6.7016911324262809</v>
      </c>
      <c r="AU623" s="27" t="str">
        <f t="shared" si="158"/>
        <v>High</v>
      </c>
      <c r="AV623" s="27" t="str">
        <f t="shared" si="159"/>
        <v>Warning</v>
      </c>
      <c r="AW623" s="27"/>
    </row>
    <row r="624" spans="1:49" x14ac:dyDescent="0.25">
      <c r="A624" s="27">
        <v>623</v>
      </c>
      <c r="B624" s="28">
        <v>46084</v>
      </c>
      <c r="C624" s="28" t="str">
        <f t="shared" si="144"/>
        <v>March</v>
      </c>
      <c r="D624" s="27" t="s">
        <v>47</v>
      </c>
      <c r="E624" s="27" t="s">
        <v>61</v>
      </c>
      <c r="F624" s="27" t="s">
        <v>95</v>
      </c>
      <c r="G624" s="27" t="s">
        <v>50</v>
      </c>
      <c r="H624" s="27" t="s">
        <v>51</v>
      </c>
      <c r="I624" s="27" t="s">
        <v>747</v>
      </c>
      <c r="J624" s="27" t="s">
        <v>132</v>
      </c>
      <c r="K624" s="27">
        <v>970</v>
      </c>
      <c r="L624" s="27">
        <v>977</v>
      </c>
      <c r="M624" s="27">
        <v>927</v>
      </c>
      <c r="N624" s="27">
        <v>50</v>
      </c>
      <c r="O624" s="27">
        <v>13</v>
      </c>
      <c r="P624" s="27">
        <v>37</v>
      </c>
      <c r="Q624" s="27" t="s">
        <v>75</v>
      </c>
      <c r="R624" s="27">
        <v>42</v>
      </c>
      <c r="S624" s="27">
        <v>41</v>
      </c>
      <c r="T624" s="29">
        <v>66.3</v>
      </c>
      <c r="U624" s="29">
        <v>1.99</v>
      </c>
      <c r="V624" s="29">
        <v>35.43</v>
      </c>
      <c r="W624" s="30">
        <v>17048.37</v>
      </c>
      <c r="X624" s="27">
        <v>7.58</v>
      </c>
      <c r="Y624" s="27" t="s">
        <v>110</v>
      </c>
      <c r="Z624" s="29">
        <v>26</v>
      </c>
      <c r="AA624" s="30">
        <v>28812.1</v>
      </c>
      <c r="AB624" s="29">
        <v>0.948822927328557</v>
      </c>
      <c r="AC624" s="30">
        <v>20778.240000000002</v>
      </c>
      <c r="AD624" s="30">
        <v>226.84627430910999</v>
      </c>
      <c r="AE624" s="27">
        <v>679</v>
      </c>
      <c r="AF624" s="29">
        <v>0.94550810014727504</v>
      </c>
      <c r="AG624" s="30">
        <v>7807.0137256908902</v>
      </c>
      <c r="AH624" s="31">
        <f t="shared" si="145"/>
        <v>1.0072164948453608</v>
      </c>
      <c r="AI624" s="31">
        <f t="shared" si="146"/>
        <v>5.1177072671443197E-2</v>
      </c>
      <c r="AJ624" s="31">
        <f t="shared" si="147"/>
        <v>1.3306038894575231E-2</v>
      </c>
      <c r="AK624" s="31">
        <f t="shared" si="148"/>
        <v>0.94882292732855678</v>
      </c>
      <c r="AL624" s="29">
        <f t="shared" si="149"/>
        <v>0.6166666666666667</v>
      </c>
      <c r="AM624" s="29">
        <f t="shared" si="150"/>
        <v>642</v>
      </c>
      <c r="AN624" s="29">
        <f t="shared" si="151"/>
        <v>1.5218068535825544</v>
      </c>
      <c r="AO624" s="29">
        <f t="shared" si="152"/>
        <v>1.4285714285714286</v>
      </c>
      <c r="AP624" s="31">
        <f t="shared" si="153"/>
        <v>1.065264797507788</v>
      </c>
      <c r="AQ624" s="31">
        <f t="shared" si="154"/>
        <v>0.94882292732855678</v>
      </c>
      <c r="AR624" s="31">
        <f t="shared" si="155"/>
        <v>0.955670103092783</v>
      </c>
      <c r="AS624" s="29">
        <f t="shared" si="156"/>
        <v>21.26738996929376</v>
      </c>
      <c r="AT624" s="29">
        <f t="shared" si="157"/>
        <v>7.9908021757327434</v>
      </c>
      <c r="AU624" s="27" t="str">
        <f t="shared" si="158"/>
        <v>Medium</v>
      </c>
      <c r="AV624" s="27" t="str">
        <f t="shared" si="159"/>
        <v>Normal</v>
      </c>
      <c r="AW624" s="27"/>
    </row>
    <row r="625" spans="1:49" x14ac:dyDescent="0.25">
      <c r="A625" s="27">
        <v>624</v>
      </c>
      <c r="B625" s="28">
        <v>46093</v>
      </c>
      <c r="C625" s="28" t="str">
        <f t="shared" si="144"/>
        <v>March</v>
      </c>
      <c r="D625" s="27" t="s">
        <v>47</v>
      </c>
      <c r="E625" s="27" t="s">
        <v>98</v>
      </c>
      <c r="F625" s="27" t="s">
        <v>105</v>
      </c>
      <c r="G625" s="27" t="s">
        <v>50</v>
      </c>
      <c r="H625" s="27" t="s">
        <v>51</v>
      </c>
      <c r="I625" s="27" t="s">
        <v>748</v>
      </c>
      <c r="J625" s="27" t="s">
        <v>134</v>
      </c>
      <c r="K625" s="27">
        <v>820</v>
      </c>
      <c r="L625" s="27">
        <v>841</v>
      </c>
      <c r="M625" s="27">
        <v>783</v>
      </c>
      <c r="N625" s="27">
        <v>58</v>
      </c>
      <c r="O625" s="27">
        <v>21</v>
      </c>
      <c r="P625" s="27">
        <v>31</v>
      </c>
      <c r="Q625" s="27" t="s">
        <v>54</v>
      </c>
      <c r="R625" s="27">
        <v>42</v>
      </c>
      <c r="S625" s="27">
        <v>43</v>
      </c>
      <c r="T625" s="29">
        <v>71.099999999999994</v>
      </c>
      <c r="U625" s="29">
        <v>2.0099999999999998</v>
      </c>
      <c r="V625" s="29">
        <v>29.58</v>
      </c>
      <c r="W625" s="30">
        <v>16045.97</v>
      </c>
      <c r="X625" s="27">
        <v>10.210000000000001</v>
      </c>
      <c r="Y625" s="27" t="s">
        <v>66</v>
      </c>
      <c r="Z625" s="29">
        <v>36</v>
      </c>
      <c r="AA625" s="30">
        <v>25338.51</v>
      </c>
      <c r="AB625" s="29">
        <v>0.931034482758621</v>
      </c>
      <c r="AC625" s="30">
        <v>20906.689999999999</v>
      </c>
      <c r="AD625" s="30">
        <v>400.67225921521998</v>
      </c>
      <c r="AE625" s="27">
        <v>574</v>
      </c>
      <c r="AF625" s="29">
        <v>0.94599303135888502</v>
      </c>
      <c r="AG625" s="30">
        <v>4031.1477407847801</v>
      </c>
      <c r="AH625" s="31">
        <f t="shared" si="145"/>
        <v>1.025609756097561</v>
      </c>
      <c r="AI625" s="31">
        <f t="shared" si="146"/>
        <v>6.8965517241379309E-2</v>
      </c>
      <c r="AJ625" s="31">
        <f t="shared" si="147"/>
        <v>2.4970273483947682E-2</v>
      </c>
      <c r="AK625" s="31">
        <f t="shared" si="148"/>
        <v>0.93103448275862066</v>
      </c>
      <c r="AL625" s="29">
        <f t="shared" si="149"/>
        <v>0.51666666666666672</v>
      </c>
      <c r="AM625" s="29">
        <f t="shared" si="150"/>
        <v>543</v>
      </c>
      <c r="AN625" s="29">
        <f t="shared" si="151"/>
        <v>1.5488029465930018</v>
      </c>
      <c r="AO625" s="29">
        <f t="shared" si="152"/>
        <v>1.4285714285714286</v>
      </c>
      <c r="AP625" s="31">
        <f t="shared" si="153"/>
        <v>1.0841620626151012</v>
      </c>
      <c r="AQ625" s="31">
        <f t="shared" si="154"/>
        <v>0.93103448275862066</v>
      </c>
      <c r="AR625" s="31">
        <f t="shared" si="155"/>
        <v>0.95487804878048754</v>
      </c>
      <c r="AS625" s="29">
        <f t="shared" si="156"/>
        <v>24.859322235434007</v>
      </c>
      <c r="AT625" s="29">
        <f t="shared" si="157"/>
        <v>4.7932791210282764</v>
      </c>
      <c r="AU625" s="27" t="str">
        <f t="shared" si="158"/>
        <v>Medium</v>
      </c>
      <c r="AV625" s="27" t="str">
        <f t="shared" si="159"/>
        <v>Normal</v>
      </c>
      <c r="AW625" s="27"/>
    </row>
    <row r="626" spans="1:49" x14ac:dyDescent="0.25">
      <c r="A626" s="27">
        <v>625</v>
      </c>
      <c r="B626" s="28">
        <v>46063</v>
      </c>
      <c r="C626" s="28" t="str">
        <f t="shared" si="144"/>
        <v>February</v>
      </c>
      <c r="D626" s="27" t="s">
        <v>67</v>
      </c>
      <c r="E626" s="27" t="s">
        <v>61</v>
      </c>
      <c r="F626" s="27" t="s">
        <v>88</v>
      </c>
      <c r="G626" s="27" t="s">
        <v>50</v>
      </c>
      <c r="H626" s="27" t="s">
        <v>51</v>
      </c>
      <c r="I626" s="27" t="s">
        <v>749</v>
      </c>
      <c r="J626" s="27" t="s">
        <v>134</v>
      </c>
      <c r="K626" s="27">
        <v>935</v>
      </c>
      <c r="L626" s="27">
        <v>933</v>
      </c>
      <c r="M626" s="27">
        <v>900</v>
      </c>
      <c r="N626" s="27">
        <v>33</v>
      </c>
      <c r="O626" s="27">
        <v>11</v>
      </c>
      <c r="P626" s="27">
        <v>8</v>
      </c>
      <c r="Q626" s="27" t="s">
        <v>54</v>
      </c>
      <c r="R626" s="27">
        <v>42</v>
      </c>
      <c r="S626" s="27">
        <v>41</v>
      </c>
      <c r="T626" s="29">
        <v>81.099999999999994</v>
      </c>
      <c r="U626" s="29">
        <v>1.98</v>
      </c>
      <c r="V626" s="29">
        <v>38.22</v>
      </c>
      <c r="W626" s="30">
        <v>18086.88</v>
      </c>
      <c r="X626" s="27">
        <v>10.199999999999999</v>
      </c>
      <c r="Y626" s="27" t="s">
        <v>71</v>
      </c>
      <c r="Z626" s="29">
        <v>24</v>
      </c>
      <c r="AA626" s="30">
        <v>29467.68</v>
      </c>
      <c r="AB626" s="29">
        <v>0.96463022508038598</v>
      </c>
      <c r="AC626" s="30">
        <v>23020.86</v>
      </c>
      <c r="AD626" s="30">
        <v>213.24295819935699</v>
      </c>
      <c r="AE626" s="27">
        <v>654.5</v>
      </c>
      <c r="AF626" s="29">
        <v>0.98777692895339997</v>
      </c>
      <c r="AG626" s="30">
        <v>6233.5770418006396</v>
      </c>
      <c r="AH626" s="31">
        <f t="shared" si="145"/>
        <v>0.99786096256684487</v>
      </c>
      <c r="AI626" s="31">
        <f t="shared" si="146"/>
        <v>3.5369774919614148E-2</v>
      </c>
      <c r="AJ626" s="31">
        <f t="shared" si="147"/>
        <v>1.1789924973204717E-2</v>
      </c>
      <c r="AK626" s="31">
        <f t="shared" si="148"/>
        <v>0.96463022508038587</v>
      </c>
      <c r="AL626" s="29">
        <f t="shared" si="149"/>
        <v>0.13333333333333333</v>
      </c>
      <c r="AM626" s="29">
        <f t="shared" si="150"/>
        <v>646.5</v>
      </c>
      <c r="AN626" s="29">
        <f t="shared" si="151"/>
        <v>1.4431554524361949</v>
      </c>
      <c r="AO626" s="29">
        <f t="shared" si="152"/>
        <v>1.4285714285714286</v>
      </c>
      <c r="AP626" s="31">
        <f t="shared" si="153"/>
        <v>1.0102088167053365</v>
      </c>
      <c r="AQ626" s="31">
        <f t="shared" si="154"/>
        <v>0.96463022508038587</v>
      </c>
      <c r="AR626" s="31">
        <f t="shared" si="155"/>
        <v>0.96256684491978661</v>
      </c>
      <c r="AS626" s="29">
        <f t="shared" si="156"/>
        <v>24.674019292604502</v>
      </c>
      <c r="AT626" s="29">
        <f t="shared" si="157"/>
        <v>6.6812186943200853</v>
      </c>
      <c r="AU626" s="27" t="str">
        <f t="shared" si="158"/>
        <v>High</v>
      </c>
      <c r="AV626" s="27" t="str">
        <f t="shared" si="159"/>
        <v>Warning</v>
      </c>
      <c r="AW626" s="27"/>
    </row>
    <row r="627" spans="1:49" x14ac:dyDescent="0.25">
      <c r="A627" s="27">
        <v>626</v>
      </c>
      <c r="B627" s="28">
        <v>46063</v>
      </c>
      <c r="C627" s="28" t="str">
        <f t="shared" si="144"/>
        <v>February</v>
      </c>
      <c r="D627" s="27" t="s">
        <v>47</v>
      </c>
      <c r="E627" s="27" t="s">
        <v>61</v>
      </c>
      <c r="F627" s="27" t="s">
        <v>62</v>
      </c>
      <c r="G627" s="27" t="s">
        <v>50</v>
      </c>
      <c r="H627" s="27" t="s">
        <v>57</v>
      </c>
      <c r="I627" s="27" t="s">
        <v>750</v>
      </c>
      <c r="J627" s="27" t="s">
        <v>218</v>
      </c>
      <c r="K627" s="27">
        <v>822</v>
      </c>
      <c r="L627" s="27">
        <v>815</v>
      </c>
      <c r="M627" s="27">
        <v>782</v>
      </c>
      <c r="N627" s="27">
        <v>33</v>
      </c>
      <c r="O627" s="27">
        <v>12</v>
      </c>
      <c r="P627" s="27">
        <v>0</v>
      </c>
      <c r="Q627" s="27" t="s">
        <v>60</v>
      </c>
      <c r="R627" s="27">
        <v>45</v>
      </c>
      <c r="S627" s="27">
        <v>48</v>
      </c>
      <c r="T627" s="29">
        <v>73.7</v>
      </c>
      <c r="U627" s="29">
        <v>1.8</v>
      </c>
      <c r="V627" s="29">
        <v>27.75</v>
      </c>
      <c r="W627" s="30">
        <v>16870.7</v>
      </c>
      <c r="X627" s="27">
        <v>9.75</v>
      </c>
      <c r="Y627" s="27" t="s">
        <v>55</v>
      </c>
      <c r="Z627" s="29">
        <v>38</v>
      </c>
      <c r="AA627" s="30">
        <v>26637.24</v>
      </c>
      <c r="AB627" s="29">
        <v>0.95950920245398796</v>
      </c>
      <c r="AC627" s="30">
        <v>21507.95</v>
      </c>
      <c r="AD627" s="30">
        <v>248.40294478527599</v>
      </c>
      <c r="AE627" s="27">
        <v>616.5</v>
      </c>
      <c r="AF627" s="29">
        <v>1</v>
      </c>
      <c r="AG627" s="30">
        <v>4880.88705521473</v>
      </c>
      <c r="AH627" s="31">
        <f t="shared" si="145"/>
        <v>0.9914841849148418</v>
      </c>
      <c r="AI627" s="31">
        <f t="shared" si="146"/>
        <v>4.0490797546012272E-2</v>
      </c>
      <c r="AJ627" s="31">
        <f t="shared" si="147"/>
        <v>1.4723926380368098E-2</v>
      </c>
      <c r="AK627" s="31">
        <f t="shared" si="148"/>
        <v>0.95950920245398774</v>
      </c>
      <c r="AL627" s="29">
        <f t="shared" si="149"/>
        <v>0</v>
      </c>
      <c r="AM627" s="29">
        <f t="shared" si="150"/>
        <v>616.5</v>
      </c>
      <c r="AN627" s="29">
        <f t="shared" si="151"/>
        <v>1.3219789132197892</v>
      </c>
      <c r="AO627" s="29">
        <f t="shared" si="152"/>
        <v>1.3333333333333333</v>
      </c>
      <c r="AP627" s="31">
        <f t="shared" si="153"/>
        <v>0.99148418491484192</v>
      </c>
      <c r="AQ627" s="31">
        <f t="shared" si="154"/>
        <v>0.95950920245398774</v>
      </c>
      <c r="AR627" s="31">
        <f t="shared" si="155"/>
        <v>0.95133819951338205</v>
      </c>
      <c r="AS627" s="29">
        <f t="shared" si="156"/>
        <v>26.390122699386502</v>
      </c>
      <c r="AT627" s="29">
        <f t="shared" si="157"/>
        <v>5.9888184726561109</v>
      </c>
      <c r="AU627" s="27" t="str">
        <f t="shared" si="158"/>
        <v>Medium</v>
      </c>
      <c r="AV627" s="27" t="str">
        <f t="shared" si="159"/>
        <v>Normal</v>
      </c>
      <c r="AW627" s="27"/>
    </row>
    <row r="628" spans="1:49" x14ac:dyDescent="0.25">
      <c r="A628" s="27">
        <v>627</v>
      </c>
      <c r="B628" s="28">
        <v>46202</v>
      </c>
      <c r="C628" s="28" t="str">
        <f t="shared" si="144"/>
        <v>June</v>
      </c>
      <c r="D628" s="27" t="s">
        <v>47</v>
      </c>
      <c r="E628" s="27" t="s">
        <v>76</v>
      </c>
      <c r="F628" s="27" t="s">
        <v>119</v>
      </c>
      <c r="G628" s="27" t="s">
        <v>50</v>
      </c>
      <c r="H628" s="27" t="s">
        <v>124</v>
      </c>
      <c r="I628" s="27" t="s">
        <v>751</v>
      </c>
      <c r="J628" s="27" t="s">
        <v>153</v>
      </c>
      <c r="K628" s="27">
        <v>533</v>
      </c>
      <c r="L628" s="27">
        <v>480</v>
      </c>
      <c r="M628" s="27">
        <v>436</v>
      </c>
      <c r="N628" s="27">
        <v>44</v>
      </c>
      <c r="O628" s="27">
        <v>14</v>
      </c>
      <c r="P628" s="27">
        <v>22</v>
      </c>
      <c r="Q628" s="27" t="s">
        <v>97</v>
      </c>
      <c r="R628" s="27">
        <v>57</v>
      </c>
      <c r="S628" s="27">
        <v>61</v>
      </c>
      <c r="T628" s="29">
        <v>65.5</v>
      </c>
      <c r="U628" s="29">
        <v>2.17</v>
      </c>
      <c r="V628" s="29">
        <v>16.12</v>
      </c>
      <c r="W628" s="30">
        <v>12623.71</v>
      </c>
      <c r="X628" s="27">
        <v>7.01</v>
      </c>
      <c r="Y628" s="27" t="s">
        <v>55</v>
      </c>
      <c r="Z628" s="29">
        <v>15</v>
      </c>
      <c r="AA628" s="30">
        <v>20477.47</v>
      </c>
      <c r="AB628" s="29">
        <v>0.90833333333333299</v>
      </c>
      <c r="AC628" s="30">
        <v>15923.29</v>
      </c>
      <c r="AD628" s="30">
        <v>368.19154166666698</v>
      </c>
      <c r="AE628" s="27">
        <v>506.35</v>
      </c>
      <c r="AF628" s="29">
        <v>0.95655179223857001</v>
      </c>
      <c r="AG628" s="30">
        <v>4185.9884583333396</v>
      </c>
      <c r="AH628" s="31">
        <f t="shared" si="145"/>
        <v>0.90056285178236395</v>
      </c>
      <c r="AI628" s="31">
        <f t="shared" si="146"/>
        <v>9.166666666666666E-2</v>
      </c>
      <c r="AJ628" s="31">
        <f t="shared" si="147"/>
        <v>2.9166666666666667E-2</v>
      </c>
      <c r="AK628" s="31">
        <f t="shared" si="148"/>
        <v>0.90833333333333333</v>
      </c>
      <c r="AL628" s="29">
        <f t="shared" si="149"/>
        <v>0.36666666666666664</v>
      </c>
      <c r="AM628" s="29">
        <f t="shared" si="150"/>
        <v>484.35</v>
      </c>
      <c r="AN628" s="29">
        <f t="shared" si="151"/>
        <v>0.99101889129761533</v>
      </c>
      <c r="AO628" s="29">
        <f t="shared" si="152"/>
        <v>1.0526315789473684</v>
      </c>
      <c r="AP628" s="31">
        <f t="shared" si="153"/>
        <v>0.9414679467327346</v>
      </c>
      <c r="AQ628" s="31">
        <f t="shared" si="154"/>
        <v>0.90833333333333333</v>
      </c>
      <c r="AR628" s="31">
        <f t="shared" si="155"/>
        <v>0.81801125703564714</v>
      </c>
      <c r="AS628" s="29">
        <f t="shared" si="156"/>
        <v>33.173520833333335</v>
      </c>
      <c r="AT628" s="29">
        <f t="shared" si="157"/>
        <v>8.7208092881944577</v>
      </c>
      <c r="AU628" s="27" t="str">
        <f t="shared" si="158"/>
        <v>Medium</v>
      </c>
      <c r="AV628" s="27" t="str">
        <f t="shared" si="159"/>
        <v>Warning</v>
      </c>
      <c r="AW628" s="27"/>
    </row>
    <row r="629" spans="1:49" x14ac:dyDescent="0.25">
      <c r="A629" s="27">
        <v>628</v>
      </c>
      <c r="B629" s="28">
        <v>46075</v>
      </c>
      <c r="C629" s="28" t="str">
        <f t="shared" si="144"/>
        <v>February</v>
      </c>
      <c r="D629" s="27" t="s">
        <v>47</v>
      </c>
      <c r="E629" s="27" t="s">
        <v>98</v>
      </c>
      <c r="F629" s="27" t="s">
        <v>126</v>
      </c>
      <c r="G629" s="27" t="s">
        <v>63</v>
      </c>
      <c r="H629" s="27" t="s">
        <v>124</v>
      </c>
      <c r="I629" s="27" t="s">
        <v>752</v>
      </c>
      <c r="J629" s="27" t="s">
        <v>218</v>
      </c>
      <c r="K629" s="27">
        <v>538</v>
      </c>
      <c r="L629" s="27">
        <v>479</v>
      </c>
      <c r="M629" s="27">
        <v>448</v>
      </c>
      <c r="N629" s="27">
        <v>31</v>
      </c>
      <c r="O629" s="27">
        <v>6</v>
      </c>
      <c r="P629" s="27">
        <v>25</v>
      </c>
      <c r="Q629" s="27" t="s">
        <v>104</v>
      </c>
      <c r="R629" s="27">
        <v>57</v>
      </c>
      <c r="S629" s="27">
        <v>60</v>
      </c>
      <c r="T629" s="29">
        <v>76.5</v>
      </c>
      <c r="U629" s="29">
        <v>2.09</v>
      </c>
      <c r="V629" s="29">
        <v>15.12</v>
      </c>
      <c r="W629" s="30">
        <v>12420.41</v>
      </c>
      <c r="X629" s="27">
        <v>8.7899999999999991</v>
      </c>
      <c r="Y629" s="27" t="s">
        <v>55</v>
      </c>
      <c r="Z629" s="29">
        <v>39</v>
      </c>
      <c r="AA629" s="30">
        <v>20388.52</v>
      </c>
      <c r="AB629" s="29">
        <v>0.93528183716075197</v>
      </c>
      <c r="AC629" s="30">
        <v>16511.990000000002</v>
      </c>
      <c r="AD629" s="30">
        <v>155.579248434238</v>
      </c>
      <c r="AE629" s="27">
        <v>511.1</v>
      </c>
      <c r="AF629" s="29">
        <v>0.95108589317159098</v>
      </c>
      <c r="AG629" s="30">
        <v>3720.9507515657601</v>
      </c>
      <c r="AH629" s="31">
        <f t="shared" si="145"/>
        <v>0.89033457249070636</v>
      </c>
      <c r="AI629" s="31">
        <f t="shared" si="146"/>
        <v>6.471816283924843E-2</v>
      </c>
      <c r="AJ629" s="31">
        <f t="shared" si="147"/>
        <v>1.2526096033402923E-2</v>
      </c>
      <c r="AK629" s="31">
        <f t="shared" si="148"/>
        <v>0.93528183716075153</v>
      </c>
      <c r="AL629" s="29">
        <f t="shared" si="149"/>
        <v>0.41666666666666669</v>
      </c>
      <c r="AM629" s="29">
        <f t="shared" si="150"/>
        <v>486.1</v>
      </c>
      <c r="AN629" s="29">
        <f t="shared" si="151"/>
        <v>0.98539395186175682</v>
      </c>
      <c r="AO629" s="29">
        <f t="shared" si="152"/>
        <v>1.0526315789473684</v>
      </c>
      <c r="AP629" s="31">
        <f t="shared" si="153"/>
        <v>0.93612425426866908</v>
      </c>
      <c r="AQ629" s="31">
        <f t="shared" si="154"/>
        <v>0.93528183716075153</v>
      </c>
      <c r="AR629" s="31">
        <f t="shared" si="155"/>
        <v>0.8327137546468405</v>
      </c>
      <c r="AS629" s="29">
        <f t="shared" si="156"/>
        <v>34.471795407098128</v>
      </c>
      <c r="AT629" s="29">
        <f t="shared" si="157"/>
        <v>7.7681644082792491</v>
      </c>
      <c r="AU629" s="27" t="str">
        <f t="shared" si="158"/>
        <v>Medium</v>
      </c>
      <c r="AV629" s="27" t="str">
        <f t="shared" si="159"/>
        <v>Warning</v>
      </c>
      <c r="AW629" s="27"/>
    </row>
    <row r="630" spans="1:49" x14ac:dyDescent="0.25">
      <c r="A630" s="27">
        <v>629</v>
      </c>
      <c r="B630" s="28">
        <v>46186</v>
      </c>
      <c r="C630" s="28" t="str">
        <f t="shared" si="144"/>
        <v>June</v>
      </c>
      <c r="D630" s="27" t="s">
        <v>47</v>
      </c>
      <c r="E630" s="27" t="s">
        <v>48</v>
      </c>
      <c r="F630" s="27" t="s">
        <v>49</v>
      </c>
      <c r="G630" s="27" t="s">
        <v>50</v>
      </c>
      <c r="H630" s="27" t="s">
        <v>68</v>
      </c>
      <c r="I630" s="27" t="s">
        <v>753</v>
      </c>
      <c r="J630" s="27" t="s">
        <v>53</v>
      </c>
      <c r="K630" s="27">
        <v>562</v>
      </c>
      <c r="L630" s="27">
        <v>560</v>
      </c>
      <c r="M630" s="27">
        <v>529</v>
      </c>
      <c r="N630" s="27">
        <v>31</v>
      </c>
      <c r="O630" s="27">
        <v>11</v>
      </c>
      <c r="P630" s="27">
        <v>17</v>
      </c>
      <c r="Q630" s="27" t="s">
        <v>82</v>
      </c>
      <c r="R630" s="27">
        <v>64</v>
      </c>
      <c r="S630" s="27">
        <v>68</v>
      </c>
      <c r="T630" s="29">
        <v>67.099999999999994</v>
      </c>
      <c r="U630" s="29">
        <v>2.44</v>
      </c>
      <c r="V630" s="29">
        <v>20.14</v>
      </c>
      <c r="W630" s="30">
        <v>16926.98</v>
      </c>
      <c r="X630" s="27">
        <v>7.7</v>
      </c>
      <c r="Y630" s="27" t="s">
        <v>55</v>
      </c>
      <c r="Z630" s="29">
        <v>12</v>
      </c>
      <c r="AA630" s="30">
        <v>26926.94</v>
      </c>
      <c r="AB630" s="29">
        <v>0.94464285714285701</v>
      </c>
      <c r="AC630" s="30">
        <v>20573.240000000002</v>
      </c>
      <c r="AD630" s="30">
        <v>332.49425000000002</v>
      </c>
      <c r="AE630" s="27">
        <v>599.46666666666704</v>
      </c>
      <c r="AF630" s="29">
        <v>0.97164145907473298</v>
      </c>
      <c r="AG630" s="30">
        <v>6021.2057500000001</v>
      </c>
      <c r="AH630" s="31">
        <f t="shared" si="145"/>
        <v>0.99644128113879005</v>
      </c>
      <c r="AI630" s="31">
        <f t="shared" si="146"/>
        <v>5.5357142857142855E-2</v>
      </c>
      <c r="AJ630" s="31">
        <f t="shared" si="147"/>
        <v>1.9642857142857142E-2</v>
      </c>
      <c r="AK630" s="31">
        <f t="shared" si="148"/>
        <v>0.94464285714285712</v>
      </c>
      <c r="AL630" s="29">
        <f t="shared" si="149"/>
        <v>0.28333333333333333</v>
      </c>
      <c r="AM630" s="29">
        <f t="shared" si="150"/>
        <v>582.46666666666704</v>
      </c>
      <c r="AN630" s="29">
        <f t="shared" si="151"/>
        <v>0.96142840792033812</v>
      </c>
      <c r="AO630" s="29">
        <f t="shared" si="152"/>
        <v>0.9375</v>
      </c>
      <c r="AP630" s="31">
        <f t="shared" si="153"/>
        <v>1.0255236351150274</v>
      </c>
      <c r="AQ630" s="31">
        <f t="shared" si="154"/>
        <v>0.94464285714285712</v>
      </c>
      <c r="AR630" s="31">
        <f t="shared" si="155"/>
        <v>0.94128113879003483</v>
      </c>
      <c r="AS630" s="29">
        <f t="shared" si="156"/>
        <v>36.737928571428576</v>
      </c>
      <c r="AT630" s="29">
        <f t="shared" si="157"/>
        <v>10.752153125</v>
      </c>
      <c r="AU630" s="27" t="str">
        <f t="shared" si="158"/>
        <v>Low</v>
      </c>
      <c r="AV630" s="27" t="str">
        <f t="shared" si="159"/>
        <v>Normal</v>
      </c>
      <c r="AW630" s="27"/>
    </row>
    <row r="631" spans="1:49" x14ac:dyDescent="0.25">
      <c r="A631" s="27">
        <v>630</v>
      </c>
      <c r="B631" s="28">
        <v>46194</v>
      </c>
      <c r="C631" s="28" t="str">
        <f t="shared" si="144"/>
        <v>June</v>
      </c>
      <c r="D631" s="27" t="s">
        <v>67</v>
      </c>
      <c r="E631" s="27" t="s">
        <v>129</v>
      </c>
      <c r="F631" s="27" t="s">
        <v>151</v>
      </c>
      <c r="G631" s="27" t="s">
        <v>63</v>
      </c>
      <c r="H631" s="27" t="s">
        <v>57</v>
      </c>
      <c r="I631" s="27" t="s">
        <v>754</v>
      </c>
      <c r="J631" s="27" t="s">
        <v>101</v>
      </c>
      <c r="K631" s="27">
        <v>769</v>
      </c>
      <c r="L631" s="27">
        <v>770</v>
      </c>
      <c r="M631" s="27">
        <v>735</v>
      </c>
      <c r="N631" s="27">
        <v>35</v>
      </c>
      <c r="O631" s="27">
        <v>11</v>
      </c>
      <c r="P631" s="27">
        <v>16</v>
      </c>
      <c r="Q631" s="27" t="s">
        <v>54</v>
      </c>
      <c r="R631" s="27">
        <v>45</v>
      </c>
      <c r="S631" s="27">
        <v>46</v>
      </c>
      <c r="T631" s="29">
        <v>77.2</v>
      </c>
      <c r="U631" s="29">
        <v>2.19</v>
      </c>
      <c r="V631" s="29">
        <v>22.32</v>
      </c>
      <c r="W631" s="30">
        <v>15303.14</v>
      </c>
      <c r="X631" s="27">
        <v>8.35</v>
      </c>
      <c r="Y631" s="27" t="s">
        <v>55</v>
      </c>
      <c r="Z631" s="29">
        <v>23</v>
      </c>
      <c r="AA631" s="30">
        <v>25511.17</v>
      </c>
      <c r="AB631" s="29">
        <v>0.95454545454545503</v>
      </c>
      <c r="AC631" s="30">
        <v>19261.52</v>
      </c>
      <c r="AD631" s="30">
        <v>218.61628571428599</v>
      </c>
      <c r="AE631" s="27">
        <v>576.75</v>
      </c>
      <c r="AF631" s="29">
        <v>0.97225834416991797</v>
      </c>
      <c r="AG631" s="30">
        <v>6031.0337142857097</v>
      </c>
      <c r="AH631" s="31">
        <f t="shared" si="145"/>
        <v>1.0013003901170352</v>
      </c>
      <c r="AI631" s="31">
        <f t="shared" si="146"/>
        <v>4.5454545454545456E-2</v>
      </c>
      <c r="AJ631" s="31">
        <f t="shared" si="147"/>
        <v>1.4285714285714285E-2</v>
      </c>
      <c r="AK631" s="31">
        <f t="shared" si="148"/>
        <v>0.95454545454545459</v>
      </c>
      <c r="AL631" s="29">
        <f t="shared" si="149"/>
        <v>0.26666666666666666</v>
      </c>
      <c r="AM631" s="29">
        <f t="shared" si="150"/>
        <v>560.75</v>
      </c>
      <c r="AN631" s="29">
        <f t="shared" si="151"/>
        <v>1.3731609451627285</v>
      </c>
      <c r="AO631" s="29">
        <f t="shared" si="152"/>
        <v>1.3333333333333333</v>
      </c>
      <c r="AP631" s="31">
        <f t="shared" si="153"/>
        <v>1.0298707088720465</v>
      </c>
      <c r="AQ631" s="31">
        <f t="shared" si="154"/>
        <v>0.95454545454545459</v>
      </c>
      <c r="AR631" s="31">
        <f t="shared" si="155"/>
        <v>0.95578673602080677</v>
      </c>
      <c r="AS631" s="29">
        <f t="shared" si="156"/>
        <v>25.01496103896104</v>
      </c>
      <c r="AT631" s="29">
        <f t="shared" si="157"/>
        <v>7.832511317254168</v>
      </c>
      <c r="AU631" s="27" t="str">
        <f t="shared" si="158"/>
        <v>Low</v>
      </c>
      <c r="AV631" s="27" t="str">
        <f t="shared" si="159"/>
        <v>Normal</v>
      </c>
      <c r="AW631" s="27"/>
    </row>
    <row r="632" spans="1:49" x14ac:dyDescent="0.25">
      <c r="A632" s="27">
        <v>631</v>
      </c>
      <c r="B632" s="28">
        <v>46155</v>
      </c>
      <c r="C632" s="28" t="str">
        <f t="shared" si="144"/>
        <v>May</v>
      </c>
      <c r="D632" s="27" t="s">
        <v>67</v>
      </c>
      <c r="E632" s="27" t="s">
        <v>76</v>
      </c>
      <c r="F632" s="27" t="s">
        <v>77</v>
      </c>
      <c r="G632" s="27" t="s">
        <v>50</v>
      </c>
      <c r="H632" s="27" t="s">
        <v>124</v>
      </c>
      <c r="I632" s="27" t="s">
        <v>755</v>
      </c>
      <c r="J632" s="27" t="s">
        <v>115</v>
      </c>
      <c r="K632" s="27">
        <v>625</v>
      </c>
      <c r="L632" s="27">
        <v>531</v>
      </c>
      <c r="M632" s="27">
        <v>501</v>
      </c>
      <c r="N632" s="27">
        <v>30</v>
      </c>
      <c r="O632" s="27">
        <v>11</v>
      </c>
      <c r="P632" s="27">
        <v>34</v>
      </c>
      <c r="Q632" s="27" t="s">
        <v>75</v>
      </c>
      <c r="R632" s="27">
        <v>57</v>
      </c>
      <c r="S632" s="27">
        <v>60</v>
      </c>
      <c r="T632" s="29">
        <v>78.900000000000006</v>
      </c>
      <c r="U632" s="29">
        <v>2.19</v>
      </c>
      <c r="V632" s="29">
        <v>20.440000000000001</v>
      </c>
      <c r="W632" s="30">
        <v>14090.68</v>
      </c>
      <c r="X632" s="27">
        <v>7.27</v>
      </c>
      <c r="Y632" s="27" t="s">
        <v>71</v>
      </c>
      <c r="Z632" s="29">
        <v>22</v>
      </c>
      <c r="AA632" s="30">
        <v>23126.560000000001</v>
      </c>
      <c r="AB632" s="29">
        <v>0.94350282485875703</v>
      </c>
      <c r="AC632" s="30">
        <v>17546.14</v>
      </c>
      <c r="AD632" s="30">
        <v>291.89732580037702</v>
      </c>
      <c r="AE632" s="27">
        <v>593.75</v>
      </c>
      <c r="AF632" s="29">
        <v>0.94273684210526298</v>
      </c>
      <c r="AG632" s="30">
        <v>5288.5226741996303</v>
      </c>
      <c r="AH632" s="31">
        <f t="shared" si="145"/>
        <v>0.84960000000000002</v>
      </c>
      <c r="AI632" s="31">
        <f t="shared" si="146"/>
        <v>5.6497175141242938E-2</v>
      </c>
      <c r="AJ632" s="31">
        <f t="shared" si="147"/>
        <v>2.0715630885122412E-2</v>
      </c>
      <c r="AK632" s="31">
        <f t="shared" si="148"/>
        <v>0.94350282485875703</v>
      </c>
      <c r="AL632" s="29">
        <f t="shared" si="149"/>
        <v>0.56666666666666665</v>
      </c>
      <c r="AM632" s="29">
        <f t="shared" si="150"/>
        <v>559.75</v>
      </c>
      <c r="AN632" s="29">
        <f t="shared" si="151"/>
        <v>0.94863778472532378</v>
      </c>
      <c r="AO632" s="29">
        <f t="shared" si="152"/>
        <v>1.0526315789473684</v>
      </c>
      <c r="AP632" s="31">
        <f t="shared" si="153"/>
        <v>0.90120589548905761</v>
      </c>
      <c r="AQ632" s="31">
        <f t="shared" si="154"/>
        <v>0.94350282485875703</v>
      </c>
      <c r="AR632" s="31">
        <f t="shared" si="155"/>
        <v>0.80159999999999976</v>
      </c>
      <c r="AS632" s="29">
        <f t="shared" si="156"/>
        <v>33.04357815442561</v>
      </c>
      <c r="AT632" s="29">
        <f t="shared" si="157"/>
        <v>9.9595530587563665</v>
      </c>
      <c r="AU632" s="27" t="str">
        <f t="shared" si="158"/>
        <v>High</v>
      </c>
      <c r="AV632" s="27" t="str">
        <f t="shared" si="159"/>
        <v>Warning</v>
      </c>
      <c r="AW632" s="27"/>
    </row>
    <row r="633" spans="1:49" x14ac:dyDescent="0.25">
      <c r="A633" s="27">
        <v>632</v>
      </c>
      <c r="B633" s="28">
        <v>46181</v>
      </c>
      <c r="C633" s="28" t="str">
        <f t="shared" si="144"/>
        <v>June</v>
      </c>
      <c r="D633" s="27" t="s">
        <v>67</v>
      </c>
      <c r="E633" s="27" t="s">
        <v>48</v>
      </c>
      <c r="F633" s="27" t="s">
        <v>49</v>
      </c>
      <c r="G633" s="27" t="s">
        <v>63</v>
      </c>
      <c r="H633" s="27" t="s">
        <v>68</v>
      </c>
      <c r="I633" s="27" t="s">
        <v>756</v>
      </c>
      <c r="J633" s="27" t="s">
        <v>175</v>
      </c>
      <c r="K633" s="27">
        <v>497</v>
      </c>
      <c r="L633" s="27">
        <v>447</v>
      </c>
      <c r="M633" s="27">
        <v>420</v>
      </c>
      <c r="N633" s="27">
        <v>27</v>
      </c>
      <c r="O633" s="27">
        <v>11</v>
      </c>
      <c r="P633" s="27">
        <v>47</v>
      </c>
      <c r="Q633" s="27" t="s">
        <v>97</v>
      </c>
      <c r="R633" s="27">
        <v>64</v>
      </c>
      <c r="S633" s="27">
        <v>69</v>
      </c>
      <c r="T633" s="29">
        <v>71.900000000000006</v>
      </c>
      <c r="U633" s="29">
        <v>2.61</v>
      </c>
      <c r="V633" s="29">
        <v>18.940000000000001</v>
      </c>
      <c r="W633" s="30">
        <v>14244.92</v>
      </c>
      <c r="X633" s="27">
        <v>9.33</v>
      </c>
      <c r="Y633" s="27" t="s">
        <v>66</v>
      </c>
      <c r="Z633" s="29">
        <v>12</v>
      </c>
      <c r="AA633" s="30">
        <v>21902.21</v>
      </c>
      <c r="AB633" s="29">
        <v>0.93959731543624203</v>
      </c>
      <c r="AC633" s="30">
        <v>18613.88</v>
      </c>
      <c r="AD633" s="30">
        <v>350.54612975391501</v>
      </c>
      <c r="AE633" s="27">
        <v>530.13333333333298</v>
      </c>
      <c r="AF633" s="29">
        <v>0.91134305835010099</v>
      </c>
      <c r="AG633" s="30">
        <v>2937.7838702460899</v>
      </c>
      <c r="AH633" s="31">
        <f t="shared" si="145"/>
        <v>0.89939637826961771</v>
      </c>
      <c r="AI633" s="31">
        <f t="shared" si="146"/>
        <v>6.0402684563758392E-2</v>
      </c>
      <c r="AJ633" s="31">
        <f t="shared" si="147"/>
        <v>2.4608501118568233E-2</v>
      </c>
      <c r="AK633" s="31">
        <f t="shared" si="148"/>
        <v>0.93959731543624159</v>
      </c>
      <c r="AL633" s="29">
        <f t="shared" si="149"/>
        <v>0.78333333333333333</v>
      </c>
      <c r="AM633" s="29">
        <f t="shared" si="150"/>
        <v>483.13333333333298</v>
      </c>
      <c r="AN633" s="29">
        <f t="shared" si="151"/>
        <v>0.92521043190285701</v>
      </c>
      <c r="AO633" s="29">
        <f t="shared" si="152"/>
        <v>0.9375</v>
      </c>
      <c r="AP633" s="31">
        <f t="shared" si="153"/>
        <v>0.98689112736304752</v>
      </c>
      <c r="AQ633" s="31">
        <f t="shared" si="154"/>
        <v>0.93959731543624159</v>
      </c>
      <c r="AR633" s="31">
        <f t="shared" si="155"/>
        <v>0.84507042253521214</v>
      </c>
      <c r="AS633" s="29">
        <f t="shared" si="156"/>
        <v>41.641789709172265</v>
      </c>
      <c r="AT633" s="29">
        <f t="shared" si="157"/>
        <v>6.5722234233693291</v>
      </c>
      <c r="AU633" s="27" t="str">
        <f t="shared" si="158"/>
        <v>Medium</v>
      </c>
      <c r="AV633" s="27" t="str">
        <f t="shared" si="159"/>
        <v>Warning</v>
      </c>
      <c r="AW633" s="27"/>
    </row>
    <row r="634" spans="1:49" x14ac:dyDescent="0.25">
      <c r="A634" s="27">
        <v>633</v>
      </c>
      <c r="B634" s="28">
        <v>46144</v>
      </c>
      <c r="C634" s="28" t="str">
        <f t="shared" si="144"/>
        <v>May</v>
      </c>
      <c r="D634" s="27" t="s">
        <v>67</v>
      </c>
      <c r="E634" s="27" t="s">
        <v>98</v>
      </c>
      <c r="F634" s="27" t="s">
        <v>126</v>
      </c>
      <c r="G634" s="27" t="s">
        <v>50</v>
      </c>
      <c r="H634" s="27" t="s">
        <v>57</v>
      </c>
      <c r="I634" s="27" t="s">
        <v>757</v>
      </c>
      <c r="J634" s="27" t="s">
        <v>138</v>
      </c>
      <c r="K634" s="27">
        <v>950</v>
      </c>
      <c r="L634" s="27">
        <v>904</v>
      </c>
      <c r="M634" s="27">
        <v>834</v>
      </c>
      <c r="N634" s="27">
        <v>70</v>
      </c>
      <c r="O634" s="27">
        <v>18</v>
      </c>
      <c r="P634" s="27">
        <v>30</v>
      </c>
      <c r="Q634" s="27" t="s">
        <v>54</v>
      </c>
      <c r="R634" s="27">
        <v>45</v>
      </c>
      <c r="S634" s="27">
        <v>46</v>
      </c>
      <c r="T634" s="29">
        <v>64.8</v>
      </c>
      <c r="U634" s="29">
        <v>1.47</v>
      </c>
      <c r="V634" s="29">
        <v>29.88</v>
      </c>
      <c r="W634" s="30">
        <v>19375.830000000002</v>
      </c>
      <c r="X634" s="27">
        <v>9.23</v>
      </c>
      <c r="Y634" s="27" t="s">
        <v>55</v>
      </c>
      <c r="Z634" s="29">
        <v>16</v>
      </c>
      <c r="AA634" s="30">
        <v>29579.25</v>
      </c>
      <c r="AB634" s="29">
        <v>0.92256637168141598</v>
      </c>
      <c r="AC634" s="30">
        <v>23798.25</v>
      </c>
      <c r="AD634" s="30">
        <v>385.80192477876102</v>
      </c>
      <c r="AE634" s="27">
        <v>712.5</v>
      </c>
      <c r="AF634" s="29">
        <v>0.95789473684210502</v>
      </c>
      <c r="AG634" s="30">
        <v>5395.1980752212403</v>
      </c>
      <c r="AH634" s="31">
        <f t="shared" si="145"/>
        <v>0.95157894736842108</v>
      </c>
      <c r="AI634" s="31">
        <f t="shared" si="146"/>
        <v>7.7433628318584066E-2</v>
      </c>
      <c r="AJ634" s="31">
        <f t="shared" si="147"/>
        <v>1.9911504424778761E-2</v>
      </c>
      <c r="AK634" s="31">
        <f t="shared" si="148"/>
        <v>0.92256637168141598</v>
      </c>
      <c r="AL634" s="29">
        <f t="shared" si="149"/>
        <v>0.5</v>
      </c>
      <c r="AM634" s="29">
        <f t="shared" si="150"/>
        <v>682.5</v>
      </c>
      <c r="AN634" s="29">
        <f t="shared" si="151"/>
        <v>1.3245421245421245</v>
      </c>
      <c r="AO634" s="29">
        <f t="shared" si="152"/>
        <v>1.3333333333333333</v>
      </c>
      <c r="AP634" s="31">
        <f t="shared" si="153"/>
        <v>0.99340659340659343</v>
      </c>
      <c r="AQ634" s="31">
        <f t="shared" si="154"/>
        <v>0.92256637168141598</v>
      </c>
      <c r="AR634" s="31">
        <f t="shared" si="155"/>
        <v>0.87789473684210517</v>
      </c>
      <c r="AS634" s="29">
        <f t="shared" si="156"/>
        <v>26.325497787610619</v>
      </c>
      <c r="AT634" s="29">
        <f t="shared" si="157"/>
        <v>5.96813946374031</v>
      </c>
      <c r="AU634" s="27" t="str">
        <f t="shared" si="158"/>
        <v>Low</v>
      </c>
      <c r="AV634" s="27" t="str">
        <f t="shared" si="159"/>
        <v>Normal</v>
      </c>
      <c r="AW634" s="27"/>
    </row>
    <row r="635" spans="1:49" x14ac:dyDescent="0.25">
      <c r="A635" s="27">
        <v>634</v>
      </c>
      <c r="B635" s="28">
        <v>46158</v>
      </c>
      <c r="C635" s="28" t="str">
        <f t="shared" si="144"/>
        <v>May</v>
      </c>
      <c r="D635" s="27" t="s">
        <v>67</v>
      </c>
      <c r="E635" s="27" t="s">
        <v>98</v>
      </c>
      <c r="F635" s="27" t="s">
        <v>105</v>
      </c>
      <c r="G635" s="27" t="s">
        <v>50</v>
      </c>
      <c r="H635" s="27" t="s">
        <v>57</v>
      </c>
      <c r="I635" s="27" t="s">
        <v>758</v>
      </c>
      <c r="J635" s="27" t="s">
        <v>140</v>
      </c>
      <c r="K635" s="27">
        <v>916</v>
      </c>
      <c r="L635" s="27">
        <v>906</v>
      </c>
      <c r="M635" s="27">
        <v>843</v>
      </c>
      <c r="N635" s="27">
        <v>63</v>
      </c>
      <c r="O635" s="27">
        <v>24</v>
      </c>
      <c r="P635" s="27">
        <v>28</v>
      </c>
      <c r="Q635" s="27" t="s">
        <v>97</v>
      </c>
      <c r="R635" s="27">
        <v>45</v>
      </c>
      <c r="S635" s="27">
        <v>46</v>
      </c>
      <c r="T635" s="29">
        <v>66.900000000000006</v>
      </c>
      <c r="U635" s="29">
        <v>2.68</v>
      </c>
      <c r="V635" s="29">
        <v>27.3</v>
      </c>
      <c r="W635" s="30">
        <v>17969.18</v>
      </c>
      <c r="X635" s="27">
        <v>9.33</v>
      </c>
      <c r="Y635" s="27" t="s">
        <v>55</v>
      </c>
      <c r="Z635" s="29">
        <v>21</v>
      </c>
      <c r="AA635" s="30">
        <v>29829.29</v>
      </c>
      <c r="AB635" s="29">
        <v>0.93046357615894004</v>
      </c>
      <c r="AC635" s="30">
        <v>22413.38</v>
      </c>
      <c r="AD635" s="30">
        <v>476.00476821192098</v>
      </c>
      <c r="AE635" s="27">
        <v>687</v>
      </c>
      <c r="AF635" s="29">
        <v>0.95924308588064</v>
      </c>
      <c r="AG635" s="30">
        <v>6939.9052317880796</v>
      </c>
      <c r="AH635" s="31">
        <f t="shared" si="145"/>
        <v>0.98908296943231444</v>
      </c>
      <c r="AI635" s="31">
        <f t="shared" si="146"/>
        <v>6.9536423841059597E-2</v>
      </c>
      <c r="AJ635" s="31">
        <f t="shared" si="147"/>
        <v>2.6490066225165563E-2</v>
      </c>
      <c r="AK635" s="31">
        <f t="shared" si="148"/>
        <v>0.93046357615894038</v>
      </c>
      <c r="AL635" s="29">
        <f t="shared" si="149"/>
        <v>0.46666666666666667</v>
      </c>
      <c r="AM635" s="29">
        <f t="shared" si="150"/>
        <v>659</v>
      </c>
      <c r="AN635" s="29">
        <f t="shared" si="151"/>
        <v>1.3748103186646434</v>
      </c>
      <c r="AO635" s="29">
        <f t="shared" si="152"/>
        <v>1.3333333333333333</v>
      </c>
      <c r="AP635" s="31">
        <f t="shared" si="153"/>
        <v>1.0311077389984826</v>
      </c>
      <c r="AQ635" s="31">
        <f t="shared" si="154"/>
        <v>0.93046357615894038</v>
      </c>
      <c r="AR635" s="31">
        <f t="shared" si="155"/>
        <v>0.92030567685589482</v>
      </c>
      <c r="AS635" s="29">
        <f t="shared" si="156"/>
        <v>24.738830022075057</v>
      </c>
      <c r="AT635" s="29">
        <f t="shared" si="157"/>
        <v>7.6599395494349665</v>
      </c>
      <c r="AU635" s="27" t="str">
        <f t="shared" si="158"/>
        <v>Low</v>
      </c>
      <c r="AV635" s="27" t="str">
        <f t="shared" si="159"/>
        <v>Normal</v>
      </c>
      <c r="AW635" s="27"/>
    </row>
    <row r="636" spans="1:49" x14ac:dyDescent="0.25">
      <c r="A636" s="27">
        <v>635</v>
      </c>
      <c r="B636" s="28">
        <v>46098</v>
      </c>
      <c r="C636" s="28" t="str">
        <f t="shared" si="144"/>
        <v>March</v>
      </c>
      <c r="D636" s="27" t="s">
        <v>47</v>
      </c>
      <c r="E636" s="27" t="s">
        <v>48</v>
      </c>
      <c r="F636" s="27" t="s">
        <v>49</v>
      </c>
      <c r="G636" s="27" t="s">
        <v>50</v>
      </c>
      <c r="H636" s="27" t="s">
        <v>79</v>
      </c>
      <c r="I636" s="27" t="s">
        <v>759</v>
      </c>
      <c r="J636" s="27" t="s">
        <v>107</v>
      </c>
      <c r="K636" s="27">
        <v>763</v>
      </c>
      <c r="L636" s="27">
        <v>838</v>
      </c>
      <c r="M636" s="27">
        <v>798</v>
      </c>
      <c r="N636" s="27">
        <v>40</v>
      </c>
      <c r="O636" s="27">
        <v>12</v>
      </c>
      <c r="P636" s="27">
        <v>17</v>
      </c>
      <c r="Q636" s="27" t="s">
        <v>94</v>
      </c>
      <c r="R636" s="27">
        <v>49</v>
      </c>
      <c r="S636" s="27">
        <v>53</v>
      </c>
      <c r="T636" s="29">
        <v>72.5</v>
      </c>
      <c r="U636" s="29">
        <v>2.31</v>
      </c>
      <c r="V636" s="29">
        <v>33.29</v>
      </c>
      <c r="W636" s="30">
        <v>18934.87</v>
      </c>
      <c r="X636" s="27">
        <v>8.39</v>
      </c>
      <c r="Y636" s="27" t="s">
        <v>66</v>
      </c>
      <c r="Z636" s="29">
        <v>1</v>
      </c>
      <c r="AA636" s="30">
        <v>30682.78</v>
      </c>
      <c r="AB636" s="29">
        <v>0.95226730310262497</v>
      </c>
      <c r="AC636" s="30">
        <v>23009.98</v>
      </c>
      <c r="AD636" s="30">
        <v>271.14372315035803</v>
      </c>
      <c r="AE636" s="27">
        <v>623.11666666666702</v>
      </c>
      <c r="AF636" s="29">
        <v>0.97271778960601296</v>
      </c>
      <c r="AG636" s="30">
        <v>7401.6562768496397</v>
      </c>
      <c r="AH636" s="31">
        <f t="shared" si="145"/>
        <v>1.0982961992136304</v>
      </c>
      <c r="AI636" s="31">
        <f t="shared" si="146"/>
        <v>4.77326968973747E-2</v>
      </c>
      <c r="AJ636" s="31">
        <f t="shared" si="147"/>
        <v>1.4319809069212411E-2</v>
      </c>
      <c r="AK636" s="31">
        <f t="shared" si="148"/>
        <v>0.95226730310262531</v>
      </c>
      <c r="AL636" s="29">
        <f t="shared" si="149"/>
        <v>0.28333333333333333</v>
      </c>
      <c r="AM636" s="29">
        <f t="shared" si="150"/>
        <v>606.11666666666702</v>
      </c>
      <c r="AN636" s="29">
        <f t="shared" si="151"/>
        <v>1.3825721120796319</v>
      </c>
      <c r="AO636" s="29">
        <f t="shared" si="152"/>
        <v>1.2244897959183674</v>
      </c>
      <c r="AP636" s="31">
        <f t="shared" si="153"/>
        <v>1.129100558198366</v>
      </c>
      <c r="AQ636" s="31">
        <f t="shared" si="154"/>
        <v>0.95226730310262531</v>
      </c>
      <c r="AR636" s="31">
        <f t="shared" si="155"/>
        <v>1.045871559633027</v>
      </c>
      <c r="AS636" s="29">
        <f t="shared" si="156"/>
        <v>27.458210023866346</v>
      </c>
      <c r="AT636" s="29">
        <f t="shared" si="157"/>
        <v>8.8325253900353697</v>
      </c>
      <c r="AU636" s="27" t="str">
        <f t="shared" si="158"/>
        <v>Low</v>
      </c>
      <c r="AV636" s="27" t="str">
        <f t="shared" si="159"/>
        <v>Normal</v>
      </c>
      <c r="AW636" s="27"/>
    </row>
    <row r="637" spans="1:49" x14ac:dyDescent="0.25">
      <c r="A637" s="27">
        <v>636</v>
      </c>
      <c r="B637" s="28">
        <v>46195</v>
      </c>
      <c r="C637" s="28" t="str">
        <f t="shared" si="144"/>
        <v>June</v>
      </c>
      <c r="D637" s="27" t="s">
        <v>67</v>
      </c>
      <c r="E637" s="27" t="s">
        <v>48</v>
      </c>
      <c r="F637" s="27" t="s">
        <v>56</v>
      </c>
      <c r="G637" s="27" t="s">
        <v>63</v>
      </c>
      <c r="H637" s="27" t="s">
        <v>51</v>
      </c>
      <c r="I637" s="27" t="s">
        <v>760</v>
      </c>
      <c r="J637" s="27" t="s">
        <v>143</v>
      </c>
      <c r="K637" s="27">
        <v>842</v>
      </c>
      <c r="L637" s="27">
        <v>832</v>
      </c>
      <c r="M637" s="27">
        <v>781</v>
      </c>
      <c r="N637" s="27">
        <v>51</v>
      </c>
      <c r="O637" s="27">
        <v>11</v>
      </c>
      <c r="P637" s="27">
        <v>30</v>
      </c>
      <c r="Q637" s="27" t="s">
        <v>82</v>
      </c>
      <c r="R637" s="27">
        <v>42</v>
      </c>
      <c r="S637" s="27">
        <v>41</v>
      </c>
      <c r="T637" s="29">
        <v>65.400000000000006</v>
      </c>
      <c r="U637" s="29">
        <v>1.97</v>
      </c>
      <c r="V637" s="29">
        <v>33.19</v>
      </c>
      <c r="W637" s="30">
        <v>15957.1</v>
      </c>
      <c r="X637" s="27">
        <v>7.41</v>
      </c>
      <c r="Y637" s="27" t="s">
        <v>110</v>
      </c>
      <c r="Z637" s="29">
        <v>29</v>
      </c>
      <c r="AA637" s="30">
        <v>24924.14</v>
      </c>
      <c r="AB637" s="29">
        <v>0.93870192307692302</v>
      </c>
      <c r="AC637" s="30">
        <v>19590.310000000001</v>
      </c>
      <c r="AD637" s="30">
        <v>210.97127403846201</v>
      </c>
      <c r="AE637" s="27">
        <v>589.4</v>
      </c>
      <c r="AF637" s="29">
        <v>0.94910078045470003</v>
      </c>
      <c r="AG637" s="30">
        <v>5122.8587259615397</v>
      </c>
      <c r="AH637" s="31">
        <f t="shared" si="145"/>
        <v>0.98812351543942989</v>
      </c>
      <c r="AI637" s="31">
        <f t="shared" si="146"/>
        <v>6.129807692307692E-2</v>
      </c>
      <c r="AJ637" s="31">
        <f t="shared" si="147"/>
        <v>1.3221153846153846E-2</v>
      </c>
      <c r="AK637" s="31">
        <f t="shared" si="148"/>
        <v>0.93870192307692313</v>
      </c>
      <c r="AL637" s="29">
        <f t="shared" si="149"/>
        <v>0.5</v>
      </c>
      <c r="AM637" s="29">
        <f t="shared" si="150"/>
        <v>559.4</v>
      </c>
      <c r="AN637" s="29">
        <f t="shared" si="151"/>
        <v>1.4873078298176619</v>
      </c>
      <c r="AO637" s="29">
        <f t="shared" si="152"/>
        <v>1.4285714285714286</v>
      </c>
      <c r="AP637" s="31">
        <f t="shared" si="153"/>
        <v>1.0411154808723633</v>
      </c>
      <c r="AQ637" s="31">
        <f t="shared" si="154"/>
        <v>0.93870192307692313</v>
      </c>
      <c r="AR637" s="31">
        <f t="shared" si="155"/>
        <v>0.92755344418052299</v>
      </c>
      <c r="AS637" s="29">
        <f t="shared" si="156"/>
        <v>23.546045673076925</v>
      </c>
      <c r="AT637" s="29">
        <f t="shared" si="157"/>
        <v>6.1572821225499279</v>
      </c>
      <c r="AU637" s="27" t="str">
        <f t="shared" si="158"/>
        <v>Medium</v>
      </c>
      <c r="AV637" s="27" t="str">
        <f t="shared" si="159"/>
        <v>Normal</v>
      </c>
      <c r="AW637" s="27"/>
    </row>
    <row r="638" spans="1:49" x14ac:dyDescent="0.25">
      <c r="A638" s="27">
        <v>637</v>
      </c>
      <c r="B638" s="28">
        <v>46142</v>
      </c>
      <c r="C638" s="28" t="str">
        <f t="shared" si="144"/>
        <v>April</v>
      </c>
      <c r="D638" s="27" t="s">
        <v>47</v>
      </c>
      <c r="E638" s="27" t="s">
        <v>76</v>
      </c>
      <c r="F638" s="27" t="s">
        <v>77</v>
      </c>
      <c r="G638" s="27" t="s">
        <v>63</v>
      </c>
      <c r="H638" s="27" t="s">
        <v>51</v>
      </c>
      <c r="I638" s="27" t="s">
        <v>761</v>
      </c>
      <c r="J638" s="27" t="s">
        <v>140</v>
      </c>
      <c r="K638" s="27">
        <v>821</v>
      </c>
      <c r="L638" s="27">
        <v>739</v>
      </c>
      <c r="M638" s="27">
        <v>688</v>
      </c>
      <c r="N638" s="27">
        <v>51</v>
      </c>
      <c r="O638" s="27">
        <v>18</v>
      </c>
      <c r="P638" s="27">
        <v>43</v>
      </c>
      <c r="Q638" s="27" t="s">
        <v>97</v>
      </c>
      <c r="R638" s="27">
        <v>42</v>
      </c>
      <c r="S638" s="27">
        <v>41</v>
      </c>
      <c r="T638" s="29">
        <v>72.7</v>
      </c>
      <c r="U638" s="29">
        <v>2.2599999999999998</v>
      </c>
      <c r="V638" s="29">
        <v>28.62</v>
      </c>
      <c r="W638" s="30">
        <v>14477.72</v>
      </c>
      <c r="X638" s="27">
        <v>6.76</v>
      </c>
      <c r="Y638" s="27" t="s">
        <v>71</v>
      </c>
      <c r="Z638" s="29">
        <v>35</v>
      </c>
      <c r="AA638" s="30">
        <v>22489.4</v>
      </c>
      <c r="AB638" s="29">
        <v>0.93098782138024405</v>
      </c>
      <c r="AC638" s="30">
        <v>17777.3</v>
      </c>
      <c r="AD638" s="30">
        <v>352.637293640054</v>
      </c>
      <c r="AE638" s="27">
        <v>574.70000000000005</v>
      </c>
      <c r="AF638" s="29">
        <v>0.925178353923786</v>
      </c>
      <c r="AG638" s="30">
        <v>4359.4627063599501</v>
      </c>
      <c r="AH638" s="31">
        <f t="shared" si="145"/>
        <v>0.90012180267965891</v>
      </c>
      <c r="AI638" s="31">
        <f t="shared" si="146"/>
        <v>6.9012178619756434E-2</v>
      </c>
      <c r="AJ638" s="31">
        <f t="shared" si="147"/>
        <v>2.4357239512855209E-2</v>
      </c>
      <c r="AK638" s="31">
        <f t="shared" si="148"/>
        <v>0.93098782138024361</v>
      </c>
      <c r="AL638" s="29">
        <f t="shared" si="149"/>
        <v>0.71666666666666667</v>
      </c>
      <c r="AM638" s="29">
        <f t="shared" si="150"/>
        <v>531.70000000000005</v>
      </c>
      <c r="AN638" s="29">
        <f t="shared" si="151"/>
        <v>1.3898815121309007</v>
      </c>
      <c r="AO638" s="29">
        <f t="shared" si="152"/>
        <v>1.4285714285714286</v>
      </c>
      <c r="AP638" s="31">
        <f t="shared" si="153"/>
        <v>0.97291705849163046</v>
      </c>
      <c r="AQ638" s="31">
        <f t="shared" si="154"/>
        <v>0.93098782138024361</v>
      </c>
      <c r="AR638" s="31">
        <f t="shared" si="155"/>
        <v>0.83800243605359281</v>
      </c>
      <c r="AS638" s="29">
        <f t="shared" si="156"/>
        <v>24.055886332882274</v>
      </c>
      <c r="AT638" s="29">
        <f t="shared" si="157"/>
        <v>5.8991376270094049</v>
      </c>
      <c r="AU638" s="27" t="str">
        <f t="shared" si="158"/>
        <v>High</v>
      </c>
      <c r="AV638" s="27" t="str">
        <f t="shared" si="159"/>
        <v>Warning</v>
      </c>
      <c r="AW638" s="27"/>
    </row>
    <row r="639" spans="1:49" x14ac:dyDescent="0.25">
      <c r="A639" s="27">
        <v>638</v>
      </c>
      <c r="B639" s="28">
        <v>46164</v>
      </c>
      <c r="C639" s="28" t="str">
        <f t="shared" si="144"/>
        <v>May</v>
      </c>
      <c r="D639" s="27" t="s">
        <v>47</v>
      </c>
      <c r="E639" s="27" t="s">
        <v>48</v>
      </c>
      <c r="F639" s="27" t="s">
        <v>72</v>
      </c>
      <c r="G639" s="27" t="s">
        <v>50</v>
      </c>
      <c r="H639" s="27" t="s">
        <v>51</v>
      </c>
      <c r="I639" s="27" t="s">
        <v>762</v>
      </c>
      <c r="J639" s="27" t="s">
        <v>164</v>
      </c>
      <c r="K639" s="27">
        <v>774</v>
      </c>
      <c r="L639" s="27">
        <v>802</v>
      </c>
      <c r="M639" s="27">
        <v>771</v>
      </c>
      <c r="N639" s="27">
        <v>31</v>
      </c>
      <c r="O639" s="27">
        <v>8</v>
      </c>
      <c r="P639" s="27">
        <v>0</v>
      </c>
      <c r="Q639" s="27" t="s">
        <v>60</v>
      </c>
      <c r="R639" s="27">
        <v>42</v>
      </c>
      <c r="S639" s="27">
        <v>45</v>
      </c>
      <c r="T639" s="29">
        <v>71.2</v>
      </c>
      <c r="U639" s="29">
        <v>2.0299999999999998</v>
      </c>
      <c r="V639" s="29">
        <v>29.1</v>
      </c>
      <c r="W639" s="30">
        <v>15245.19</v>
      </c>
      <c r="X639" s="27">
        <v>10.27</v>
      </c>
      <c r="Y639" s="27" t="s">
        <v>66</v>
      </c>
      <c r="Z639" s="29">
        <v>26</v>
      </c>
      <c r="AA639" s="30">
        <v>25353.49</v>
      </c>
      <c r="AB639" s="29">
        <v>0.96134663341645898</v>
      </c>
      <c r="AC639" s="30">
        <v>20128.59</v>
      </c>
      <c r="AD639" s="30">
        <v>152.07172069825401</v>
      </c>
      <c r="AE639" s="27">
        <v>541.79999999999995</v>
      </c>
      <c r="AF639" s="29">
        <v>1</v>
      </c>
      <c r="AG639" s="30">
        <v>5072.8282793017397</v>
      </c>
      <c r="AH639" s="31">
        <f t="shared" si="145"/>
        <v>1.0361757105943152</v>
      </c>
      <c r="AI639" s="31">
        <f t="shared" si="146"/>
        <v>3.8653366583541147E-2</v>
      </c>
      <c r="AJ639" s="31">
        <f t="shared" si="147"/>
        <v>9.9750623441396506E-3</v>
      </c>
      <c r="AK639" s="31">
        <f t="shared" si="148"/>
        <v>0.96134663341645887</v>
      </c>
      <c r="AL639" s="29">
        <f t="shared" si="149"/>
        <v>0</v>
      </c>
      <c r="AM639" s="29">
        <f t="shared" si="150"/>
        <v>541.79999999999995</v>
      </c>
      <c r="AN639" s="29">
        <f t="shared" si="151"/>
        <v>1.4802510151347361</v>
      </c>
      <c r="AO639" s="29">
        <f t="shared" si="152"/>
        <v>1.4285714285714286</v>
      </c>
      <c r="AP639" s="31">
        <f t="shared" si="153"/>
        <v>1.0361757105943152</v>
      </c>
      <c r="AQ639" s="31">
        <f t="shared" si="154"/>
        <v>0.96134663341645887</v>
      </c>
      <c r="AR639" s="31">
        <f t="shared" si="155"/>
        <v>0.99612403100775193</v>
      </c>
      <c r="AS639" s="29">
        <f t="shared" si="156"/>
        <v>25.097992518703244</v>
      </c>
      <c r="AT639" s="29">
        <f t="shared" si="157"/>
        <v>6.3252222933936908</v>
      </c>
      <c r="AU639" s="27" t="str">
        <f t="shared" si="158"/>
        <v>Low</v>
      </c>
      <c r="AV639" s="27" t="str">
        <f t="shared" si="159"/>
        <v>Normal</v>
      </c>
      <c r="AW639" s="27"/>
    </row>
    <row r="640" spans="1:49" x14ac:dyDescent="0.25">
      <c r="A640" s="27">
        <v>639</v>
      </c>
      <c r="B640" s="28">
        <v>46129</v>
      </c>
      <c r="C640" s="28" t="str">
        <f t="shared" si="144"/>
        <v>April</v>
      </c>
      <c r="D640" s="27" t="s">
        <v>47</v>
      </c>
      <c r="E640" s="27" t="s">
        <v>76</v>
      </c>
      <c r="F640" s="27" t="s">
        <v>113</v>
      </c>
      <c r="G640" s="27" t="s">
        <v>50</v>
      </c>
      <c r="H640" s="27" t="s">
        <v>79</v>
      </c>
      <c r="I640" s="27" t="s">
        <v>763</v>
      </c>
      <c r="J640" s="27" t="s">
        <v>170</v>
      </c>
      <c r="K640" s="27">
        <v>688</v>
      </c>
      <c r="L640" s="27">
        <v>680</v>
      </c>
      <c r="M640" s="27">
        <v>653</v>
      </c>
      <c r="N640" s="27">
        <v>27</v>
      </c>
      <c r="O640" s="27">
        <v>8</v>
      </c>
      <c r="P640" s="27">
        <v>36</v>
      </c>
      <c r="Q640" s="27" t="s">
        <v>82</v>
      </c>
      <c r="R640" s="27">
        <v>49</v>
      </c>
      <c r="S640" s="27">
        <v>53</v>
      </c>
      <c r="T640" s="29">
        <v>67</v>
      </c>
      <c r="U640" s="29">
        <v>2.34</v>
      </c>
      <c r="V640" s="29">
        <v>23.37</v>
      </c>
      <c r="W640" s="30">
        <v>14312.46</v>
      </c>
      <c r="X640" s="27">
        <v>10.37</v>
      </c>
      <c r="Y640" s="27" t="s">
        <v>55</v>
      </c>
      <c r="Z640" s="29">
        <v>38</v>
      </c>
      <c r="AA640" s="30">
        <v>25282.9</v>
      </c>
      <c r="AB640" s="29">
        <v>0.96029411764705896</v>
      </c>
      <c r="AC640" s="30">
        <v>19189.29</v>
      </c>
      <c r="AD640" s="30">
        <v>168.38188235294101</v>
      </c>
      <c r="AE640" s="27">
        <v>561.86666666666702</v>
      </c>
      <c r="AF640" s="29">
        <v>0.93592785951589896</v>
      </c>
      <c r="AG640" s="30">
        <v>5925.2281176470597</v>
      </c>
      <c r="AH640" s="31">
        <f t="shared" si="145"/>
        <v>0.98837209302325579</v>
      </c>
      <c r="AI640" s="31">
        <f t="shared" si="146"/>
        <v>3.9705882352941174E-2</v>
      </c>
      <c r="AJ640" s="31">
        <f t="shared" si="147"/>
        <v>1.1764705882352941E-2</v>
      </c>
      <c r="AK640" s="31">
        <f t="shared" si="148"/>
        <v>0.96029411764705885</v>
      </c>
      <c r="AL640" s="29">
        <f t="shared" si="149"/>
        <v>0.6</v>
      </c>
      <c r="AM640" s="29">
        <f t="shared" si="150"/>
        <v>525.86666666666702</v>
      </c>
      <c r="AN640" s="29">
        <f t="shared" si="151"/>
        <v>1.2931034482758612</v>
      </c>
      <c r="AO640" s="29">
        <f t="shared" si="152"/>
        <v>1.2244897959183674</v>
      </c>
      <c r="AP640" s="31">
        <f t="shared" si="153"/>
        <v>1.0560344827586199</v>
      </c>
      <c r="AQ640" s="31">
        <f t="shared" si="154"/>
        <v>0.96029411764705885</v>
      </c>
      <c r="AR640" s="31">
        <f t="shared" si="155"/>
        <v>0.94912790697674299</v>
      </c>
      <c r="AS640" s="29">
        <f t="shared" si="156"/>
        <v>28.219544117647061</v>
      </c>
      <c r="AT640" s="29">
        <f t="shared" si="157"/>
        <v>8.7135707612456752</v>
      </c>
      <c r="AU640" s="27" t="str">
        <f t="shared" si="158"/>
        <v>Medium</v>
      </c>
      <c r="AV640" s="27" t="str">
        <f t="shared" si="159"/>
        <v>Normal</v>
      </c>
      <c r="AW640" s="27"/>
    </row>
    <row r="641" spans="1:49" x14ac:dyDescent="0.25">
      <c r="A641" s="27">
        <v>640</v>
      </c>
      <c r="B641" s="28">
        <v>46063</v>
      </c>
      <c r="C641" s="28" t="str">
        <f t="shared" si="144"/>
        <v>February</v>
      </c>
      <c r="D641" s="27" t="s">
        <v>47</v>
      </c>
      <c r="E641" s="27" t="s">
        <v>76</v>
      </c>
      <c r="F641" s="27" t="s">
        <v>113</v>
      </c>
      <c r="G641" s="27" t="s">
        <v>63</v>
      </c>
      <c r="H641" s="27" t="s">
        <v>51</v>
      </c>
      <c r="I641" s="27" t="s">
        <v>764</v>
      </c>
      <c r="J641" s="27" t="s">
        <v>218</v>
      </c>
      <c r="K641" s="27">
        <v>860</v>
      </c>
      <c r="L641" s="27">
        <v>807</v>
      </c>
      <c r="M641" s="27">
        <v>771</v>
      </c>
      <c r="N641" s="27">
        <v>36</v>
      </c>
      <c r="O641" s="27">
        <v>10</v>
      </c>
      <c r="P641" s="27">
        <v>14</v>
      </c>
      <c r="Q641" s="27" t="s">
        <v>97</v>
      </c>
      <c r="R641" s="27">
        <v>42</v>
      </c>
      <c r="S641" s="27">
        <v>44</v>
      </c>
      <c r="T641" s="29">
        <v>74.599999999999994</v>
      </c>
      <c r="U641" s="29">
        <v>1.76</v>
      </c>
      <c r="V641" s="29">
        <v>31.39</v>
      </c>
      <c r="W641" s="30">
        <v>15163.26</v>
      </c>
      <c r="X641" s="27">
        <v>9.17</v>
      </c>
      <c r="Y641" s="27" t="s">
        <v>55</v>
      </c>
      <c r="Z641" s="29">
        <v>30</v>
      </c>
      <c r="AA641" s="30">
        <v>24660.71</v>
      </c>
      <c r="AB641" s="29">
        <v>0.95539033457249101</v>
      </c>
      <c r="AC641" s="30">
        <v>19572.27</v>
      </c>
      <c r="AD641" s="30">
        <v>187.896654275093</v>
      </c>
      <c r="AE641" s="27">
        <v>602</v>
      </c>
      <c r="AF641" s="29">
        <v>0.97674418604651203</v>
      </c>
      <c r="AG641" s="30">
        <v>4900.5433457249101</v>
      </c>
      <c r="AH641" s="31">
        <f t="shared" si="145"/>
        <v>0.93837209302325586</v>
      </c>
      <c r="AI641" s="31">
        <f t="shared" si="146"/>
        <v>4.4609665427509292E-2</v>
      </c>
      <c r="AJ641" s="31">
        <f t="shared" si="147"/>
        <v>1.2391573729863693E-2</v>
      </c>
      <c r="AK641" s="31">
        <f t="shared" si="148"/>
        <v>0.95539033457249067</v>
      </c>
      <c r="AL641" s="29">
        <f t="shared" si="149"/>
        <v>0.23333333333333334</v>
      </c>
      <c r="AM641" s="29">
        <f t="shared" si="150"/>
        <v>588</v>
      </c>
      <c r="AN641" s="29">
        <f t="shared" si="151"/>
        <v>1.3724489795918366</v>
      </c>
      <c r="AO641" s="29">
        <f t="shared" si="152"/>
        <v>1.4285714285714286</v>
      </c>
      <c r="AP641" s="31">
        <f t="shared" si="153"/>
        <v>0.96071428571428563</v>
      </c>
      <c r="AQ641" s="31">
        <f t="shared" si="154"/>
        <v>0.95539033457249067</v>
      </c>
      <c r="AR641" s="31">
        <f t="shared" si="155"/>
        <v>0.89651162790697692</v>
      </c>
      <c r="AS641" s="29">
        <f t="shared" si="156"/>
        <v>24.253122676579927</v>
      </c>
      <c r="AT641" s="29">
        <f t="shared" si="157"/>
        <v>6.0725444184943127</v>
      </c>
      <c r="AU641" s="27" t="str">
        <f t="shared" si="158"/>
        <v>Medium</v>
      </c>
      <c r="AV641" s="27" t="str">
        <f t="shared" si="159"/>
        <v>Normal</v>
      </c>
      <c r="AW641" s="27"/>
    </row>
    <row r="642" spans="1:49" x14ac:dyDescent="0.25">
      <c r="A642" s="27">
        <v>641</v>
      </c>
      <c r="B642" s="28">
        <v>46124</v>
      </c>
      <c r="C642" s="28" t="str">
        <f t="shared" ref="C642:C705" si="160">TEXT(B642,"mmmm")</f>
        <v>April</v>
      </c>
      <c r="D642" s="27" t="s">
        <v>67</v>
      </c>
      <c r="E642" s="27" t="s">
        <v>61</v>
      </c>
      <c r="F642" s="27" t="s">
        <v>95</v>
      </c>
      <c r="G642" s="27" t="s">
        <v>50</v>
      </c>
      <c r="H642" s="27" t="s">
        <v>57</v>
      </c>
      <c r="I642" s="27" t="s">
        <v>765</v>
      </c>
      <c r="J642" s="27" t="s">
        <v>197</v>
      </c>
      <c r="K642" s="27">
        <v>745</v>
      </c>
      <c r="L642" s="27">
        <v>795</v>
      </c>
      <c r="M642" s="27">
        <v>753</v>
      </c>
      <c r="N642" s="27">
        <v>42</v>
      </c>
      <c r="O642" s="27">
        <v>14</v>
      </c>
      <c r="P642" s="27">
        <v>0</v>
      </c>
      <c r="Q642" s="27" t="s">
        <v>60</v>
      </c>
      <c r="R642" s="27">
        <v>45</v>
      </c>
      <c r="S642" s="27">
        <v>49</v>
      </c>
      <c r="T642" s="29">
        <v>70.8</v>
      </c>
      <c r="U642" s="29">
        <v>2.39</v>
      </c>
      <c r="V642" s="29">
        <v>30.72</v>
      </c>
      <c r="W642" s="30">
        <v>16075.11</v>
      </c>
      <c r="X642" s="27">
        <v>10.1</v>
      </c>
      <c r="Y642" s="27" t="s">
        <v>55</v>
      </c>
      <c r="Z642" s="29">
        <v>40</v>
      </c>
      <c r="AA642" s="30">
        <v>27051.26</v>
      </c>
      <c r="AB642" s="29">
        <v>0.94716981132075495</v>
      </c>
      <c r="AC642" s="30">
        <v>20896.59</v>
      </c>
      <c r="AD642" s="30">
        <v>283.08369811320802</v>
      </c>
      <c r="AE642" s="27">
        <v>558.75</v>
      </c>
      <c r="AF642" s="29">
        <v>1</v>
      </c>
      <c r="AG642" s="30">
        <v>5871.5863018867904</v>
      </c>
      <c r="AH642" s="31">
        <f t="shared" ref="AH642:AH705" si="161">IFERROR(L642/K642,0)</f>
        <v>1.0671140939597314</v>
      </c>
      <c r="AI642" s="31">
        <f t="shared" ref="AI642:AI705" si="162">IFERROR(N642/L642,0)</f>
        <v>5.2830188679245285E-2</v>
      </c>
      <c r="AJ642" s="31">
        <f t="shared" ref="AJ642:AJ705" si="163">IFERROR(O642/L642,0)</f>
        <v>1.7610062893081761E-2</v>
      </c>
      <c r="AK642" s="31">
        <f t="shared" ref="AK642:AK705" si="164">IFERROR(M642/L642,0)</f>
        <v>0.94716981132075473</v>
      </c>
      <c r="AL642" s="29">
        <f t="shared" ref="AL642:AL705" si="165">P642/60</f>
        <v>0</v>
      </c>
      <c r="AM642" s="29">
        <f t="shared" ref="AM642:AM705" si="166">MAX(0,AE642-P642)</f>
        <v>558.75</v>
      </c>
      <c r="AN642" s="29">
        <f t="shared" ref="AN642:AN705" si="167">IFERROR(L642/AM642,0)</f>
        <v>1.4228187919463087</v>
      </c>
      <c r="AO642" s="29">
        <f t="shared" ref="AO642:AO705" si="168">IFERROR(60/R642,0)</f>
        <v>1.3333333333333333</v>
      </c>
      <c r="AP642" s="31">
        <f t="shared" ref="AP642:AP705" si="169">IFERROR(AN642/AO642,0)</f>
        <v>1.0671140939597317</v>
      </c>
      <c r="AQ642" s="31">
        <f t="shared" ref="AQ642:AQ705" si="170">IFERROR(M642/L642,0)</f>
        <v>0.94716981132075473</v>
      </c>
      <c r="AR642" s="31">
        <f t="shared" ref="AR642:AR705" si="171">AF642*AP642*AQ642</f>
        <v>1.0107382550335571</v>
      </c>
      <c r="AS642" s="29">
        <f t="shared" ref="AS642:AS705" si="172">IFERROR(AC642/L642,0)</f>
        <v>26.285018867924528</v>
      </c>
      <c r="AT642" s="29">
        <f t="shared" ref="AT642:AT705" si="173">IFERROR(AG642/L642,0)</f>
        <v>7.3856431470274089</v>
      </c>
      <c r="AU642" s="27" t="str">
        <f t="shared" ref="AU642:AU705" si="174">IF(OR(Y642="Overdue",P642&gt;=120,T642&gt;=85,U642&gt;=4,AI642&gt;=0.12,AR642&lt;0.8),"High",IF(OR(Y642="Pending",Z642&gt;=30,P642&gt;=60,T642&gt;=80,U642&gt;=3,AI642&gt;=0.08,AR642&lt;0.85),"Medium","Low"))</f>
        <v>Medium</v>
      </c>
      <c r="AV642" s="27" t="str">
        <f t="shared" ref="AV642:AV705" si="175">IF(OR(P642&gt;=120,T642&gt;=90,U642&gt;=4.5,AI642&gt;=0.15,AR642&lt;0.75),"Critical",IF(OR(P642&gt;=60,T642&gt;=80,U642&gt;=3,AI642&gt;=0.08,AR642&lt;0.85),"Warning","Normal"))</f>
        <v>Normal</v>
      </c>
      <c r="AW642" s="27"/>
    </row>
    <row r="643" spans="1:49" x14ac:dyDescent="0.25">
      <c r="A643" s="27">
        <v>642</v>
      </c>
      <c r="B643" s="28">
        <v>46077</v>
      </c>
      <c r="C643" s="28" t="str">
        <f t="shared" si="160"/>
        <v>February</v>
      </c>
      <c r="D643" s="27" t="s">
        <v>47</v>
      </c>
      <c r="E643" s="27" t="s">
        <v>98</v>
      </c>
      <c r="F643" s="27" t="s">
        <v>105</v>
      </c>
      <c r="G643" s="27" t="s">
        <v>50</v>
      </c>
      <c r="H643" s="27" t="s">
        <v>79</v>
      </c>
      <c r="I643" s="27" t="s">
        <v>766</v>
      </c>
      <c r="J643" s="27" t="s">
        <v>150</v>
      </c>
      <c r="K643" s="27">
        <v>840</v>
      </c>
      <c r="L643" s="27">
        <v>830</v>
      </c>
      <c r="M643" s="27">
        <v>770</v>
      </c>
      <c r="N643" s="27">
        <v>60</v>
      </c>
      <c r="O643" s="27">
        <v>20</v>
      </c>
      <c r="P643" s="27">
        <v>31</v>
      </c>
      <c r="Q643" s="27" t="s">
        <v>94</v>
      </c>
      <c r="R643" s="27">
        <v>49</v>
      </c>
      <c r="S643" s="27">
        <v>53</v>
      </c>
      <c r="T643" s="29">
        <v>66.3</v>
      </c>
      <c r="U643" s="29">
        <v>2.35</v>
      </c>
      <c r="V643" s="29">
        <v>35.97</v>
      </c>
      <c r="W643" s="30">
        <v>17800.73</v>
      </c>
      <c r="X643" s="27">
        <v>10.25</v>
      </c>
      <c r="Y643" s="27" t="s">
        <v>55</v>
      </c>
      <c r="Z643" s="29">
        <v>16</v>
      </c>
      <c r="AA643" s="30">
        <v>28915.91</v>
      </c>
      <c r="AB643" s="29">
        <v>0.92771084337349397</v>
      </c>
      <c r="AC643" s="30">
        <v>22736.959999999999</v>
      </c>
      <c r="AD643" s="30">
        <v>428.933253012048</v>
      </c>
      <c r="AE643" s="27">
        <v>686</v>
      </c>
      <c r="AF643" s="29">
        <v>0.95481049562682196</v>
      </c>
      <c r="AG643" s="30">
        <v>5750.0167469879498</v>
      </c>
      <c r="AH643" s="31">
        <f t="shared" si="161"/>
        <v>0.98809523809523814</v>
      </c>
      <c r="AI643" s="31">
        <f t="shared" si="162"/>
        <v>7.2289156626506021E-2</v>
      </c>
      <c r="AJ643" s="31">
        <f t="shared" si="163"/>
        <v>2.4096385542168676E-2</v>
      </c>
      <c r="AK643" s="31">
        <f t="shared" si="164"/>
        <v>0.92771084337349397</v>
      </c>
      <c r="AL643" s="29">
        <f t="shared" si="165"/>
        <v>0.51666666666666672</v>
      </c>
      <c r="AM643" s="29">
        <f t="shared" si="166"/>
        <v>655</v>
      </c>
      <c r="AN643" s="29">
        <f t="shared" si="167"/>
        <v>1.2671755725190839</v>
      </c>
      <c r="AO643" s="29">
        <f t="shared" si="168"/>
        <v>1.2244897959183674</v>
      </c>
      <c r="AP643" s="31">
        <f t="shared" si="169"/>
        <v>1.0348600508905852</v>
      </c>
      <c r="AQ643" s="31">
        <f t="shared" si="170"/>
        <v>0.92771084337349397</v>
      </c>
      <c r="AR643" s="31">
        <f t="shared" si="171"/>
        <v>0.91666666666666641</v>
      </c>
      <c r="AS643" s="29">
        <f t="shared" si="172"/>
        <v>27.393927710843371</v>
      </c>
      <c r="AT643" s="29">
        <f t="shared" si="173"/>
        <v>6.9277310204674096</v>
      </c>
      <c r="AU643" s="27" t="str">
        <f t="shared" si="174"/>
        <v>Low</v>
      </c>
      <c r="AV643" s="27" t="str">
        <f t="shared" si="175"/>
        <v>Normal</v>
      </c>
      <c r="AW643" s="27"/>
    </row>
    <row r="644" spans="1:49" x14ac:dyDescent="0.25">
      <c r="A644" s="27">
        <v>643</v>
      </c>
      <c r="B644" s="28">
        <v>46164</v>
      </c>
      <c r="C644" s="28" t="str">
        <f t="shared" si="160"/>
        <v>May</v>
      </c>
      <c r="D644" s="27" t="s">
        <v>47</v>
      </c>
      <c r="E644" s="27" t="s">
        <v>76</v>
      </c>
      <c r="F644" s="27" t="s">
        <v>119</v>
      </c>
      <c r="G644" s="27" t="s">
        <v>78</v>
      </c>
      <c r="H644" s="27" t="s">
        <v>79</v>
      </c>
      <c r="I644" s="27" t="s">
        <v>767</v>
      </c>
      <c r="J644" s="27" t="s">
        <v>115</v>
      </c>
      <c r="K644" s="27">
        <v>864</v>
      </c>
      <c r="L644" s="27">
        <v>775</v>
      </c>
      <c r="M644" s="27">
        <v>697</v>
      </c>
      <c r="N644" s="27">
        <v>78</v>
      </c>
      <c r="O644" s="27">
        <v>27</v>
      </c>
      <c r="P644" s="27">
        <v>18</v>
      </c>
      <c r="Q644" s="27" t="s">
        <v>104</v>
      </c>
      <c r="R644" s="27">
        <v>49</v>
      </c>
      <c r="S644" s="27">
        <v>52</v>
      </c>
      <c r="T644" s="29">
        <v>66.5</v>
      </c>
      <c r="U644" s="29">
        <v>2.29</v>
      </c>
      <c r="V644" s="29">
        <v>23.1</v>
      </c>
      <c r="W644" s="30">
        <v>17065.14</v>
      </c>
      <c r="X644" s="27">
        <v>9.4</v>
      </c>
      <c r="Y644" s="27" t="s">
        <v>66</v>
      </c>
      <c r="Z644" s="29">
        <v>40</v>
      </c>
      <c r="AA644" s="30">
        <v>25794.46</v>
      </c>
      <c r="AB644" s="29">
        <v>0.89935483870967803</v>
      </c>
      <c r="AC644" s="30">
        <v>21503.040000000001</v>
      </c>
      <c r="AD644" s="30">
        <v>594.52745806451605</v>
      </c>
      <c r="AE644" s="27">
        <v>705.6</v>
      </c>
      <c r="AF644" s="29">
        <v>0.97448979591836704</v>
      </c>
      <c r="AG644" s="30">
        <v>3696.89254193548</v>
      </c>
      <c r="AH644" s="31">
        <f t="shared" si="161"/>
        <v>0.8969907407407407</v>
      </c>
      <c r="AI644" s="31">
        <f t="shared" si="162"/>
        <v>0.10064516129032258</v>
      </c>
      <c r="AJ644" s="31">
        <f t="shared" si="163"/>
        <v>3.4838709677419352E-2</v>
      </c>
      <c r="AK644" s="31">
        <f t="shared" si="164"/>
        <v>0.89935483870967747</v>
      </c>
      <c r="AL644" s="29">
        <f t="shared" si="165"/>
        <v>0.3</v>
      </c>
      <c r="AM644" s="29">
        <f t="shared" si="166"/>
        <v>687.6</v>
      </c>
      <c r="AN644" s="29">
        <f t="shared" si="167"/>
        <v>1.127108784176847</v>
      </c>
      <c r="AO644" s="29">
        <f t="shared" si="168"/>
        <v>1.2244897959183674</v>
      </c>
      <c r="AP644" s="31">
        <f t="shared" si="169"/>
        <v>0.92047217374442503</v>
      </c>
      <c r="AQ644" s="31">
        <f t="shared" si="170"/>
        <v>0.89935483870967747</v>
      </c>
      <c r="AR644" s="31">
        <f t="shared" si="171"/>
        <v>0.8067129629629628</v>
      </c>
      <c r="AS644" s="29">
        <f t="shared" si="172"/>
        <v>27.745858064516131</v>
      </c>
      <c r="AT644" s="29">
        <f t="shared" si="173"/>
        <v>4.7701839250780385</v>
      </c>
      <c r="AU644" s="27" t="str">
        <f t="shared" si="174"/>
        <v>Medium</v>
      </c>
      <c r="AV644" s="27" t="str">
        <f t="shared" si="175"/>
        <v>Warning</v>
      </c>
      <c r="AW644" s="27"/>
    </row>
    <row r="645" spans="1:49" x14ac:dyDescent="0.25">
      <c r="A645" s="27">
        <v>644</v>
      </c>
      <c r="B645" s="28">
        <v>46097</v>
      </c>
      <c r="C645" s="28" t="str">
        <f t="shared" si="160"/>
        <v>March</v>
      </c>
      <c r="D645" s="27" t="s">
        <v>67</v>
      </c>
      <c r="E645" s="27" t="s">
        <v>76</v>
      </c>
      <c r="F645" s="27" t="s">
        <v>77</v>
      </c>
      <c r="G645" s="27" t="s">
        <v>78</v>
      </c>
      <c r="H645" s="27" t="s">
        <v>57</v>
      </c>
      <c r="I645" s="27" t="s">
        <v>768</v>
      </c>
      <c r="J645" s="27" t="s">
        <v>218</v>
      </c>
      <c r="K645" s="27">
        <v>810</v>
      </c>
      <c r="L645" s="27">
        <v>732</v>
      </c>
      <c r="M645" s="27">
        <v>678</v>
      </c>
      <c r="N645" s="27">
        <v>54</v>
      </c>
      <c r="O645" s="27">
        <v>15</v>
      </c>
      <c r="P645" s="27">
        <v>36</v>
      </c>
      <c r="Q645" s="27" t="s">
        <v>91</v>
      </c>
      <c r="R645" s="27">
        <v>45</v>
      </c>
      <c r="S645" s="27">
        <v>48</v>
      </c>
      <c r="T645" s="29">
        <v>66</v>
      </c>
      <c r="U645" s="29">
        <v>1.54</v>
      </c>
      <c r="V645" s="29">
        <v>29.61</v>
      </c>
      <c r="W645" s="30">
        <v>15100.9</v>
      </c>
      <c r="X645" s="27">
        <v>8.31</v>
      </c>
      <c r="Y645" s="27" t="s">
        <v>110</v>
      </c>
      <c r="Z645" s="29">
        <v>27</v>
      </c>
      <c r="AA645" s="30">
        <v>24057.13</v>
      </c>
      <c r="AB645" s="29">
        <v>0.92622950819672101</v>
      </c>
      <c r="AC645" s="30">
        <v>19106.89</v>
      </c>
      <c r="AD645" s="30">
        <v>309.44467213114802</v>
      </c>
      <c r="AE645" s="27">
        <v>607.5</v>
      </c>
      <c r="AF645" s="29">
        <v>0.94074074074074099</v>
      </c>
      <c r="AG645" s="30">
        <v>4640.7953278688501</v>
      </c>
      <c r="AH645" s="31">
        <f t="shared" si="161"/>
        <v>0.90370370370370368</v>
      </c>
      <c r="AI645" s="31">
        <f t="shared" si="162"/>
        <v>7.3770491803278687E-2</v>
      </c>
      <c r="AJ645" s="31">
        <f t="shared" si="163"/>
        <v>2.0491803278688523E-2</v>
      </c>
      <c r="AK645" s="31">
        <f t="shared" si="164"/>
        <v>0.92622950819672134</v>
      </c>
      <c r="AL645" s="29">
        <f t="shared" si="165"/>
        <v>0.6</v>
      </c>
      <c r="AM645" s="29">
        <f t="shared" si="166"/>
        <v>571.5</v>
      </c>
      <c r="AN645" s="29">
        <f t="shared" si="167"/>
        <v>1.2808398950131235</v>
      </c>
      <c r="AO645" s="29">
        <f t="shared" si="168"/>
        <v>1.3333333333333333</v>
      </c>
      <c r="AP645" s="31">
        <f t="shared" si="169"/>
        <v>0.96062992125984259</v>
      </c>
      <c r="AQ645" s="31">
        <f t="shared" si="170"/>
        <v>0.92622950819672134</v>
      </c>
      <c r="AR645" s="31">
        <f t="shared" si="171"/>
        <v>0.83703703703703736</v>
      </c>
      <c r="AS645" s="29">
        <f t="shared" si="172"/>
        <v>26.102308743169399</v>
      </c>
      <c r="AT645" s="29">
        <f t="shared" si="173"/>
        <v>6.3398843276896857</v>
      </c>
      <c r="AU645" s="27" t="str">
        <f t="shared" si="174"/>
        <v>Medium</v>
      </c>
      <c r="AV645" s="27" t="str">
        <f t="shared" si="175"/>
        <v>Warning</v>
      </c>
      <c r="AW645" s="27"/>
    </row>
    <row r="646" spans="1:49" x14ac:dyDescent="0.25">
      <c r="A646" s="27">
        <v>645</v>
      </c>
      <c r="B646" s="28">
        <v>46196</v>
      </c>
      <c r="C646" s="28" t="str">
        <f t="shared" si="160"/>
        <v>June</v>
      </c>
      <c r="D646" s="27" t="s">
        <v>67</v>
      </c>
      <c r="E646" s="27" t="s">
        <v>48</v>
      </c>
      <c r="F646" s="27" t="s">
        <v>49</v>
      </c>
      <c r="G646" s="27" t="s">
        <v>50</v>
      </c>
      <c r="H646" s="27" t="s">
        <v>124</v>
      </c>
      <c r="I646" s="27" t="s">
        <v>769</v>
      </c>
      <c r="J646" s="27" t="s">
        <v>155</v>
      </c>
      <c r="K646" s="27">
        <v>668</v>
      </c>
      <c r="L646" s="27">
        <v>694</v>
      </c>
      <c r="M646" s="27">
        <v>657</v>
      </c>
      <c r="N646" s="27">
        <v>37</v>
      </c>
      <c r="O646" s="27">
        <v>8</v>
      </c>
      <c r="P646" s="27">
        <v>18</v>
      </c>
      <c r="Q646" s="27" t="s">
        <v>75</v>
      </c>
      <c r="R646" s="27">
        <v>57</v>
      </c>
      <c r="S646" s="27">
        <v>56</v>
      </c>
      <c r="T646" s="29">
        <v>72.8</v>
      </c>
      <c r="U646" s="29">
        <v>1.83</v>
      </c>
      <c r="V646" s="29">
        <v>21.78</v>
      </c>
      <c r="W646" s="30">
        <v>18363.48</v>
      </c>
      <c r="X646" s="27">
        <v>10.16</v>
      </c>
      <c r="Y646" s="27" t="s">
        <v>110</v>
      </c>
      <c r="Z646" s="29">
        <v>32</v>
      </c>
      <c r="AA646" s="30">
        <v>29849.24</v>
      </c>
      <c r="AB646" s="29">
        <v>0.94668587896253598</v>
      </c>
      <c r="AC646" s="30">
        <v>23131.5</v>
      </c>
      <c r="AD646" s="30">
        <v>211.682766570605</v>
      </c>
      <c r="AE646" s="27">
        <v>634.6</v>
      </c>
      <c r="AF646" s="29">
        <v>0.97163567601638801</v>
      </c>
      <c r="AG646" s="30">
        <v>6506.0572334294002</v>
      </c>
      <c r="AH646" s="31">
        <f t="shared" si="161"/>
        <v>1.0389221556886228</v>
      </c>
      <c r="AI646" s="31">
        <f t="shared" si="162"/>
        <v>5.3314121037463975E-2</v>
      </c>
      <c r="AJ646" s="31">
        <f t="shared" si="163"/>
        <v>1.1527377521613832E-2</v>
      </c>
      <c r="AK646" s="31">
        <f t="shared" si="164"/>
        <v>0.94668587896253598</v>
      </c>
      <c r="AL646" s="29">
        <f t="shared" si="165"/>
        <v>0.3</v>
      </c>
      <c r="AM646" s="29">
        <f t="shared" si="166"/>
        <v>616.6</v>
      </c>
      <c r="AN646" s="29">
        <f t="shared" si="167"/>
        <v>1.1255270840090821</v>
      </c>
      <c r="AO646" s="29">
        <f t="shared" si="168"/>
        <v>1.0526315789473684</v>
      </c>
      <c r="AP646" s="31">
        <f t="shared" si="169"/>
        <v>1.069250729808628</v>
      </c>
      <c r="AQ646" s="31">
        <f t="shared" si="170"/>
        <v>0.94668587896253598</v>
      </c>
      <c r="AR646" s="31">
        <f t="shared" si="171"/>
        <v>0.98353293413173626</v>
      </c>
      <c r="AS646" s="29">
        <f t="shared" si="172"/>
        <v>33.330691642651296</v>
      </c>
      <c r="AT646" s="29">
        <f t="shared" si="173"/>
        <v>9.374722238370893</v>
      </c>
      <c r="AU646" s="27" t="str">
        <f t="shared" si="174"/>
        <v>Medium</v>
      </c>
      <c r="AV646" s="27" t="str">
        <f t="shared" si="175"/>
        <v>Normal</v>
      </c>
      <c r="AW646" s="27"/>
    </row>
    <row r="647" spans="1:49" x14ac:dyDescent="0.25">
      <c r="A647" s="27">
        <v>646</v>
      </c>
      <c r="B647" s="28">
        <v>46059</v>
      </c>
      <c r="C647" s="28" t="str">
        <f t="shared" si="160"/>
        <v>February</v>
      </c>
      <c r="D647" s="27" t="s">
        <v>67</v>
      </c>
      <c r="E647" s="27" t="s">
        <v>61</v>
      </c>
      <c r="F647" s="27" t="s">
        <v>95</v>
      </c>
      <c r="G647" s="27" t="s">
        <v>63</v>
      </c>
      <c r="H647" s="27" t="s">
        <v>68</v>
      </c>
      <c r="I647" s="27" t="s">
        <v>770</v>
      </c>
      <c r="J647" s="27" t="s">
        <v>107</v>
      </c>
      <c r="K647" s="27">
        <v>609</v>
      </c>
      <c r="L647" s="27">
        <v>599</v>
      </c>
      <c r="M647" s="27">
        <v>567</v>
      </c>
      <c r="N647" s="27">
        <v>32</v>
      </c>
      <c r="O647" s="27">
        <v>9</v>
      </c>
      <c r="P647" s="27">
        <v>46</v>
      </c>
      <c r="Q647" s="27" t="s">
        <v>75</v>
      </c>
      <c r="R647" s="27">
        <v>64</v>
      </c>
      <c r="S647" s="27">
        <v>62</v>
      </c>
      <c r="T647" s="29">
        <v>73.2</v>
      </c>
      <c r="U647" s="29">
        <v>0.87</v>
      </c>
      <c r="V647" s="29">
        <v>24.79</v>
      </c>
      <c r="W647" s="30">
        <v>19556.2</v>
      </c>
      <c r="X647" s="27">
        <v>9.43</v>
      </c>
      <c r="Y647" s="27" t="s">
        <v>66</v>
      </c>
      <c r="Z647" s="29">
        <v>39</v>
      </c>
      <c r="AA647" s="30">
        <v>28989.37</v>
      </c>
      <c r="AB647" s="29">
        <v>0.94657762938230405</v>
      </c>
      <c r="AC647" s="30">
        <v>24022.81</v>
      </c>
      <c r="AD647" s="30">
        <v>293.83272120200297</v>
      </c>
      <c r="AE647" s="27">
        <v>649.6</v>
      </c>
      <c r="AF647" s="29">
        <v>0.92918719211822698</v>
      </c>
      <c r="AG647" s="30">
        <v>4672.727278798</v>
      </c>
      <c r="AH647" s="31">
        <f t="shared" si="161"/>
        <v>0.98357963875205257</v>
      </c>
      <c r="AI647" s="31">
        <f t="shared" si="162"/>
        <v>5.3422370617696162E-2</v>
      </c>
      <c r="AJ647" s="31">
        <f t="shared" si="163"/>
        <v>1.5025041736227046E-2</v>
      </c>
      <c r="AK647" s="31">
        <f t="shared" si="164"/>
        <v>0.94657762938230383</v>
      </c>
      <c r="AL647" s="29">
        <f t="shared" si="165"/>
        <v>0.76666666666666672</v>
      </c>
      <c r="AM647" s="29">
        <f t="shared" si="166"/>
        <v>603.6</v>
      </c>
      <c r="AN647" s="29">
        <f t="shared" si="167"/>
        <v>0.99237905897945655</v>
      </c>
      <c r="AO647" s="29">
        <f t="shared" si="168"/>
        <v>0.9375</v>
      </c>
      <c r="AP647" s="31">
        <f t="shared" si="169"/>
        <v>1.0585376629114203</v>
      </c>
      <c r="AQ647" s="31">
        <f t="shared" si="170"/>
        <v>0.94657762938230383</v>
      </c>
      <c r="AR647" s="31">
        <f t="shared" si="171"/>
        <v>0.931034482758621</v>
      </c>
      <c r="AS647" s="29">
        <f t="shared" si="172"/>
        <v>40.104858096828046</v>
      </c>
      <c r="AT647" s="29">
        <f t="shared" si="173"/>
        <v>7.8008802651051754</v>
      </c>
      <c r="AU647" s="27" t="str">
        <f t="shared" si="174"/>
        <v>Medium</v>
      </c>
      <c r="AV647" s="27" t="str">
        <f t="shared" si="175"/>
        <v>Normal</v>
      </c>
      <c r="AW647" s="27"/>
    </row>
    <row r="648" spans="1:49" x14ac:dyDescent="0.25">
      <c r="A648" s="27">
        <v>647</v>
      </c>
      <c r="B648" s="28">
        <v>46194</v>
      </c>
      <c r="C648" s="28" t="str">
        <f t="shared" si="160"/>
        <v>June</v>
      </c>
      <c r="D648" s="27" t="s">
        <v>67</v>
      </c>
      <c r="E648" s="27" t="s">
        <v>98</v>
      </c>
      <c r="F648" s="27" t="s">
        <v>126</v>
      </c>
      <c r="G648" s="27" t="s">
        <v>50</v>
      </c>
      <c r="H648" s="27" t="s">
        <v>68</v>
      </c>
      <c r="I648" s="27" t="s">
        <v>771</v>
      </c>
      <c r="J648" s="27" t="s">
        <v>164</v>
      </c>
      <c r="K648" s="27">
        <v>664</v>
      </c>
      <c r="L648" s="27">
        <v>730</v>
      </c>
      <c r="M648" s="27">
        <v>676</v>
      </c>
      <c r="N648" s="27">
        <v>54</v>
      </c>
      <c r="O648" s="27">
        <v>20</v>
      </c>
      <c r="P648" s="27">
        <v>24</v>
      </c>
      <c r="Q648" s="27" t="s">
        <v>104</v>
      </c>
      <c r="R648" s="27">
        <v>64</v>
      </c>
      <c r="S648" s="27">
        <v>67</v>
      </c>
      <c r="T648" s="29">
        <v>70.8</v>
      </c>
      <c r="U648" s="29">
        <v>1.67</v>
      </c>
      <c r="V648" s="29">
        <v>29.11</v>
      </c>
      <c r="W648" s="30">
        <v>23344.49</v>
      </c>
      <c r="X648" s="27">
        <v>9.89</v>
      </c>
      <c r="Y648" s="27" t="s">
        <v>55</v>
      </c>
      <c r="Z648" s="29">
        <v>23</v>
      </c>
      <c r="AA648" s="30">
        <v>35491.4</v>
      </c>
      <c r="AB648" s="29">
        <v>0.92602739726027405</v>
      </c>
      <c r="AC648" s="30">
        <v>28056.98</v>
      </c>
      <c r="AD648" s="30">
        <v>639.57506849315098</v>
      </c>
      <c r="AE648" s="27">
        <v>708.26666666666699</v>
      </c>
      <c r="AF648" s="29">
        <v>0.96611445783132499</v>
      </c>
      <c r="AG648" s="30">
        <v>6794.8449315068501</v>
      </c>
      <c r="AH648" s="31">
        <f t="shared" si="161"/>
        <v>1.0993975903614457</v>
      </c>
      <c r="AI648" s="31">
        <f t="shared" si="162"/>
        <v>7.3972602739726029E-2</v>
      </c>
      <c r="AJ648" s="31">
        <f t="shared" si="163"/>
        <v>2.7397260273972601E-2</v>
      </c>
      <c r="AK648" s="31">
        <f t="shared" si="164"/>
        <v>0.92602739726027394</v>
      </c>
      <c r="AL648" s="29">
        <f t="shared" si="165"/>
        <v>0.4</v>
      </c>
      <c r="AM648" s="29">
        <f t="shared" si="166"/>
        <v>684.26666666666699</v>
      </c>
      <c r="AN648" s="29">
        <f t="shared" si="167"/>
        <v>1.0668355416991422</v>
      </c>
      <c r="AO648" s="29">
        <f t="shared" si="168"/>
        <v>0.9375</v>
      </c>
      <c r="AP648" s="31">
        <f t="shared" si="169"/>
        <v>1.1379579111457516</v>
      </c>
      <c r="AQ648" s="31">
        <f t="shared" si="170"/>
        <v>0.92602739726027394</v>
      </c>
      <c r="AR648" s="31">
        <f t="shared" si="171"/>
        <v>1.0180722891566258</v>
      </c>
      <c r="AS648" s="29">
        <f t="shared" si="172"/>
        <v>38.434219178082188</v>
      </c>
      <c r="AT648" s="29">
        <f t="shared" si="173"/>
        <v>9.3080067554888366</v>
      </c>
      <c r="AU648" s="27" t="str">
        <f t="shared" si="174"/>
        <v>Low</v>
      </c>
      <c r="AV648" s="27" t="str">
        <f t="shared" si="175"/>
        <v>Normal</v>
      </c>
      <c r="AW648" s="27"/>
    </row>
    <row r="649" spans="1:49" x14ac:dyDescent="0.25">
      <c r="A649" s="27">
        <v>648</v>
      </c>
      <c r="B649" s="28">
        <v>46046</v>
      </c>
      <c r="C649" s="28" t="str">
        <f t="shared" si="160"/>
        <v>January</v>
      </c>
      <c r="D649" s="27" t="s">
        <v>67</v>
      </c>
      <c r="E649" s="27" t="s">
        <v>76</v>
      </c>
      <c r="F649" s="27" t="s">
        <v>119</v>
      </c>
      <c r="G649" s="27" t="s">
        <v>50</v>
      </c>
      <c r="H649" s="27" t="s">
        <v>124</v>
      </c>
      <c r="I649" s="27" t="s">
        <v>772</v>
      </c>
      <c r="J649" s="27" t="s">
        <v>161</v>
      </c>
      <c r="K649" s="27">
        <v>523</v>
      </c>
      <c r="L649" s="27">
        <v>502</v>
      </c>
      <c r="M649" s="27">
        <v>456</v>
      </c>
      <c r="N649" s="27">
        <v>46</v>
      </c>
      <c r="O649" s="27">
        <v>18</v>
      </c>
      <c r="P649" s="27">
        <v>28</v>
      </c>
      <c r="Q649" s="27" t="s">
        <v>97</v>
      </c>
      <c r="R649" s="27">
        <v>57</v>
      </c>
      <c r="S649" s="27">
        <v>63</v>
      </c>
      <c r="T649" s="29">
        <v>73.5</v>
      </c>
      <c r="U649" s="29">
        <v>1.78</v>
      </c>
      <c r="V649" s="29">
        <v>16.760000000000002</v>
      </c>
      <c r="W649" s="30">
        <v>14264.24</v>
      </c>
      <c r="X649" s="27">
        <v>8.17</v>
      </c>
      <c r="Y649" s="27" t="s">
        <v>55</v>
      </c>
      <c r="Z649" s="29">
        <v>18</v>
      </c>
      <c r="AA649" s="30">
        <v>21086.26</v>
      </c>
      <c r="AB649" s="29">
        <v>0.90836653386454203</v>
      </c>
      <c r="AC649" s="30">
        <v>18091.580000000002</v>
      </c>
      <c r="AD649" s="30">
        <v>511.46677290836698</v>
      </c>
      <c r="AE649" s="27">
        <v>496.85</v>
      </c>
      <c r="AF649" s="29">
        <v>0.94364496326859204</v>
      </c>
      <c r="AG649" s="30">
        <v>2483.21322709163</v>
      </c>
      <c r="AH649" s="31">
        <f t="shared" si="161"/>
        <v>0.95984703632887192</v>
      </c>
      <c r="AI649" s="31">
        <f t="shared" si="162"/>
        <v>9.1633466135458169E-2</v>
      </c>
      <c r="AJ649" s="31">
        <f t="shared" si="163"/>
        <v>3.5856573705179286E-2</v>
      </c>
      <c r="AK649" s="31">
        <f t="shared" si="164"/>
        <v>0.9083665338645418</v>
      </c>
      <c r="AL649" s="29">
        <f t="shared" si="165"/>
        <v>0.46666666666666667</v>
      </c>
      <c r="AM649" s="29">
        <f t="shared" si="166"/>
        <v>468.85</v>
      </c>
      <c r="AN649" s="29">
        <f t="shared" si="167"/>
        <v>1.0707049162845259</v>
      </c>
      <c r="AO649" s="29">
        <f t="shared" si="168"/>
        <v>1.0526315789473684</v>
      </c>
      <c r="AP649" s="31">
        <f t="shared" si="169"/>
        <v>1.0171696704702997</v>
      </c>
      <c r="AQ649" s="31">
        <f t="shared" si="170"/>
        <v>0.9083665338645418</v>
      </c>
      <c r="AR649" s="31">
        <f t="shared" si="171"/>
        <v>0.87189292543021024</v>
      </c>
      <c r="AS649" s="29">
        <f t="shared" si="172"/>
        <v>36.039003984063747</v>
      </c>
      <c r="AT649" s="29">
        <f t="shared" si="173"/>
        <v>4.9466398946048402</v>
      </c>
      <c r="AU649" s="27" t="str">
        <f t="shared" si="174"/>
        <v>Medium</v>
      </c>
      <c r="AV649" s="27" t="str">
        <f t="shared" si="175"/>
        <v>Warning</v>
      </c>
      <c r="AW649" s="27"/>
    </row>
    <row r="650" spans="1:49" x14ac:dyDescent="0.25">
      <c r="A650" s="27">
        <v>649</v>
      </c>
      <c r="B650" s="28">
        <v>46102</v>
      </c>
      <c r="C650" s="28" t="str">
        <f t="shared" si="160"/>
        <v>March</v>
      </c>
      <c r="D650" s="27" t="s">
        <v>67</v>
      </c>
      <c r="E650" s="27" t="s">
        <v>48</v>
      </c>
      <c r="F650" s="27" t="s">
        <v>72</v>
      </c>
      <c r="G650" s="27" t="s">
        <v>78</v>
      </c>
      <c r="H650" s="27" t="s">
        <v>51</v>
      </c>
      <c r="I650" s="27" t="s">
        <v>773</v>
      </c>
      <c r="J650" s="27" t="s">
        <v>286</v>
      </c>
      <c r="K650" s="27">
        <v>720</v>
      </c>
      <c r="L650" s="27">
        <v>612</v>
      </c>
      <c r="M650" s="27">
        <v>586</v>
      </c>
      <c r="N650" s="27">
        <v>26</v>
      </c>
      <c r="O650" s="27">
        <v>5</v>
      </c>
      <c r="P650" s="27">
        <v>6</v>
      </c>
      <c r="Q650" s="27" t="s">
        <v>75</v>
      </c>
      <c r="R650" s="27">
        <v>42</v>
      </c>
      <c r="S650" s="27">
        <v>47</v>
      </c>
      <c r="T650" s="29">
        <v>72.599999999999994</v>
      </c>
      <c r="U650" s="29">
        <v>2.42</v>
      </c>
      <c r="V650" s="29">
        <v>22.86</v>
      </c>
      <c r="W650" s="30">
        <v>11097.61</v>
      </c>
      <c r="X650" s="27">
        <v>8.84</v>
      </c>
      <c r="Y650" s="27" t="s">
        <v>71</v>
      </c>
      <c r="Z650" s="29">
        <v>31</v>
      </c>
      <c r="AA650" s="30">
        <v>18243.349999999999</v>
      </c>
      <c r="AB650" s="29">
        <v>0.95751633986928097</v>
      </c>
      <c r="AC650" s="30">
        <v>15281.35</v>
      </c>
      <c r="AD650" s="30">
        <v>90.666748366013096</v>
      </c>
      <c r="AE650" s="27">
        <v>504</v>
      </c>
      <c r="AF650" s="29">
        <v>0.98809523809523803</v>
      </c>
      <c r="AG650" s="30">
        <v>2871.3332516339901</v>
      </c>
      <c r="AH650" s="31">
        <f t="shared" si="161"/>
        <v>0.85</v>
      </c>
      <c r="AI650" s="31">
        <f t="shared" si="162"/>
        <v>4.2483660130718956E-2</v>
      </c>
      <c r="AJ650" s="31">
        <f t="shared" si="163"/>
        <v>8.1699346405228763E-3</v>
      </c>
      <c r="AK650" s="31">
        <f t="shared" si="164"/>
        <v>0.95751633986928109</v>
      </c>
      <c r="AL650" s="29">
        <f t="shared" si="165"/>
        <v>0.1</v>
      </c>
      <c r="AM650" s="29">
        <f t="shared" si="166"/>
        <v>498</v>
      </c>
      <c r="AN650" s="29">
        <f t="shared" si="167"/>
        <v>1.2289156626506024</v>
      </c>
      <c r="AO650" s="29">
        <f t="shared" si="168"/>
        <v>1.4285714285714286</v>
      </c>
      <c r="AP650" s="31">
        <f t="shared" si="169"/>
        <v>0.86024096385542159</v>
      </c>
      <c r="AQ650" s="31">
        <f t="shared" si="170"/>
        <v>0.95751633986928109</v>
      </c>
      <c r="AR650" s="31">
        <f t="shared" si="171"/>
        <v>0.81388888888888877</v>
      </c>
      <c r="AS650" s="29">
        <f t="shared" si="172"/>
        <v>24.969526143790851</v>
      </c>
      <c r="AT650" s="29">
        <f t="shared" si="173"/>
        <v>4.6917209994019444</v>
      </c>
      <c r="AU650" s="27" t="str">
        <f t="shared" si="174"/>
        <v>High</v>
      </c>
      <c r="AV650" s="27" t="str">
        <f t="shared" si="175"/>
        <v>Warning</v>
      </c>
      <c r="AW650" s="27"/>
    </row>
    <row r="651" spans="1:49" x14ac:dyDescent="0.25">
      <c r="A651" s="27">
        <v>650</v>
      </c>
      <c r="B651" s="28">
        <v>46039</v>
      </c>
      <c r="C651" s="28" t="str">
        <f t="shared" si="160"/>
        <v>January</v>
      </c>
      <c r="D651" s="27" t="s">
        <v>67</v>
      </c>
      <c r="E651" s="27" t="s">
        <v>76</v>
      </c>
      <c r="F651" s="27" t="s">
        <v>77</v>
      </c>
      <c r="G651" s="27" t="s">
        <v>63</v>
      </c>
      <c r="H651" s="27" t="s">
        <v>79</v>
      </c>
      <c r="I651" s="27" t="s">
        <v>774</v>
      </c>
      <c r="J651" s="27" t="s">
        <v>143</v>
      </c>
      <c r="K651" s="27">
        <v>657</v>
      </c>
      <c r="L651" s="27">
        <v>692</v>
      </c>
      <c r="M651" s="27">
        <v>641</v>
      </c>
      <c r="N651" s="27">
        <v>51</v>
      </c>
      <c r="O651" s="27">
        <v>17</v>
      </c>
      <c r="P651" s="27">
        <v>15</v>
      </c>
      <c r="Q651" s="27" t="s">
        <v>82</v>
      </c>
      <c r="R651" s="27">
        <v>49</v>
      </c>
      <c r="S651" s="27">
        <v>53</v>
      </c>
      <c r="T651" s="29">
        <v>62</v>
      </c>
      <c r="U651" s="29">
        <v>1.97</v>
      </c>
      <c r="V651" s="29">
        <v>25.57</v>
      </c>
      <c r="W651" s="30">
        <v>14983.51</v>
      </c>
      <c r="X651" s="27">
        <v>9.8000000000000007</v>
      </c>
      <c r="Y651" s="27" t="s">
        <v>55</v>
      </c>
      <c r="Z651" s="29">
        <v>6</v>
      </c>
      <c r="AA651" s="30">
        <v>24936.33</v>
      </c>
      <c r="AB651" s="29">
        <v>0.92630057803468202</v>
      </c>
      <c r="AC651" s="30">
        <v>19623.64</v>
      </c>
      <c r="AD651" s="30">
        <v>368.09200867051999</v>
      </c>
      <c r="AE651" s="27">
        <v>536.54999999999995</v>
      </c>
      <c r="AF651" s="29">
        <v>0.97204361196533395</v>
      </c>
      <c r="AG651" s="30">
        <v>4944.5979913294796</v>
      </c>
      <c r="AH651" s="31">
        <f t="shared" si="161"/>
        <v>1.0532724505327244</v>
      </c>
      <c r="AI651" s="31">
        <f t="shared" si="162"/>
        <v>7.3699421965317924E-2</v>
      </c>
      <c r="AJ651" s="31">
        <f t="shared" si="163"/>
        <v>2.4566473988439308E-2</v>
      </c>
      <c r="AK651" s="31">
        <f t="shared" si="164"/>
        <v>0.92630057803468213</v>
      </c>
      <c r="AL651" s="29">
        <f t="shared" si="165"/>
        <v>0.25</v>
      </c>
      <c r="AM651" s="29">
        <f t="shared" si="166"/>
        <v>521.54999999999995</v>
      </c>
      <c r="AN651" s="29">
        <f t="shared" si="167"/>
        <v>1.3268143035183588</v>
      </c>
      <c r="AO651" s="29">
        <f t="shared" si="168"/>
        <v>1.2244897959183674</v>
      </c>
      <c r="AP651" s="31">
        <f t="shared" si="169"/>
        <v>1.0835650145399931</v>
      </c>
      <c r="AQ651" s="31">
        <f t="shared" si="170"/>
        <v>0.92630057803468213</v>
      </c>
      <c r="AR651" s="31">
        <f t="shared" si="171"/>
        <v>0.9756468797564688</v>
      </c>
      <c r="AS651" s="29">
        <f t="shared" si="172"/>
        <v>28.357861271676299</v>
      </c>
      <c r="AT651" s="29">
        <f t="shared" si="173"/>
        <v>7.1453728198402882</v>
      </c>
      <c r="AU651" s="27" t="str">
        <f t="shared" si="174"/>
        <v>Low</v>
      </c>
      <c r="AV651" s="27" t="str">
        <f t="shared" si="175"/>
        <v>Normal</v>
      </c>
      <c r="AW651" s="27"/>
    </row>
    <row r="652" spans="1:49" x14ac:dyDescent="0.25">
      <c r="A652" s="27">
        <v>651</v>
      </c>
      <c r="B652" s="28">
        <v>46135</v>
      </c>
      <c r="C652" s="28" t="str">
        <f t="shared" si="160"/>
        <v>April</v>
      </c>
      <c r="D652" s="27" t="s">
        <v>67</v>
      </c>
      <c r="E652" s="27" t="s">
        <v>76</v>
      </c>
      <c r="F652" s="27" t="s">
        <v>119</v>
      </c>
      <c r="G652" s="27" t="s">
        <v>50</v>
      </c>
      <c r="H652" s="27" t="s">
        <v>51</v>
      </c>
      <c r="I652" s="27" t="s">
        <v>775</v>
      </c>
      <c r="J652" s="27" t="s">
        <v>218</v>
      </c>
      <c r="K652" s="27">
        <v>791</v>
      </c>
      <c r="L652" s="27">
        <v>837</v>
      </c>
      <c r="M652" s="27">
        <v>758</v>
      </c>
      <c r="N652" s="27">
        <v>79</v>
      </c>
      <c r="O652" s="27">
        <v>22</v>
      </c>
      <c r="P652" s="27">
        <v>9</v>
      </c>
      <c r="Q652" s="27" t="s">
        <v>54</v>
      </c>
      <c r="R652" s="27">
        <v>42</v>
      </c>
      <c r="S652" s="27">
        <v>42</v>
      </c>
      <c r="T652" s="29">
        <v>64.099999999999994</v>
      </c>
      <c r="U652" s="29">
        <v>1.51</v>
      </c>
      <c r="V652" s="29">
        <v>24.33</v>
      </c>
      <c r="W652" s="30">
        <v>15854.79</v>
      </c>
      <c r="X652" s="27">
        <v>9.7200000000000006</v>
      </c>
      <c r="Y652" s="27" t="s">
        <v>110</v>
      </c>
      <c r="Z652" s="29">
        <v>25</v>
      </c>
      <c r="AA652" s="30">
        <v>23911.87</v>
      </c>
      <c r="AB652" s="29">
        <v>0.90561529271206698</v>
      </c>
      <c r="AC652" s="30">
        <v>20447.759999999998</v>
      </c>
      <c r="AD652" s="30">
        <v>416.73283154121901</v>
      </c>
      <c r="AE652" s="27">
        <v>553.70000000000005</v>
      </c>
      <c r="AF652" s="29">
        <v>0.98374571067365002</v>
      </c>
      <c r="AG652" s="30">
        <v>3047.37716845878</v>
      </c>
      <c r="AH652" s="31">
        <f t="shared" si="161"/>
        <v>1.0581542351453856</v>
      </c>
      <c r="AI652" s="31">
        <f t="shared" si="162"/>
        <v>9.4384707287933092E-2</v>
      </c>
      <c r="AJ652" s="31">
        <f t="shared" si="163"/>
        <v>2.6284348864994027E-2</v>
      </c>
      <c r="AK652" s="31">
        <f t="shared" si="164"/>
        <v>0.90561529271206687</v>
      </c>
      <c r="AL652" s="29">
        <f t="shared" si="165"/>
        <v>0.15</v>
      </c>
      <c r="AM652" s="29">
        <f t="shared" si="166"/>
        <v>544.70000000000005</v>
      </c>
      <c r="AN652" s="29">
        <f t="shared" si="167"/>
        <v>1.536625665503947</v>
      </c>
      <c r="AO652" s="29">
        <f t="shared" si="168"/>
        <v>1.4285714285714286</v>
      </c>
      <c r="AP652" s="31">
        <f t="shared" si="169"/>
        <v>1.0756379658527628</v>
      </c>
      <c r="AQ652" s="31">
        <f t="shared" si="170"/>
        <v>0.90561529271206687</v>
      </c>
      <c r="AR652" s="31">
        <f t="shared" si="171"/>
        <v>0.95828065739570145</v>
      </c>
      <c r="AS652" s="29">
        <f t="shared" si="172"/>
        <v>24.429820788530463</v>
      </c>
      <c r="AT652" s="29">
        <f t="shared" si="173"/>
        <v>3.6408329372267385</v>
      </c>
      <c r="AU652" s="27" t="str">
        <f t="shared" si="174"/>
        <v>Medium</v>
      </c>
      <c r="AV652" s="27" t="str">
        <f t="shared" si="175"/>
        <v>Warning</v>
      </c>
      <c r="AW652" s="27"/>
    </row>
    <row r="653" spans="1:49" x14ac:dyDescent="0.25">
      <c r="A653" s="27">
        <v>652</v>
      </c>
      <c r="B653" s="28">
        <v>46124</v>
      </c>
      <c r="C653" s="28" t="str">
        <f t="shared" si="160"/>
        <v>April</v>
      </c>
      <c r="D653" s="27" t="s">
        <v>67</v>
      </c>
      <c r="E653" s="27" t="s">
        <v>48</v>
      </c>
      <c r="F653" s="27" t="s">
        <v>72</v>
      </c>
      <c r="G653" s="27" t="s">
        <v>50</v>
      </c>
      <c r="H653" s="27" t="s">
        <v>79</v>
      </c>
      <c r="I653" s="27" t="s">
        <v>776</v>
      </c>
      <c r="J653" s="27" t="s">
        <v>140</v>
      </c>
      <c r="K653" s="27">
        <v>687</v>
      </c>
      <c r="L653" s="27">
        <v>797</v>
      </c>
      <c r="M653" s="27">
        <v>769</v>
      </c>
      <c r="N653" s="27">
        <v>28</v>
      </c>
      <c r="O653" s="27">
        <v>6</v>
      </c>
      <c r="P653" s="27">
        <v>9</v>
      </c>
      <c r="Q653" s="27" t="s">
        <v>54</v>
      </c>
      <c r="R653" s="27">
        <v>49</v>
      </c>
      <c r="S653" s="27">
        <v>49</v>
      </c>
      <c r="T653" s="29">
        <v>74.3</v>
      </c>
      <c r="U653" s="29">
        <v>1.98</v>
      </c>
      <c r="V653" s="29">
        <v>23.05</v>
      </c>
      <c r="W653" s="30">
        <v>18373.77</v>
      </c>
      <c r="X653" s="27">
        <v>8.98</v>
      </c>
      <c r="Y653" s="27" t="s">
        <v>55</v>
      </c>
      <c r="Z653" s="29">
        <v>24</v>
      </c>
      <c r="AA653" s="30">
        <v>29402.46</v>
      </c>
      <c r="AB653" s="29">
        <v>0.96486825595985004</v>
      </c>
      <c r="AC653" s="30">
        <v>22622.22</v>
      </c>
      <c r="AD653" s="30">
        <v>138.32198243412799</v>
      </c>
      <c r="AE653" s="27">
        <v>561.04999999999995</v>
      </c>
      <c r="AF653" s="29">
        <v>0.98395864896176799</v>
      </c>
      <c r="AG653" s="30">
        <v>6641.9180175658703</v>
      </c>
      <c r="AH653" s="31">
        <f t="shared" si="161"/>
        <v>1.1601164483260553</v>
      </c>
      <c r="AI653" s="31">
        <f t="shared" si="162"/>
        <v>3.5131744040150563E-2</v>
      </c>
      <c r="AJ653" s="31">
        <f t="shared" si="163"/>
        <v>7.5282308657465494E-3</v>
      </c>
      <c r="AK653" s="31">
        <f t="shared" si="164"/>
        <v>0.96486825595984949</v>
      </c>
      <c r="AL653" s="29">
        <f t="shared" si="165"/>
        <v>0.15</v>
      </c>
      <c r="AM653" s="29">
        <f t="shared" si="166"/>
        <v>552.04999999999995</v>
      </c>
      <c r="AN653" s="29">
        <f t="shared" si="167"/>
        <v>1.443709808894122</v>
      </c>
      <c r="AO653" s="29">
        <f t="shared" si="168"/>
        <v>1.2244897959183674</v>
      </c>
      <c r="AP653" s="31">
        <f t="shared" si="169"/>
        <v>1.1790296772635329</v>
      </c>
      <c r="AQ653" s="31">
        <f t="shared" si="170"/>
        <v>0.96486825595984949</v>
      </c>
      <c r="AR653" s="31">
        <f t="shared" si="171"/>
        <v>1.1193595342066955</v>
      </c>
      <c r="AS653" s="29">
        <f t="shared" si="172"/>
        <v>28.384215809284818</v>
      </c>
      <c r="AT653" s="29">
        <f t="shared" si="173"/>
        <v>8.333648704599586</v>
      </c>
      <c r="AU653" s="27" t="str">
        <f t="shared" si="174"/>
        <v>Low</v>
      </c>
      <c r="AV653" s="27" t="str">
        <f t="shared" si="175"/>
        <v>Normal</v>
      </c>
      <c r="AW653" s="27"/>
    </row>
    <row r="654" spans="1:49" x14ac:dyDescent="0.25">
      <c r="A654" s="27">
        <v>653</v>
      </c>
      <c r="B654" s="28">
        <v>46023</v>
      </c>
      <c r="C654" s="28" t="str">
        <f t="shared" si="160"/>
        <v>January</v>
      </c>
      <c r="D654" s="27" t="s">
        <v>67</v>
      </c>
      <c r="E654" s="27" t="s">
        <v>48</v>
      </c>
      <c r="F654" s="27" t="s">
        <v>72</v>
      </c>
      <c r="G654" s="27" t="s">
        <v>63</v>
      </c>
      <c r="H654" s="27" t="s">
        <v>51</v>
      </c>
      <c r="I654" s="27" t="s">
        <v>777</v>
      </c>
      <c r="J654" s="27" t="s">
        <v>81</v>
      </c>
      <c r="K654" s="27">
        <v>882</v>
      </c>
      <c r="L654" s="27">
        <v>803</v>
      </c>
      <c r="M654" s="27">
        <v>779</v>
      </c>
      <c r="N654" s="27">
        <v>24</v>
      </c>
      <c r="O654" s="27">
        <v>5</v>
      </c>
      <c r="P654" s="27">
        <v>20</v>
      </c>
      <c r="Q654" s="27" t="s">
        <v>75</v>
      </c>
      <c r="R654" s="27">
        <v>42</v>
      </c>
      <c r="S654" s="27">
        <v>41</v>
      </c>
      <c r="T654" s="29">
        <v>73.900000000000006</v>
      </c>
      <c r="U654" s="29">
        <v>1.85</v>
      </c>
      <c r="V654" s="29">
        <v>33.909999999999997</v>
      </c>
      <c r="W654" s="30">
        <v>14540.01</v>
      </c>
      <c r="X654" s="27">
        <v>6.98</v>
      </c>
      <c r="Y654" s="27" t="s">
        <v>55</v>
      </c>
      <c r="Z654" s="29">
        <v>8</v>
      </c>
      <c r="AA654" s="30">
        <v>24943.360000000001</v>
      </c>
      <c r="AB654" s="29">
        <v>0.97011207970112101</v>
      </c>
      <c r="AC654" s="30">
        <v>17986.2</v>
      </c>
      <c r="AD654" s="30">
        <v>90.535554171855594</v>
      </c>
      <c r="AE654" s="27">
        <v>617.4</v>
      </c>
      <c r="AF654" s="29">
        <v>0.96760609005507003</v>
      </c>
      <c r="AG654" s="30">
        <v>6866.6244458281399</v>
      </c>
      <c r="AH654" s="31">
        <f t="shared" si="161"/>
        <v>0.91043083900226762</v>
      </c>
      <c r="AI654" s="31">
        <f t="shared" si="162"/>
        <v>2.9887920298879204E-2</v>
      </c>
      <c r="AJ654" s="31">
        <f t="shared" si="163"/>
        <v>6.2266500622665004E-3</v>
      </c>
      <c r="AK654" s="31">
        <f t="shared" si="164"/>
        <v>0.97011207970112079</v>
      </c>
      <c r="AL654" s="29">
        <f t="shared" si="165"/>
        <v>0.33333333333333331</v>
      </c>
      <c r="AM654" s="29">
        <f t="shared" si="166"/>
        <v>597.4</v>
      </c>
      <c r="AN654" s="29">
        <f t="shared" si="167"/>
        <v>1.3441580180783395</v>
      </c>
      <c r="AO654" s="29">
        <f t="shared" si="168"/>
        <v>1.4285714285714286</v>
      </c>
      <c r="AP654" s="31">
        <f t="shared" si="169"/>
        <v>0.94091061265483755</v>
      </c>
      <c r="AQ654" s="31">
        <f t="shared" si="170"/>
        <v>0.97011207970112079</v>
      </c>
      <c r="AR654" s="31">
        <f t="shared" si="171"/>
        <v>0.88321995464852632</v>
      </c>
      <c r="AS654" s="29">
        <f t="shared" si="172"/>
        <v>22.398754669987547</v>
      </c>
      <c r="AT654" s="29">
        <f t="shared" si="173"/>
        <v>8.5512135066352926</v>
      </c>
      <c r="AU654" s="27" t="str">
        <f t="shared" si="174"/>
        <v>Low</v>
      </c>
      <c r="AV654" s="27" t="str">
        <f t="shared" si="175"/>
        <v>Normal</v>
      </c>
      <c r="AW654" s="27"/>
    </row>
    <row r="655" spans="1:49" x14ac:dyDescent="0.25">
      <c r="A655" s="27">
        <v>654</v>
      </c>
      <c r="B655" s="28">
        <v>46047</v>
      </c>
      <c r="C655" s="28" t="str">
        <f t="shared" si="160"/>
        <v>January</v>
      </c>
      <c r="D655" s="27" t="s">
        <v>67</v>
      </c>
      <c r="E655" s="27" t="s">
        <v>129</v>
      </c>
      <c r="F655" s="27" t="s">
        <v>151</v>
      </c>
      <c r="G655" s="27" t="s">
        <v>78</v>
      </c>
      <c r="H655" s="27" t="s">
        <v>51</v>
      </c>
      <c r="I655" s="27" t="s">
        <v>778</v>
      </c>
      <c r="J655" s="27" t="s">
        <v>161</v>
      </c>
      <c r="K655" s="27">
        <v>848</v>
      </c>
      <c r="L655" s="27">
        <v>778</v>
      </c>
      <c r="M655" s="27">
        <v>729</v>
      </c>
      <c r="N655" s="27">
        <v>49</v>
      </c>
      <c r="O655" s="27">
        <v>20</v>
      </c>
      <c r="P655" s="27">
        <v>5</v>
      </c>
      <c r="Q655" s="27" t="s">
        <v>97</v>
      </c>
      <c r="R655" s="27">
        <v>42</v>
      </c>
      <c r="S655" s="27">
        <v>47</v>
      </c>
      <c r="T655" s="29">
        <v>71.7</v>
      </c>
      <c r="U655" s="29">
        <v>1.54</v>
      </c>
      <c r="V655" s="29">
        <v>22.89</v>
      </c>
      <c r="W655" s="30">
        <v>14633.18</v>
      </c>
      <c r="X655" s="27">
        <v>9.26</v>
      </c>
      <c r="Y655" s="27" t="s">
        <v>110</v>
      </c>
      <c r="Z655" s="29">
        <v>15</v>
      </c>
      <c r="AA655" s="30">
        <v>23452.560000000001</v>
      </c>
      <c r="AB655" s="29">
        <v>0.93701799485861204</v>
      </c>
      <c r="AC655" s="30">
        <v>19006.189999999999</v>
      </c>
      <c r="AD655" s="30">
        <v>376.174293059126</v>
      </c>
      <c r="AE655" s="27">
        <v>593.6</v>
      </c>
      <c r="AF655" s="29">
        <v>0.99157681940700804</v>
      </c>
      <c r="AG655" s="30">
        <v>4070.19570694088</v>
      </c>
      <c r="AH655" s="31">
        <f t="shared" si="161"/>
        <v>0.91745283018867929</v>
      </c>
      <c r="AI655" s="31">
        <f t="shared" si="162"/>
        <v>6.2982005141388173E-2</v>
      </c>
      <c r="AJ655" s="31">
        <f t="shared" si="163"/>
        <v>2.570694087403599E-2</v>
      </c>
      <c r="AK655" s="31">
        <f t="shared" si="164"/>
        <v>0.93701799485861181</v>
      </c>
      <c r="AL655" s="29">
        <f t="shared" si="165"/>
        <v>8.3333333333333329E-2</v>
      </c>
      <c r="AM655" s="29">
        <f t="shared" si="166"/>
        <v>588.6</v>
      </c>
      <c r="AN655" s="29">
        <f t="shared" si="167"/>
        <v>1.3217804960924227</v>
      </c>
      <c r="AO655" s="29">
        <f t="shared" si="168"/>
        <v>1.4285714285714286</v>
      </c>
      <c r="AP655" s="31">
        <f t="shared" si="169"/>
        <v>0.92524634726469579</v>
      </c>
      <c r="AQ655" s="31">
        <f t="shared" si="170"/>
        <v>0.93701799485861181</v>
      </c>
      <c r="AR655" s="31">
        <f t="shared" si="171"/>
        <v>0.8596698113207546</v>
      </c>
      <c r="AS655" s="29">
        <f t="shared" si="172"/>
        <v>24.429550128534704</v>
      </c>
      <c r="AT655" s="29">
        <f t="shared" si="173"/>
        <v>5.2316140192042155</v>
      </c>
      <c r="AU655" s="27" t="str">
        <f t="shared" si="174"/>
        <v>Medium</v>
      </c>
      <c r="AV655" s="27" t="str">
        <f t="shared" si="175"/>
        <v>Normal</v>
      </c>
      <c r="AW655" s="27"/>
    </row>
    <row r="656" spans="1:49" x14ac:dyDescent="0.25">
      <c r="A656" s="27">
        <v>655</v>
      </c>
      <c r="B656" s="28">
        <v>46069</v>
      </c>
      <c r="C656" s="28" t="str">
        <f t="shared" si="160"/>
        <v>February</v>
      </c>
      <c r="D656" s="27" t="s">
        <v>47</v>
      </c>
      <c r="E656" s="27" t="s">
        <v>98</v>
      </c>
      <c r="F656" s="27" t="s">
        <v>99</v>
      </c>
      <c r="G656" s="27" t="s">
        <v>63</v>
      </c>
      <c r="H656" s="27" t="s">
        <v>68</v>
      </c>
      <c r="I656" s="27" t="s">
        <v>779</v>
      </c>
      <c r="J656" s="27" t="s">
        <v>65</v>
      </c>
      <c r="K656" s="27">
        <v>596</v>
      </c>
      <c r="L656" s="27">
        <v>560</v>
      </c>
      <c r="M656" s="27">
        <v>527</v>
      </c>
      <c r="N656" s="27">
        <v>33</v>
      </c>
      <c r="O656" s="27">
        <v>10</v>
      </c>
      <c r="P656" s="27">
        <v>0</v>
      </c>
      <c r="Q656" s="27" t="s">
        <v>60</v>
      </c>
      <c r="R656" s="27">
        <v>64</v>
      </c>
      <c r="S656" s="27">
        <v>68</v>
      </c>
      <c r="T656" s="29">
        <v>69.7</v>
      </c>
      <c r="U656" s="29">
        <v>1.3</v>
      </c>
      <c r="V656" s="29">
        <v>22.06</v>
      </c>
      <c r="W656" s="30">
        <v>16687.580000000002</v>
      </c>
      <c r="X656" s="27">
        <v>8.8800000000000008</v>
      </c>
      <c r="Y656" s="27" t="s">
        <v>55</v>
      </c>
      <c r="Z656" s="29">
        <v>22</v>
      </c>
      <c r="AA656" s="30">
        <v>26629.82</v>
      </c>
      <c r="AB656" s="29">
        <v>0.941071428571429</v>
      </c>
      <c r="AC656" s="30">
        <v>20882.12</v>
      </c>
      <c r="AD656" s="30">
        <v>297.99250000000001</v>
      </c>
      <c r="AE656" s="27">
        <v>635.73333333333301</v>
      </c>
      <c r="AF656" s="29">
        <v>1</v>
      </c>
      <c r="AG656" s="30">
        <v>5449.7075000000004</v>
      </c>
      <c r="AH656" s="31">
        <f t="shared" si="161"/>
        <v>0.93959731543624159</v>
      </c>
      <c r="AI656" s="31">
        <f t="shared" si="162"/>
        <v>5.8928571428571427E-2</v>
      </c>
      <c r="AJ656" s="31">
        <f t="shared" si="163"/>
        <v>1.7857142857142856E-2</v>
      </c>
      <c r="AK656" s="31">
        <f t="shared" si="164"/>
        <v>0.94107142857142856</v>
      </c>
      <c r="AL656" s="29">
        <f t="shared" si="165"/>
        <v>0</v>
      </c>
      <c r="AM656" s="29">
        <f t="shared" si="166"/>
        <v>635.73333333333301</v>
      </c>
      <c r="AN656" s="29">
        <f t="shared" si="167"/>
        <v>0.88087248322147693</v>
      </c>
      <c r="AO656" s="29">
        <f t="shared" si="168"/>
        <v>0.9375</v>
      </c>
      <c r="AP656" s="31">
        <f t="shared" si="169"/>
        <v>0.93959731543624203</v>
      </c>
      <c r="AQ656" s="31">
        <f t="shared" si="170"/>
        <v>0.94107142857142856</v>
      </c>
      <c r="AR656" s="31">
        <f t="shared" si="171"/>
        <v>0.88422818791946345</v>
      </c>
      <c r="AS656" s="29">
        <f t="shared" si="172"/>
        <v>37.289499999999997</v>
      </c>
      <c r="AT656" s="29">
        <f t="shared" si="173"/>
        <v>9.7316205357142866</v>
      </c>
      <c r="AU656" s="27" t="str">
        <f t="shared" si="174"/>
        <v>Low</v>
      </c>
      <c r="AV656" s="27" t="str">
        <f t="shared" si="175"/>
        <v>Normal</v>
      </c>
      <c r="AW656" s="27"/>
    </row>
    <row r="657" spans="1:49" x14ac:dyDescent="0.25">
      <c r="A657" s="27">
        <v>656</v>
      </c>
      <c r="B657" s="28">
        <v>46081</v>
      </c>
      <c r="C657" s="28" t="str">
        <f t="shared" si="160"/>
        <v>February</v>
      </c>
      <c r="D657" s="27" t="s">
        <v>67</v>
      </c>
      <c r="E657" s="27" t="s">
        <v>48</v>
      </c>
      <c r="F657" s="27" t="s">
        <v>56</v>
      </c>
      <c r="G657" s="27" t="s">
        <v>78</v>
      </c>
      <c r="H657" s="27" t="s">
        <v>124</v>
      </c>
      <c r="I657" s="27" t="s">
        <v>780</v>
      </c>
      <c r="J657" s="27" t="s">
        <v>74</v>
      </c>
      <c r="K657" s="27">
        <v>623</v>
      </c>
      <c r="L657" s="27">
        <v>545</v>
      </c>
      <c r="M657" s="27">
        <v>512</v>
      </c>
      <c r="N657" s="27">
        <v>33</v>
      </c>
      <c r="O657" s="27">
        <v>12</v>
      </c>
      <c r="P657" s="27">
        <v>42</v>
      </c>
      <c r="Q657" s="27" t="s">
        <v>91</v>
      </c>
      <c r="R657" s="27">
        <v>57</v>
      </c>
      <c r="S657" s="27">
        <v>60</v>
      </c>
      <c r="T657" s="29">
        <v>75.400000000000006</v>
      </c>
      <c r="U657" s="29">
        <v>1.95</v>
      </c>
      <c r="V657" s="29">
        <v>19.100000000000001</v>
      </c>
      <c r="W657" s="30">
        <v>14744.86</v>
      </c>
      <c r="X657" s="27">
        <v>6.31</v>
      </c>
      <c r="Y657" s="27" t="s">
        <v>66</v>
      </c>
      <c r="Z657" s="29">
        <v>34</v>
      </c>
      <c r="AA657" s="30">
        <v>22964.639999999999</v>
      </c>
      <c r="AB657" s="29">
        <v>0.93944954128440405</v>
      </c>
      <c r="AC657" s="30">
        <v>17756.259999999998</v>
      </c>
      <c r="AD657" s="30">
        <v>324.65746788990799</v>
      </c>
      <c r="AE657" s="27">
        <v>591.85</v>
      </c>
      <c r="AF657" s="29">
        <v>0.92903607332939098</v>
      </c>
      <c r="AG657" s="30">
        <v>4883.7225321100896</v>
      </c>
      <c r="AH657" s="31">
        <f t="shared" si="161"/>
        <v>0.8747993579454254</v>
      </c>
      <c r="AI657" s="31">
        <f t="shared" si="162"/>
        <v>6.0550458715596334E-2</v>
      </c>
      <c r="AJ657" s="31">
        <f t="shared" si="163"/>
        <v>2.2018348623853212E-2</v>
      </c>
      <c r="AK657" s="31">
        <f t="shared" si="164"/>
        <v>0.93944954128440372</v>
      </c>
      <c r="AL657" s="29">
        <f t="shared" si="165"/>
        <v>0.7</v>
      </c>
      <c r="AM657" s="29">
        <f t="shared" si="166"/>
        <v>549.85</v>
      </c>
      <c r="AN657" s="29">
        <f t="shared" si="167"/>
        <v>0.99117941256706366</v>
      </c>
      <c r="AO657" s="29">
        <f t="shared" si="168"/>
        <v>1.0526315789473684</v>
      </c>
      <c r="AP657" s="31">
        <f t="shared" si="169"/>
        <v>0.94162044193871053</v>
      </c>
      <c r="AQ657" s="31">
        <f t="shared" si="170"/>
        <v>0.93944954128440372</v>
      </c>
      <c r="AR657" s="31">
        <f t="shared" si="171"/>
        <v>0.82182985553772081</v>
      </c>
      <c r="AS657" s="29">
        <f t="shared" si="172"/>
        <v>32.580293577981649</v>
      </c>
      <c r="AT657" s="29">
        <f t="shared" si="173"/>
        <v>8.9609587745139265</v>
      </c>
      <c r="AU657" s="27" t="str">
        <f t="shared" si="174"/>
        <v>Medium</v>
      </c>
      <c r="AV657" s="27" t="str">
        <f t="shared" si="175"/>
        <v>Warning</v>
      </c>
      <c r="AW657" s="27"/>
    </row>
    <row r="658" spans="1:49" x14ac:dyDescent="0.25">
      <c r="A658" s="27">
        <v>657</v>
      </c>
      <c r="B658" s="28">
        <v>46066</v>
      </c>
      <c r="C658" s="28" t="str">
        <f t="shared" si="160"/>
        <v>February</v>
      </c>
      <c r="D658" s="27" t="s">
        <v>47</v>
      </c>
      <c r="E658" s="27" t="s">
        <v>98</v>
      </c>
      <c r="F658" s="27" t="s">
        <v>126</v>
      </c>
      <c r="G658" s="27" t="s">
        <v>50</v>
      </c>
      <c r="H658" s="27" t="s">
        <v>57</v>
      </c>
      <c r="I658" s="27" t="s">
        <v>781</v>
      </c>
      <c r="J658" s="27" t="s">
        <v>140</v>
      </c>
      <c r="K658" s="27">
        <v>881</v>
      </c>
      <c r="L658" s="27">
        <v>863</v>
      </c>
      <c r="M658" s="27">
        <v>796</v>
      </c>
      <c r="N658" s="27">
        <v>67</v>
      </c>
      <c r="O658" s="27">
        <v>27</v>
      </c>
      <c r="P658" s="27">
        <v>21</v>
      </c>
      <c r="Q658" s="27" t="s">
        <v>97</v>
      </c>
      <c r="R658" s="27">
        <v>45</v>
      </c>
      <c r="S658" s="27">
        <v>49</v>
      </c>
      <c r="T658" s="29">
        <v>67.3</v>
      </c>
      <c r="U658" s="29">
        <v>2.21</v>
      </c>
      <c r="V658" s="29">
        <v>26.19</v>
      </c>
      <c r="W658" s="30">
        <v>17325.060000000001</v>
      </c>
      <c r="X658" s="27">
        <v>8.34</v>
      </c>
      <c r="Y658" s="27" t="s">
        <v>66</v>
      </c>
      <c r="Z658" s="29">
        <v>22</v>
      </c>
      <c r="AA658" s="30">
        <v>28017.42</v>
      </c>
      <c r="AB658" s="29">
        <v>0.92236384704519103</v>
      </c>
      <c r="AC658" s="30">
        <v>21313.77</v>
      </c>
      <c r="AD658" s="30">
        <v>542.03548088064895</v>
      </c>
      <c r="AE658" s="27">
        <v>660.75</v>
      </c>
      <c r="AF658" s="29">
        <v>0.96821793416572099</v>
      </c>
      <c r="AG658" s="30">
        <v>6161.61451911935</v>
      </c>
      <c r="AH658" s="31">
        <f t="shared" si="161"/>
        <v>0.97956867196367758</v>
      </c>
      <c r="AI658" s="31">
        <f t="shared" si="162"/>
        <v>7.7636152954808801E-2</v>
      </c>
      <c r="AJ658" s="31">
        <f t="shared" si="163"/>
        <v>3.1286210892236384E-2</v>
      </c>
      <c r="AK658" s="31">
        <f t="shared" si="164"/>
        <v>0.92236384704519114</v>
      </c>
      <c r="AL658" s="29">
        <f t="shared" si="165"/>
        <v>0.35</v>
      </c>
      <c r="AM658" s="29">
        <f t="shared" si="166"/>
        <v>639.75</v>
      </c>
      <c r="AN658" s="29">
        <f t="shared" si="167"/>
        <v>1.3489644392340758</v>
      </c>
      <c r="AO658" s="29">
        <f t="shared" si="168"/>
        <v>1.3333333333333333</v>
      </c>
      <c r="AP658" s="31">
        <f t="shared" si="169"/>
        <v>1.011723329425557</v>
      </c>
      <c r="AQ658" s="31">
        <f t="shared" si="170"/>
        <v>0.92236384704519114</v>
      </c>
      <c r="AR658" s="31">
        <f t="shared" si="171"/>
        <v>0.90351872871736694</v>
      </c>
      <c r="AS658" s="29">
        <f t="shared" si="172"/>
        <v>24.697300115874857</v>
      </c>
      <c r="AT658" s="29">
        <f t="shared" si="173"/>
        <v>7.1397618993271728</v>
      </c>
      <c r="AU658" s="27" t="str">
        <f t="shared" si="174"/>
        <v>Low</v>
      </c>
      <c r="AV658" s="27" t="str">
        <f t="shared" si="175"/>
        <v>Normal</v>
      </c>
      <c r="AW658" s="27"/>
    </row>
    <row r="659" spans="1:49" x14ac:dyDescent="0.25">
      <c r="A659" s="27">
        <v>658</v>
      </c>
      <c r="B659" s="28">
        <v>46033</v>
      </c>
      <c r="C659" s="28" t="str">
        <f t="shared" si="160"/>
        <v>January</v>
      </c>
      <c r="D659" s="27" t="s">
        <v>67</v>
      </c>
      <c r="E659" s="27" t="s">
        <v>98</v>
      </c>
      <c r="F659" s="27" t="s">
        <v>99</v>
      </c>
      <c r="G659" s="27" t="s">
        <v>63</v>
      </c>
      <c r="H659" s="27" t="s">
        <v>124</v>
      </c>
      <c r="I659" s="27" t="s">
        <v>782</v>
      </c>
      <c r="J659" s="27" t="s">
        <v>128</v>
      </c>
      <c r="K659" s="27">
        <v>742</v>
      </c>
      <c r="L659" s="27">
        <v>659</v>
      </c>
      <c r="M659" s="27">
        <v>627</v>
      </c>
      <c r="N659" s="27">
        <v>32</v>
      </c>
      <c r="O659" s="27">
        <v>11</v>
      </c>
      <c r="P659" s="27">
        <v>39</v>
      </c>
      <c r="Q659" s="27" t="s">
        <v>54</v>
      </c>
      <c r="R659" s="27">
        <v>57</v>
      </c>
      <c r="S659" s="27">
        <v>57</v>
      </c>
      <c r="T659" s="29">
        <v>78.7</v>
      </c>
      <c r="U659" s="29">
        <v>2.1800000000000002</v>
      </c>
      <c r="V659" s="29">
        <v>25.98</v>
      </c>
      <c r="W659" s="30">
        <v>18336.11</v>
      </c>
      <c r="X659" s="27">
        <v>8.42</v>
      </c>
      <c r="Y659" s="27" t="s">
        <v>66</v>
      </c>
      <c r="Z659" s="29">
        <v>27</v>
      </c>
      <c r="AA659" s="30">
        <v>28481.82</v>
      </c>
      <c r="AB659" s="29">
        <v>0.95144157814871</v>
      </c>
      <c r="AC659" s="30">
        <v>22358.93</v>
      </c>
      <c r="AD659" s="30">
        <v>306.065569044006</v>
      </c>
      <c r="AE659" s="27">
        <v>704.9</v>
      </c>
      <c r="AF659" s="29">
        <v>0.94467300326287396</v>
      </c>
      <c r="AG659" s="30">
        <v>5816.8244309559896</v>
      </c>
      <c r="AH659" s="31">
        <f t="shared" si="161"/>
        <v>0.88814016172506738</v>
      </c>
      <c r="AI659" s="31">
        <f t="shared" si="162"/>
        <v>4.8558421851289835E-2</v>
      </c>
      <c r="AJ659" s="31">
        <f t="shared" si="163"/>
        <v>1.6691957511380879E-2</v>
      </c>
      <c r="AK659" s="31">
        <f t="shared" si="164"/>
        <v>0.95144157814871022</v>
      </c>
      <c r="AL659" s="29">
        <f t="shared" si="165"/>
        <v>0.65</v>
      </c>
      <c r="AM659" s="29">
        <f t="shared" si="166"/>
        <v>665.9</v>
      </c>
      <c r="AN659" s="29">
        <f t="shared" si="167"/>
        <v>0.98963808379636586</v>
      </c>
      <c r="AO659" s="29">
        <f t="shared" si="168"/>
        <v>1.0526315789473684</v>
      </c>
      <c r="AP659" s="31">
        <f t="shared" si="169"/>
        <v>0.94015617960654763</v>
      </c>
      <c r="AQ659" s="31">
        <f t="shared" si="170"/>
        <v>0.95144157814871022</v>
      </c>
      <c r="AR659" s="31">
        <f t="shared" si="171"/>
        <v>0.84501347708894869</v>
      </c>
      <c r="AS659" s="29">
        <f t="shared" si="172"/>
        <v>33.92857359635812</v>
      </c>
      <c r="AT659" s="29">
        <f t="shared" si="173"/>
        <v>8.8267442047890583</v>
      </c>
      <c r="AU659" s="27" t="str">
        <f t="shared" si="174"/>
        <v>Medium</v>
      </c>
      <c r="AV659" s="27" t="str">
        <f t="shared" si="175"/>
        <v>Warning</v>
      </c>
      <c r="AW659" s="27"/>
    </row>
    <row r="660" spans="1:49" x14ac:dyDescent="0.25">
      <c r="A660" s="27">
        <v>659</v>
      </c>
      <c r="B660" s="28">
        <v>46056</v>
      </c>
      <c r="C660" s="28" t="str">
        <f t="shared" si="160"/>
        <v>February</v>
      </c>
      <c r="D660" s="27" t="s">
        <v>67</v>
      </c>
      <c r="E660" s="27" t="s">
        <v>76</v>
      </c>
      <c r="F660" s="27" t="s">
        <v>119</v>
      </c>
      <c r="G660" s="27" t="s">
        <v>78</v>
      </c>
      <c r="H660" s="27" t="s">
        <v>124</v>
      </c>
      <c r="I660" s="27" t="s">
        <v>783</v>
      </c>
      <c r="J660" s="27" t="s">
        <v>93</v>
      </c>
      <c r="K660" s="27">
        <v>685</v>
      </c>
      <c r="L660" s="27">
        <v>566</v>
      </c>
      <c r="M660" s="27">
        <v>509</v>
      </c>
      <c r="N660" s="27">
        <v>57</v>
      </c>
      <c r="O660" s="27">
        <v>18</v>
      </c>
      <c r="P660" s="27">
        <v>44</v>
      </c>
      <c r="Q660" s="27" t="s">
        <v>97</v>
      </c>
      <c r="R660" s="27">
        <v>57</v>
      </c>
      <c r="S660" s="27">
        <v>65</v>
      </c>
      <c r="T660" s="29">
        <v>73.599999999999994</v>
      </c>
      <c r="U660" s="29">
        <v>3</v>
      </c>
      <c r="V660" s="29">
        <v>21.52</v>
      </c>
      <c r="W660" s="30">
        <v>15638.35</v>
      </c>
      <c r="X660" s="27">
        <v>8.6</v>
      </c>
      <c r="Y660" s="27" t="s">
        <v>55</v>
      </c>
      <c r="Z660" s="29">
        <v>14</v>
      </c>
      <c r="AA660" s="30">
        <v>24023.57</v>
      </c>
      <c r="AB660" s="29">
        <v>0.899293286219081</v>
      </c>
      <c r="AC660" s="30">
        <v>19702.03</v>
      </c>
      <c r="AD660" s="30">
        <v>497.33268551236802</v>
      </c>
      <c r="AE660" s="27">
        <v>650.75</v>
      </c>
      <c r="AF660" s="29">
        <v>0.93238570879754101</v>
      </c>
      <c r="AG660" s="30">
        <v>3824.2073144876299</v>
      </c>
      <c r="AH660" s="31">
        <f t="shared" si="161"/>
        <v>0.82627737226277376</v>
      </c>
      <c r="AI660" s="31">
        <f t="shared" si="162"/>
        <v>0.10070671378091872</v>
      </c>
      <c r="AJ660" s="31">
        <f t="shared" si="163"/>
        <v>3.1802120141342753E-2</v>
      </c>
      <c r="AK660" s="31">
        <f t="shared" si="164"/>
        <v>0.89929328621908122</v>
      </c>
      <c r="AL660" s="29">
        <f t="shared" si="165"/>
        <v>0.73333333333333328</v>
      </c>
      <c r="AM660" s="29">
        <f t="shared" si="166"/>
        <v>606.75</v>
      </c>
      <c r="AN660" s="29">
        <f t="shared" si="167"/>
        <v>0.93283889575607748</v>
      </c>
      <c r="AO660" s="29">
        <f t="shared" si="168"/>
        <v>1.0526315789473684</v>
      </c>
      <c r="AP660" s="31">
        <f t="shared" si="169"/>
        <v>0.88619695096827367</v>
      </c>
      <c r="AQ660" s="31">
        <f t="shared" si="170"/>
        <v>0.89929328621908122</v>
      </c>
      <c r="AR660" s="31">
        <f t="shared" si="171"/>
        <v>0.74306569343065676</v>
      </c>
      <c r="AS660" s="29">
        <f t="shared" si="172"/>
        <v>34.809240282685508</v>
      </c>
      <c r="AT660" s="29">
        <f t="shared" si="173"/>
        <v>6.7565500255965194</v>
      </c>
      <c r="AU660" s="27" t="str">
        <f t="shared" si="174"/>
        <v>High</v>
      </c>
      <c r="AV660" s="27" t="str">
        <f t="shared" si="175"/>
        <v>Critical</v>
      </c>
      <c r="AW660" s="27"/>
    </row>
    <row r="661" spans="1:49" x14ac:dyDescent="0.25">
      <c r="A661" s="27">
        <v>660</v>
      </c>
      <c r="B661" s="28">
        <v>46138</v>
      </c>
      <c r="C661" s="28" t="str">
        <f t="shared" si="160"/>
        <v>April</v>
      </c>
      <c r="D661" s="27" t="s">
        <v>67</v>
      </c>
      <c r="E661" s="27" t="s">
        <v>61</v>
      </c>
      <c r="F661" s="27" t="s">
        <v>88</v>
      </c>
      <c r="G661" s="27" t="s">
        <v>78</v>
      </c>
      <c r="H661" s="27" t="s">
        <v>51</v>
      </c>
      <c r="I661" s="27" t="s">
        <v>784</v>
      </c>
      <c r="J661" s="27" t="s">
        <v>117</v>
      </c>
      <c r="K661" s="27">
        <v>973</v>
      </c>
      <c r="L661" s="27">
        <v>932</v>
      </c>
      <c r="M661" s="27">
        <v>886</v>
      </c>
      <c r="N661" s="27">
        <v>46</v>
      </c>
      <c r="O661" s="27">
        <v>18</v>
      </c>
      <c r="P661" s="27">
        <v>5</v>
      </c>
      <c r="Q661" s="27" t="s">
        <v>82</v>
      </c>
      <c r="R661" s="27">
        <v>42</v>
      </c>
      <c r="S661" s="27">
        <v>45</v>
      </c>
      <c r="T661" s="29">
        <v>66.599999999999994</v>
      </c>
      <c r="U661" s="29">
        <v>2.2400000000000002</v>
      </c>
      <c r="V661" s="29">
        <v>27.94</v>
      </c>
      <c r="W661" s="30">
        <v>16613.330000000002</v>
      </c>
      <c r="X661" s="27">
        <v>10.039999999999999</v>
      </c>
      <c r="Y661" s="27" t="s">
        <v>55</v>
      </c>
      <c r="Z661" s="29">
        <v>38</v>
      </c>
      <c r="AA661" s="30">
        <v>28595.78</v>
      </c>
      <c r="AB661" s="29">
        <v>0.950643776824034</v>
      </c>
      <c r="AC661" s="30">
        <v>21382.79</v>
      </c>
      <c r="AD661" s="30">
        <v>320.85830472102998</v>
      </c>
      <c r="AE661" s="27">
        <v>681.1</v>
      </c>
      <c r="AF661" s="29">
        <v>0.99265893407722805</v>
      </c>
      <c r="AG661" s="30">
        <v>6892.1316952789703</v>
      </c>
      <c r="AH661" s="31">
        <f t="shared" si="161"/>
        <v>0.95786228160328879</v>
      </c>
      <c r="AI661" s="31">
        <f t="shared" si="162"/>
        <v>4.9356223175965663E-2</v>
      </c>
      <c r="AJ661" s="31">
        <f t="shared" si="163"/>
        <v>1.9313304721030045E-2</v>
      </c>
      <c r="AK661" s="31">
        <f t="shared" si="164"/>
        <v>0.95064377682403434</v>
      </c>
      <c r="AL661" s="29">
        <f t="shared" si="165"/>
        <v>8.3333333333333329E-2</v>
      </c>
      <c r="AM661" s="29">
        <f t="shared" si="166"/>
        <v>676.1</v>
      </c>
      <c r="AN661" s="29">
        <f t="shared" si="167"/>
        <v>1.3784943055760981</v>
      </c>
      <c r="AO661" s="29">
        <f t="shared" si="168"/>
        <v>1.4285714285714286</v>
      </c>
      <c r="AP661" s="31">
        <f t="shared" si="169"/>
        <v>0.96494601390326862</v>
      </c>
      <c r="AQ661" s="31">
        <f t="shared" si="170"/>
        <v>0.95064377682403434</v>
      </c>
      <c r="AR661" s="31">
        <f t="shared" si="171"/>
        <v>0.91058581706063713</v>
      </c>
      <c r="AS661" s="29">
        <f t="shared" si="172"/>
        <v>22.942907725321888</v>
      </c>
      <c r="AT661" s="29">
        <f t="shared" si="173"/>
        <v>7.3949910893551181</v>
      </c>
      <c r="AU661" s="27" t="str">
        <f t="shared" si="174"/>
        <v>Medium</v>
      </c>
      <c r="AV661" s="27" t="str">
        <f t="shared" si="175"/>
        <v>Normal</v>
      </c>
      <c r="AW661" s="27"/>
    </row>
    <row r="662" spans="1:49" x14ac:dyDescent="0.25">
      <c r="A662" s="27">
        <v>661</v>
      </c>
      <c r="B662" s="28">
        <v>46104</v>
      </c>
      <c r="C662" s="28" t="str">
        <f t="shared" si="160"/>
        <v>March</v>
      </c>
      <c r="D662" s="27" t="s">
        <v>47</v>
      </c>
      <c r="E662" s="27" t="s">
        <v>61</v>
      </c>
      <c r="F662" s="27" t="s">
        <v>95</v>
      </c>
      <c r="G662" s="27" t="s">
        <v>50</v>
      </c>
      <c r="H662" s="27" t="s">
        <v>124</v>
      </c>
      <c r="I662" s="27" t="s">
        <v>785</v>
      </c>
      <c r="J662" s="27" t="s">
        <v>115</v>
      </c>
      <c r="K662" s="27">
        <v>614</v>
      </c>
      <c r="L662" s="27">
        <v>612</v>
      </c>
      <c r="M662" s="27">
        <v>578</v>
      </c>
      <c r="N662" s="27">
        <v>34</v>
      </c>
      <c r="O662" s="27">
        <v>6</v>
      </c>
      <c r="P662" s="27">
        <v>25</v>
      </c>
      <c r="Q662" s="27" t="s">
        <v>97</v>
      </c>
      <c r="R662" s="27">
        <v>57</v>
      </c>
      <c r="S662" s="27">
        <v>58</v>
      </c>
      <c r="T662" s="29">
        <v>71.8</v>
      </c>
      <c r="U662" s="29">
        <v>1.57</v>
      </c>
      <c r="V662" s="29">
        <v>19.28</v>
      </c>
      <c r="W662" s="30">
        <v>16914.36</v>
      </c>
      <c r="X662" s="27">
        <v>9.74</v>
      </c>
      <c r="Y662" s="27" t="s">
        <v>55</v>
      </c>
      <c r="Z662" s="29">
        <v>23</v>
      </c>
      <c r="AA662" s="30">
        <v>26387.84</v>
      </c>
      <c r="AB662" s="29">
        <v>0.94444444444444398</v>
      </c>
      <c r="AC662" s="30">
        <v>21470.880000000001</v>
      </c>
      <c r="AD662" s="30">
        <v>165.827058823529</v>
      </c>
      <c r="AE662" s="27">
        <v>583.29999999999995</v>
      </c>
      <c r="AF662" s="29">
        <v>0.95714040802331601</v>
      </c>
      <c r="AG662" s="30">
        <v>4751.13294117647</v>
      </c>
      <c r="AH662" s="31">
        <f t="shared" si="161"/>
        <v>0.99674267100977199</v>
      </c>
      <c r="AI662" s="31">
        <f t="shared" si="162"/>
        <v>5.5555555555555552E-2</v>
      </c>
      <c r="AJ662" s="31">
        <f t="shared" si="163"/>
        <v>9.8039215686274508E-3</v>
      </c>
      <c r="AK662" s="31">
        <f t="shared" si="164"/>
        <v>0.94444444444444442</v>
      </c>
      <c r="AL662" s="29">
        <f t="shared" si="165"/>
        <v>0.41666666666666669</v>
      </c>
      <c r="AM662" s="29">
        <f t="shared" si="166"/>
        <v>558.29999999999995</v>
      </c>
      <c r="AN662" s="29">
        <f t="shared" si="167"/>
        <v>1.0961848468565287</v>
      </c>
      <c r="AO662" s="29">
        <f t="shared" si="168"/>
        <v>1.0526315789473684</v>
      </c>
      <c r="AP662" s="31">
        <f t="shared" si="169"/>
        <v>1.0413756045137024</v>
      </c>
      <c r="AQ662" s="31">
        <f t="shared" si="170"/>
        <v>0.94444444444444442</v>
      </c>
      <c r="AR662" s="31">
        <f t="shared" si="171"/>
        <v>0.94136807817589618</v>
      </c>
      <c r="AS662" s="29">
        <f t="shared" si="172"/>
        <v>35.083137254901963</v>
      </c>
      <c r="AT662" s="29">
        <f t="shared" si="173"/>
        <v>7.7632891195693956</v>
      </c>
      <c r="AU662" s="27" t="str">
        <f t="shared" si="174"/>
        <v>Low</v>
      </c>
      <c r="AV662" s="27" t="str">
        <f t="shared" si="175"/>
        <v>Normal</v>
      </c>
      <c r="AW662" s="27"/>
    </row>
    <row r="663" spans="1:49" x14ac:dyDescent="0.25">
      <c r="A663" s="27">
        <v>662</v>
      </c>
      <c r="B663" s="28">
        <v>46087</v>
      </c>
      <c r="C663" s="28" t="str">
        <f t="shared" si="160"/>
        <v>March</v>
      </c>
      <c r="D663" s="27" t="s">
        <v>47</v>
      </c>
      <c r="E663" s="27" t="s">
        <v>76</v>
      </c>
      <c r="F663" s="27" t="s">
        <v>119</v>
      </c>
      <c r="G663" s="27" t="s">
        <v>63</v>
      </c>
      <c r="H663" s="27" t="s">
        <v>79</v>
      </c>
      <c r="I663" s="27" t="s">
        <v>786</v>
      </c>
      <c r="J663" s="27" t="s">
        <v>153</v>
      </c>
      <c r="K663" s="27">
        <v>800</v>
      </c>
      <c r="L663" s="27">
        <v>791</v>
      </c>
      <c r="M663" s="27">
        <v>712</v>
      </c>
      <c r="N663" s="27">
        <v>79</v>
      </c>
      <c r="O663" s="27">
        <v>30</v>
      </c>
      <c r="P663" s="27">
        <v>17</v>
      </c>
      <c r="Q663" s="27" t="s">
        <v>97</v>
      </c>
      <c r="R663" s="27">
        <v>49</v>
      </c>
      <c r="S663" s="27">
        <v>54</v>
      </c>
      <c r="T663" s="29">
        <v>71.400000000000006</v>
      </c>
      <c r="U663" s="29">
        <v>1.27</v>
      </c>
      <c r="V663" s="29">
        <v>25.67</v>
      </c>
      <c r="W663" s="30">
        <v>17498.439999999999</v>
      </c>
      <c r="X663" s="27">
        <v>10.06</v>
      </c>
      <c r="Y663" s="27" t="s">
        <v>66</v>
      </c>
      <c r="Z663" s="29">
        <v>11</v>
      </c>
      <c r="AA663" s="30">
        <v>26411.69</v>
      </c>
      <c r="AB663" s="29">
        <v>0.90012642225031603</v>
      </c>
      <c r="AC663" s="30">
        <v>22256.47</v>
      </c>
      <c r="AD663" s="30">
        <v>663.65764854614395</v>
      </c>
      <c r="AE663" s="27">
        <v>653.33333333333303</v>
      </c>
      <c r="AF663" s="29">
        <v>0.97397959183673499</v>
      </c>
      <c r="AG663" s="30">
        <v>3491.5623514538602</v>
      </c>
      <c r="AH663" s="31">
        <f t="shared" si="161"/>
        <v>0.98875000000000002</v>
      </c>
      <c r="AI663" s="31">
        <f t="shared" si="162"/>
        <v>9.9873577749683945E-2</v>
      </c>
      <c r="AJ663" s="31">
        <f t="shared" si="163"/>
        <v>3.7926675094816689E-2</v>
      </c>
      <c r="AK663" s="31">
        <f t="shared" si="164"/>
        <v>0.90012642225031603</v>
      </c>
      <c r="AL663" s="29">
        <f t="shared" si="165"/>
        <v>0.28333333333333333</v>
      </c>
      <c r="AM663" s="29">
        <f t="shared" si="166"/>
        <v>636.33333333333303</v>
      </c>
      <c r="AN663" s="29">
        <f t="shared" si="167"/>
        <v>1.2430591932949193</v>
      </c>
      <c r="AO663" s="29">
        <f t="shared" si="168"/>
        <v>1.2244897959183674</v>
      </c>
      <c r="AP663" s="31">
        <f t="shared" si="169"/>
        <v>1.0151650078575174</v>
      </c>
      <c r="AQ663" s="31">
        <f t="shared" si="170"/>
        <v>0.90012642225031603</v>
      </c>
      <c r="AR663" s="31">
        <f t="shared" si="171"/>
        <v>0.89000000000000057</v>
      </c>
      <c r="AS663" s="29">
        <f t="shared" si="172"/>
        <v>28.137130214917828</v>
      </c>
      <c r="AT663" s="29">
        <f t="shared" si="173"/>
        <v>4.4141116958961568</v>
      </c>
      <c r="AU663" s="27" t="str">
        <f t="shared" si="174"/>
        <v>Medium</v>
      </c>
      <c r="AV663" s="27" t="str">
        <f t="shared" si="175"/>
        <v>Warning</v>
      </c>
      <c r="AW663" s="27"/>
    </row>
    <row r="664" spans="1:49" x14ac:dyDescent="0.25">
      <c r="A664" s="27">
        <v>663</v>
      </c>
      <c r="B664" s="28">
        <v>46126</v>
      </c>
      <c r="C664" s="28" t="str">
        <f t="shared" si="160"/>
        <v>April</v>
      </c>
      <c r="D664" s="27" t="s">
        <v>47</v>
      </c>
      <c r="E664" s="27" t="s">
        <v>129</v>
      </c>
      <c r="F664" s="27" t="s">
        <v>167</v>
      </c>
      <c r="G664" s="27" t="s">
        <v>63</v>
      </c>
      <c r="H664" s="27" t="s">
        <v>68</v>
      </c>
      <c r="I664" s="27" t="s">
        <v>787</v>
      </c>
      <c r="J664" s="27" t="s">
        <v>134</v>
      </c>
      <c r="K664" s="27">
        <v>586</v>
      </c>
      <c r="L664" s="27">
        <v>594</v>
      </c>
      <c r="M664" s="27">
        <v>534</v>
      </c>
      <c r="N664" s="27">
        <v>60</v>
      </c>
      <c r="O664" s="27">
        <v>14</v>
      </c>
      <c r="P664" s="27">
        <v>0</v>
      </c>
      <c r="Q664" s="27" t="s">
        <v>60</v>
      </c>
      <c r="R664" s="27">
        <v>64</v>
      </c>
      <c r="S664" s="27">
        <v>63</v>
      </c>
      <c r="T664" s="29">
        <v>70.3</v>
      </c>
      <c r="U664" s="29">
        <v>2.4</v>
      </c>
      <c r="V664" s="29">
        <v>22</v>
      </c>
      <c r="W664" s="30">
        <v>18652.509999999998</v>
      </c>
      <c r="X664" s="27">
        <v>9.59</v>
      </c>
      <c r="Y664" s="27" t="s">
        <v>55</v>
      </c>
      <c r="Z664" s="29">
        <v>19</v>
      </c>
      <c r="AA664" s="30">
        <v>28368.54</v>
      </c>
      <c r="AB664" s="29">
        <v>0.89898989898989901</v>
      </c>
      <c r="AC664" s="30">
        <v>23166.01</v>
      </c>
      <c r="AD664" s="30">
        <v>439.62144781144798</v>
      </c>
      <c r="AE664" s="27">
        <v>625.06666666666695</v>
      </c>
      <c r="AF664" s="29">
        <v>1</v>
      </c>
      <c r="AG664" s="30">
        <v>4762.9085521885499</v>
      </c>
      <c r="AH664" s="31">
        <f t="shared" si="161"/>
        <v>1.0136518771331058</v>
      </c>
      <c r="AI664" s="31">
        <f t="shared" si="162"/>
        <v>0.10101010101010101</v>
      </c>
      <c r="AJ664" s="31">
        <f t="shared" si="163"/>
        <v>2.3569023569023569E-2</v>
      </c>
      <c r="AK664" s="31">
        <f t="shared" si="164"/>
        <v>0.89898989898989901</v>
      </c>
      <c r="AL664" s="29">
        <f t="shared" si="165"/>
        <v>0</v>
      </c>
      <c r="AM664" s="29">
        <f t="shared" si="166"/>
        <v>625.06666666666695</v>
      </c>
      <c r="AN664" s="29">
        <f t="shared" si="167"/>
        <v>0.95029863481228627</v>
      </c>
      <c r="AO664" s="29">
        <f t="shared" si="168"/>
        <v>0.9375</v>
      </c>
      <c r="AP664" s="31">
        <f t="shared" si="169"/>
        <v>1.0136518771331053</v>
      </c>
      <c r="AQ664" s="31">
        <f t="shared" si="170"/>
        <v>0.89898989898989901</v>
      </c>
      <c r="AR664" s="31">
        <f t="shared" si="171"/>
        <v>0.91126279863481185</v>
      </c>
      <c r="AS664" s="29">
        <f t="shared" si="172"/>
        <v>39.000016835016829</v>
      </c>
      <c r="AT664" s="29">
        <f t="shared" si="173"/>
        <v>8.0183645659739895</v>
      </c>
      <c r="AU664" s="27" t="str">
        <f t="shared" si="174"/>
        <v>Medium</v>
      </c>
      <c r="AV664" s="27" t="str">
        <f t="shared" si="175"/>
        <v>Warning</v>
      </c>
      <c r="AW664" s="27"/>
    </row>
    <row r="665" spans="1:49" x14ac:dyDescent="0.25">
      <c r="A665" s="27">
        <v>664</v>
      </c>
      <c r="B665" s="28">
        <v>46152</v>
      </c>
      <c r="C665" s="28" t="str">
        <f t="shared" si="160"/>
        <v>May</v>
      </c>
      <c r="D665" s="27" t="s">
        <v>47</v>
      </c>
      <c r="E665" s="27" t="s">
        <v>76</v>
      </c>
      <c r="F665" s="27" t="s">
        <v>113</v>
      </c>
      <c r="G665" s="27" t="s">
        <v>50</v>
      </c>
      <c r="H665" s="27" t="s">
        <v>79</v>
      </c>
      <c r="I665" s="27" t="s">
        <v>788</v>
      </c>
      <c r="J665" s="27" t="s">
        <v>186</v>
      </c>
      <c r="K665" s="27">
        <v>885</v>
      </c>
      <c r="L665" s="27">
        <v>904</v>
      </c>
      <c r="M665" s="27">
        <v>859</v>
      </c>
      <c r="N665" s="27">
        <v>45</v>
      </c>
      <c r="O665" s="27">
        <v>11</v>
      </c>
      <c r="P665" s="27">
        <v>0</v>
      </c>
      <c r="Q665" s="27" t="s">
        <v>60</v>
      </c>
      <c r="R665" s="27">
        <v>49</v>
      </c>
      <c r="S665" s="27">
        <v>49</v>
      </c>
      <c r="T665" s="29">
        <v>65.5</v>
      </c>
      <c r="U665" s="29">
        <v>1.57</v>
      </c>
      <c r="V665" s="29">
        <v>28.39</v>
      </c>
      <c r="W665" s="30">
        <v>19426.490000000002</v>
      </c>
      <c r="X665" s="27">
        <v>9.4600000000000009</v>
      </c>
      <c r="Y665" s="27" t="s">
        <v>71</v>
      </c>
      <c r="Z665" s="29">
        <v>22</v>
      </c>
      <c r="AA665" s="30">
        <v>33413.4</v>
      </c>
      <c r="AB665" s="29">
        <v>0.95022123893805299</v>
      </c>
      <c r="AC665" s="30">
        <v>23939</v>
      </c>
      <c r="AD665" s="30">
        <v>236.38428097345101</v>
      </c>
      <c r="AE665" s="27">
        <v>722.75</v>
      </c>
      <c r="AF665" s="29">
        <v>1</v>
      </c>
      <c r="AG665" s="30">
        <v>9238.0157190265509</v>
      </c>
      <c r="AH665" s="31">
        <f t="shared" si="161"/>
        <v>1.0214689265536723</v>
      </c>
      <c r="AI665" s="31">
        <f t="shared" si="162"/>
        <v>4.9778761061946904E-2</v>
      </c>
      <c r="AJ665" s="31">
        <f t="shared" si="163"/>
        <v>1.2168141592920354E-2</v>
      </c>
      <c r="AK665" s="31">
        <f t="shared" si="164"/>
        <v>0.9502212389380531</v>
      </c>
      <c r="AL665" s="29">
        <f t="shared" si="165"/>
        <v>0</v>
      </c>
      <c r="AM665" s="29">
        <f t="shared" si="166"/>
        <v>722.75</v>
      </c>
      <c r="AN665" s="29">
        <f t="shared" si="167"/>
        <v>1.2507782774126599</v>
      </c>
      <c r="AO665" s="29">
        <f t="shared" si="168"/>
        <v>1.2244897959183674</v>
      </c>
      <c r="AP665" s="31">
        <f t="shared" si="169"/>
        <v>1.0214689265536723</v>
      </c>
      <c r="AQ665" s="31">
        <f t="shared" si="170"/>
        <v>0.9502212389380531</v>
      </c>
      <c r="AR665" s="31">
        <f t="shared" si="171"/>
        <v>0.97062146892655365</v>
      </c>
      <c r="AS665" s="29">
        <f t="shared" si="172"/>
        <v>26.481194690265486</v>
      </c>
      <c r="AT665" s="29">
        <f t="shared" si="173"/>
        <v>10.219043936976274</v>
      </c>
      <c r="AU665" s="27" t="str">
        <f t="shared" si="174"/>
        <v>High</v>
      </c>
      <c r="AV665" s="27" t="str">
        <f t="shared" si="175"/>
        <v>Normal</v>
      </c>
      <c r="AW665" s="27"/>
    </row>
    <row r="666" spans="1:49" x14ac:dyDescent="0.25">
      <c r="A666" s="27">
        <v>665</v>
      </c>
      <c r="B666" s="28">
        <v>46170</v>
      </c>
      <c r="C666" s="28" t="str">
        <f t="shared" si="160"/>
        <v>May</v>
      </c>
      <c r="D666" s="27" t="s">
        <v>47</v>
      </c>
      <c r="E666" s="27" t="s">
        <v>48</v>
      </c>
      <c r="F666" s="27" t="s">
        <v>56</v>
      </c>
      <c r="G666" s="27" t="s">
        <v>63</v>
      </c>
      <c r="H666" s="27" t="s">
        <v>51</v>
      </c>
      <c r="I666" s="27" t="s">
        <v>789</v>
      </c>
      <c r="J666" s="27" t="s">
        <v>138</v>
      </c>
      <c r="K666" s="27">
        <v>890</v>
      </c>
      <c r="L666" s="27">
        <v>854</v>
      </c>
      <c r="M666" s="27">
        <v>810</v>
      </c>
      <c r="N666" s="27">
        <v>44</v>
      </c>
      <c r="O666" s="27">
        <v>9</v>
      </c>
      <c r="P666" s="27">
        <v>26</v>
      </c>
      <c r="Q666" s="27" t="s">
        <v>82</v>
      </c>
      <c r="R666" s="27">
        <v>42</v>
      </c>
      <c r="S666" s="27">
        <v>42</v>
      </c>
      <c r="T666" s="29">
        <v>76.099999999999994</v>
      </c>
      <c r="U666" s="29">
        <v>1.69</v>
      </c>
      <c r="V666" s="29">
        <v>33.299999999999997</v>
      </c>
      <c r="W666" s="30">
        <v>16531</v>
      </c>
      <c r="X666" s="27">
        <v>9.5</v>
      </c>
      <c r="Y666" s="27" t="s">
        <v>66</v>
      </c>
      <c r="Z666" s="29">
        <v>23</v>
      </c>
      <c r="AA666" s="30">
        <v>26457.91</v>
      </c>
      <c r="AB666" s="29">
        <v>0.94847775175644</v>
      </c>
      <c r="AC666" s="30">
        <v>21105.7</v>
      </c>
      <c r="AD666" s="30">
        <v>174.21428571428601</v>
      </c>
      <c r="AE666" s="27">
        <v>623</v>
      </c>
      <c r="AF666" s="29">
        <v>0.95826645264847499</v>
      </c>
      <c r="AG666" s="30">
        <v>5177.9957142857102</v>
      </c>
      <c r="AH666" s="31">
        <f t="shared" si="161"/>
        <v>0.95955056179775278</v>
      </c>
      <c r="AI666" s="31">
        <f t="shared" si="162"/>
        <v>5.1522248243559721E-2</v>
      </c>
      <c r="AJ666" s="31">
        <f t="shared" si="163"/>
        <v>1.0538641686182669E-2</v>
      </c>
      <c r="AK666" s="31">
        <f t="shared" si="164"/>
        <v>0.94847775175644033</v>
      </c>
      <c r="AL666" s="29">
        <f t="shared" si="165"/>
        <v>0.43333333333333335</v>
      </c>
      <c r="AM666" s="29">
        <f t="shared" si="166"/>
        <v>597</v>
      </c>
      <c r="AN666" s="29">
        <f t="shared" si="167"/>
        <v>1.4304857621440537</v>
      </c>
      <c r="AO666" s="29">
        <f t="shared" si="168"/>
        <v>1.4285714285714286</v>
      </c>
      <c r="AP666" s="31">
        <f t="shared" si="169"/>
        <v>1.0013400335008376</v>
      </c>
      <c r="AQ666" s="31">
        <f t="shared" si="170"/>
        <v>0.94847775175644033</v>
      </c>
      <c r="AR666" s="31">
        <f t="shared" si="171"/>
        <v>0.91011235955056169</v>
      </c>
      <c r="AS666" s="29">
        <f t="shared" si="172"/>
        <v>24.71393442622951</v>
      </c>
      <c r="AT666" s="29">
        <f t="shared" si="173"/>
        <v>6.0632268317162881</v>
      </c>
      <c r="AU666" s="27" t="str">
        <f t="shared" si="174"/>
        <v>Low</v>
      </c>
      <c r="AV666" s="27" t="str">
        <f t="shared" si="175"/>
        <v>Normal</v>
      </c>
      <c r="AW666" s="27"/>
    </row>
    <row r="667" spans="1:49" x14ac:dyDescent="0.25">
      <c r="A667" s="27">
        <v>666</v>
      </c>
      <c r="B667" s="28">
        <v>46157</v>
      </c>
      <c r="C667" s="28" t="str">
        <f t="shared" si="160"/>
        <v>May</v>
      </c>
      <c r="D667" s="27" t="s">
        <v>47</v>
      </c>
      <c r="E667" s="27" t="s">
        <v>98</v>
      </c>
      <c r="F667" s="27" t="s">
        <v>99</v>
      </c>
      <c r="G667" s="27" t="s">
        <v>63</v>
      </c>
      <c r="H667" s="27" t="s">
        <v>79</v>
      </c>
      <c r="I667" s="27" t="s">
        <v>790</v>
      </c>
      <c r="J667" s="27" t="s">
        <v>164</v>
      </c>
      <c r="K667" s="27">
        <v>756</v>
      </c>
      <c r="L667" s="27">
        <v>774</v>
      </c>
      <c r="M667" s="27">
        <v>735</v>
      </c>
      <c r="N667" s="27">
        <v>39</v>
      </c>
      <c r="O667" s="27">
        <v>9</v>
      </c>
      <c r="P667" s="27">
        <v>39</v>
      </c>
      <c r="Q667" s="27" t="s">
        <v>82</v>
      </c>
      <c r="R667" s="27">
        <v>49</v>
      </c>
      <c r="S667" s="27">
        <v>49</v>
      </c>
      <c r="T667" s="29">
        <v>72.3</v>
      </c>
      <c r="U667" s="29">
        <v>1.86</v>
      </c>
      <c r="V667" s="29">
        <v>27.72</v>
      </c>
      <c r="W667" s="30">
        <v>18044.759999999998</v>
      </c>
      <c r="X667" s="27">
        <v>9.7200000000000006</v>
      </c>
      <c r="Y667" s="27" t="s">
        <v>66</v>
      </c>
      <c r="Z667" s="29">
        <v>27</v>
      </c>
      <c r="AA667" s="30">
        <v>28033.040000000001</v>
      </c>
      <c r="AB667" s="29">
        <v>0.94961240310077499</v>
      </c>
      <c r="AC667" s="30">
        <v>22668.240000000002</v>
      </c>
      <c r="AD667" s="30">
        <v>209.82279069767401</v>
      </c>
      <c r="AE667" s="27">
        <v>617.4</v>
      </c>
      <c r="AF667" s="29">
        <v>0.93683187560738601</v>
      </c>
      <c r="AG667" s="30">
        <v>5154.9772093023303</v>
      </c>
      <c r="AH667" s="31">
        <f t="shared" si="161"/>
        <v>1.0238095238095237</v>
      </c>
      <c r="AI667" s="31">
        <f t="shared" si="162"/>
        <v>5.0387596899224806E-2</v>
      </c>
      <c r="AJ667" s="31">
        <f t="shared" si="163"/>
        <v>1.1627906976744186E-2</v>
      </c>
      <c r="AK667" s="31">
        <f t="shared" si="164"/>
        <v>0.94961240310077522</v>
      </c>
      <c r="AL667" s="29">
        <f t="shared" si="165"/>
        <v>0.65</v>
      </c>
      <c r="AM667" s="29">
        <f t="shared" si="166"/>
        <v>578.4</v>
      </c>
      <c r="AN667" s="29">
        <f t="shared" si="167"/>
        <v>1.3381742738589213</v>
      </c>
      <c r="AO667" s="29">
        <f t="shared" si="168"/>
        <v>1.2244897959183674</v>
      </c>
      <c r="AP667" s="31">
        <f t="shared" si="169"/>
        <v>1.0928423236514524</v>
      </c>
      <c r="AQ667" s="31">
        <f t="shared" si="170"/>
        <v>0.94961240310077522</v>
      </c>
      <c r="AR667" s="31">
        <f t="shared" si="171"/>
        <v>0.97222222222222254</v>
      </c>
      <c r="AS667" s="29">
        <f t="shared" si="172"/>
        <v>29.287131782945739</v>
      </c>
      <c r="AT667" s="29">
        <f t="shared" si="173"/>
        <v>6.6601772730004267</v>
      </c>
      <c r="AU667" s="27" t="str">
        <f t="shared" si="174"/>
        <v>Low</v>
      </c>
      <c r="AV667" s="27" t="str">
        <f t="shared" si="175"/>
        <v>Normal</v>
      </c>
      <c r="AW667" s="27"/>
    </row>
    <row r="668" spans="1:49" x14ac:dyDescent="0.25">
      <c r="A668" s="27">
        <v>667</v>
      </c>
      <c r="B668" s="28">
        <v>46177</v>
      </c>
      <c r="C668" s="28" t="str">
        <f t="shared" si="160"/>
        <v>June</v>
      </c>
      <c r="D668" s="27" t="s">
        <v>47</v>
      </c>
      <c r="E668" s="27" t="s">
        <v>61</v>
      </c>
      <c r="F668" s="27" t="s">
        <v>88</v>
      </c>
      <c r="G668" s="27" t="s">
        <v>50</v>
      </c>
      <c r="H668" s="27" t="s">
        <v>51</v>
      </c>
      <c r="I668" s="27" t="s">
        <v>791</v>
      </c>
      <c r="J668" s="27" t="s">
        <v>81</v>
      </c>
      <c r="K668" s="27">
        <v>898</v>
      </c>
      <c r="L668" s="27">
        <v>943</v>
      </c>
      <c r="M668" s="27">
        <v>907</v>
      </c>
      <c r="N668" s="27">
        <v>36</v>
      </c>
      <c r="O668" s="27">
        <v>10</v>
      </c>
      <c r="P668" s="27">
        <v>6</v>
      </c>
      <c r="Q668" s="27" t="s">
        <v>94</v>
      </c>
      <c r="R668" s="27">
        <v>42</v>
      </c>
      <c r="S668" s="27">
        <v>46</v>
      </c>
      <c r="T668" s="29">
        <v>66.900000000000006</v>
      </c>
      <c r="U668" s="29">
        <v>2.9</v>
      </c>
      <c r="V668" s="29">
        <v>35.99</v>
      </c>
      <c r="W668" s="30">
        <v>16983.97</v>
      </c>
      <c r="X668" s="27">
        <v>10.55</v>
      </c>
      <c r="Y668" s="27" t="s">
        <v>55</v>
      </c>
      <c r="Z668" s="29">
        <v>45</v>
      </c>
      <c r="AA668" s="30">
        <v>29382.91</v>
      </c>
      <c r="AB668" s="29">
        <v>0.96182396606574805</v>
      </c>
      <c r="AC668" s="30">
        <v>22055.38</v>
      </c>
      <c r="AD668" s="30">
        <v>180.10572640509</v>
      </c>
      <c r="AE668" s="27">
        <v>628.6</v>
      </c>
      <c r="AF668" s="29">
        <v>0.99045497931912196</v>
      </c>
      <c r="AG668" s="30">
        <v>7147.4242735949101</v>
      </c>
      <c r="AH668" s="31">
        <f t="shared" si="161"/>
        <v>1.0501113585746102</v>
      </c>
      <c r="AI668" s="31">
        <f t="shared" si="162"/>
        <v>3.8176033934252389E-2</v>
      </c>
      <c r="AJ668" s="31">
        <f t="shared" si="163"/>
        <v>1.0604453870625663E-2</v>
      </c>
      <c r="AK668" s="31">
        <f t="shared" si="164"/>
        <v>0.9618239660657476</v>
      </c>
      <c r="AL668" s="29">
        <f t="shared" si="165"/>
        <v>0.1</v>
      </c>
      <c r="AM668" s="29">
        <f t="shared" si="166"/>
        <v>622.6</v>
      </c>
      <c r="AN668" s="29">
        <f t="shared" si="167"/>
        <v>1.5146161259235464</v>
      </c>
      <c r="AO668" s="29">
        <f t="shared" si="168"/>
        <v>1.4285714285714286</v>
      </c>
      <c r="AP668" s="31">
        <f t="shared" si="169"/>
        <v>1.0602312881464824</v>
      </c>
      <c r="AQ668" s="31">
        <f t="shared" si="170"/>
        <v>0.9618239660657476</v>
      </c>
      <c r="AR668" s="31">
        <f t="shared" si="171"/>
        <v>1.0100222717149221</v>
      </c>
      <c r="AS668" s="29">
        <f t="shared" si="172"/>
        <v>23.388525980911986</v>
      </c>
      <c r="AT668" s="29">
        <f t="shared" si="173"/>
        <v>7.5794531003127359</v>
      </c>
      <c r="AU668" s="27" t="str">
        <f t="shared" si="174"/>
        <v>Medium</v>
      </c>
      <c r="AV668" s="27" t="str">
        <f t="shared" si="175"/>
        <v>Normal</v>
      </c>
      <c r="AW668" s="27"/>
    </row>
    <row r="669" spans="1:49" x14ac:dyDescent="0.25">
      <c r="A669" s="27">
        <v>668</v>
      </c>
      <c r="B669" s="28">
        <v>46153</v>
      </c>
      <c r="C669" s="28" t="str">
        <f t="shared" si="160"/>
        <v>May</v>
      </c>
      <c r="D669" s="27" t="s">
        <v>67</v>
      </c>
      <c r="E669" s="27" t="s">
        <v>129</v>
      </c>
      <c r="F669" s="27" t="s">
        <v>130</v>
      </c>
      <c r="G669" s="27" t="s">
        <v>63</v>
      </c>
      <c r="H669" s="27" t="s">
        <v>57</v>
      </c>
      <c r="I669" s="27" t="s">
        <v>792</v>
      </c>
      <c r="J669" s="27" t="s">
        <v>74</v>
      </c>
      <c r="K669" s="27">
        <v>866</v>
      </c>
      <c r="L669" s="27">
        <v>739</v>
      </c>
      <c r="M669" s="27">
        <v>643</v>
      </c>
      <c r="N669" s="27">
        <v>96</v>
      </c>
      <c r="O669" s="27">
        <v>18</v>
      </c>
      <c r="P669" s="27">
        <v>36</v>
      </c>
      <c r="Q669" s="27" t="s">
        <v>94</v>
      </c>
      <c r="R669" s="27">
        <v>45</v>
      </c>
      <c r="S669" s="27">
        <v>47</v>
      </c>
      <c r="T669" s="29">
        <v>73.5</v>
      </c>
      <c r="U669" s="29">
        <v>3.15</v>
      </c>
      <c r="V669" s="29">
        <v>30.92</v>
      </c>
      <c r="W669" s="30">
        <v>14312.16</v>
      </c>
      <c r="X669" s="27">
        <v>6.58</v>
      </c>
      <c r="Y669" s="27" t="s">
        <v>55</v>
      </c>
      <c r="Z669" s="29">
        <v>32</v>
      </c>
      <c r="AA669" s="30">
        <v>22692.91</v>
      </c>
      <c r="AB669" s="29">
        <v>0.87009472259810605</v>
      </c>
      <c r="AC669" s="30">
        <v>17551.439999999999</v>
      </c>
      <c r="AD669" s="30">
        <v>348.60470906630599</v>
      </c>
      <c r="AE669" s="27">
        <v>649.5</v>
      </c>
      <c r="AF669" s="29">
        <v>0.94457274826789805</v>
      </c>
      <c r="AG669" s="30">
        <v>4792.8652909336997</v>
      </c>
      <c r="AH669" s="31">
        <f t="shared" si="161"/>
        <v>0.85334872979214782</v>
      </c>
      <c r="AI669" s="31">
        <f t="shared" si="162"/>
        <v>0.12990527740189445</v>
      </c>
      <c r="AJ669" s="31">
        <f t="shared" si="163"/>
        <v>2.4357239512855209E-2</v>
      </c>
      <c r="AK669" s="31">
        <f t="shared" si="164"/>
        <v>0.8700947225981055</v>
      </c>
      <c r="AL669" s="29">
        <f t="shared" si="165"/>
        <v>0.6</v>
      </c>
      <c r="AM669" s="29">
        <f t="shared" si="166"/>
        <v>613.5</v>
      </c>
      <c r="AN669" s="29">
        <f t="shared" si="167"/>
        <v>1.2045639771801142</v>
      </c>
      <c r="AO669" s="29">
        <f t="shared" si="168"/>
        <v>1.3333333333333333</v>
      </c>
      <c r="AP669" s="31">
        <f t="shared" si="169"/>
        <v>0.90342298288508571</v>
      </c>
      <c r="AQ669" s="31">
        <f t="shared" si="170"/>
        <v>0.8700947225981055</v>
      </c>
      <c r="AR669" s="31">
        <f t="shared" si="171"/>
        <v>0.74249422632794437</v>
      </c>
      <c r="AS669" s="29">
        <f t="shared" si="172"/>
        <v>23.750257104194855</v>
      </c>
      <c r="AT669" s="29">
        <f t="shared" si="173"/>
        <v>6.4856093246734776</v>
      </c>
      <c r="AU669" s="27" t="str">
        <f t="shared" si="174"/>
        <v>High</v>
      </c>
      <c r="AV669" s="27" t="str">
        <f t="shared" si="175"/>
        <v>Critical</v>
      </c>
      <c r="AW669" s="27"/>
    </row>
    <row r="670" spans="1:49" x14ac:dyDescent="0.25">
      <c r="A670" s="27">
        <v>669</v>
      </c>
      <c r="B670" s="28">
        <v>46173</v>
      </c>
      <c r="C670" s="28" t="str">
        <f t="shared" si="160"/>
        <v>May</v>
      </c>
      <c r="D670" s="27" t="s">
        <v>47</v>
      </c>
      <c r="E670" s="27" t="s">
        <v>48</v>
      </c>
      <c r="F670" s="27" t="s">
        <v>72</v>
      </c>
      <c r="G670" s="27" t="s">
        <v>50</v>
      </c>
      <c r="H670" s="27" t="s">
        <v>68</v>
      </c>
      <c r="I670" s="27" t="s">
        <v>793</v>
      </c>
      <c r="J670" s="27" t="s">
        <v>197</v>
      </c>
      <c r="K670" s="27">
        <v>654</v>
      </c>
      <c r="L670" s="27">
        <v>590</v>
      </c>
      <c r="M670" s="27">
        <v>563</v>
      </c>
      <c r="N670" s="27">
        <v>27</v>
      </c>
      <c r="O670" s="27">
        <v>7</v>
      </c>
      <c r="P670" s="27">
        <v>29</v>
      </c>
      <c r="Q670" s="27" t="s">
        <v>75</v>
      </c>
      <c r="R670" s="27">
        <v>64</v>
      </c>
      <c r="S670" s="27">
        <v>66</v>
      </c>
      <c r="T670" s="29">
        <v>71</v>
      </c>
      <c r="U670" s="29">
        <v>1.38</v>
      </c>
      <c r="V670" s="29">
        <v>20.32</v>
      </c>
      <c r="W670" s="30">
        <v>18546.59</v>
      </c>
      <c r="X670" s="27">
        <v>7.64</v>
      </c>
      <c r="Y670" s="27" t="s">
        <v>66</v>
      </c>
      <c r="Z670" s="29">
        <v>20</v>
      </c>
      <c r="AA670" s="30">
        <v>29656.71</v>
      </c>
      <c r="AB670" s="29">
        <v>0.95423728813559305</v>
      </c>
      <c r="AC670" s="30">
        <v>22167.47</v>
      </c>
      <c r="AD670" s="30">
        <v>220.04428813559301</v>
      </c>
      <c r="AE670" s="27">
        <v>697.6</v>
      </c>
      <c r="AF670" s="29">
        <v>0.95842889908256901</v>
      </c>
      <c r="AG670" s="30">
        <v>7269.1957118644104</v>
      </c>
      <c r="AH670" s="31">
        <f t="shared" si="161"/>
        <v>0.90214067278287458</v>
      </c>
      <c r="AI670" s="31">
        <f t="shared" si="162"/>
        <v>4.576271186440678E-2</v>
      </c>
      <c r="AJ670" s="31">
        <f t="shared" si="163"/>
        <v>1.1864406779661017E-2</v>
      </c>
      <c r="AK670" s="31">
        <f t="shared" si="164"/>
        <v>0.95423728813559328</v>
      </c>
      <c r="AL670" s="29">
        <f t="shared" si="165"/>
        <v>0.48333333333333334</v>
      </c>
      <c r="AM670" s="29">
        <f t="shared" si="166"/>
        <v>668.6</v>
      </c>
      <c r="AN670" s="29">
        <f t="shared" si="167"/>
        <v>0.88244092132814833</v>
      </c>
      <c r="AO670" s="29">
        <f t="shared" si="168"/>
        <v>0.9375</v>
      </c>
      <c r="AP670" s="31">
        <f t="shared" si="169"/>
        <v>0.94127031608335821</v>
      </c>
      <c r="AQ670" s="31">
        <f t="shared" si="170"/>
        <v>0.95423728813559328</v>
      </c>
      <c r="AR670" s="31">
        <f t="shared" si="171"/>
        <v>0.86085626911315005</v>
      </c>
      <c r="AS670" s="29">
        <f t="shared" si="172"/>
        <v>37.571983050847457</v>
      </c>
      <c r="AT670" s="29">
        <f t="shared" si="173"/>
        <v>12.320670698075272</v>
      </c>
      <c r="AU670" s="27" t="str">
        <f t="shared" si="174"/>
        <v>Low</v>
      </c>
      <c r="AV670" s="27" t="str">
        <f t="shared" si="175"/>
        <v>Normal</v>
      </c>
      <c r="AW670" s="27"/>
    </row>
    <row r="671" spans="1:49" x14ac:dyDescent="0.25">
      <c r="A671" s="27">
        <v>670</v>
      </c>
      <c r="B671" s="28">
        <v>46059</v>
      </c>
      <c r="C671" s="28" t="str">
        <f t="shared" si="160"/>
        <v>February</v>
      </c>
      <c r="D671" s="27" t="s">
        <v>67</v>
      </c>
      <c r="E671" s="27" t="s">
        <v>98</v>
      </c>
      <c r="F671" s="27" t="s">
        <v>99</v>
      </c>
      <c r="G671" s="27" t="s">
        <v>63</v>
      </c>
      <c r="H671" s="27" t="s">
        <v>124</v>
      </c>
      <c r="I671" s="27" t="s">
        <v>794</v>
      </c>
      <c r="J671" s="27" t="s">
        <v>218</v>
      </c>
      <c r="K671" s="27">
        <v>704</v>
      </c>
      <c r="L671" s="27">
        <v>693</v>
      </c>
      <c r="M671" s="27">
        <v>667</v>
      </c>
      <c r="N671" s="27">
        <v>26</v>
      </c>
      <c r="O671" s="27">
        <v>7</v>
      </c>
      <c r="P671" s="27">
        <v>16</v>
      </c>
      <c r="Q671" s="27" t="s">
        <v>54</v>
      </c>
      <c r="R671" s="27">
        <v>57</v>
      </c>
      <c r="S671" s="27">
        <v>58</v>
      </c>
      <c r="T671" s="29">
        <v>63.8</v>
      </c>
      <c r="U671" s="29">
        <v>1.98</v>
      </c>
      <c r="V671" s="29">
        <v>22.46</v>
      </c>
      <c r="W671" s="30">
        <v>19116.57</v>
      </c>
      <c r="X671" s="27">
        <v>9.6999999999999993</v>
      </c>
      <c r="Y671" s="27" t="s">
        <v>55</v>
      </c>
      <c r="Z671" s="29">
        <v>32</v>
      </c>
      <c r="AA671" s="30">
        <v>30761.83</v>
      </c>
      <c r="AB671" s="29">
        <v>0.96248196248196305</v>
      </c>
      <c r="AC671" s="30">
        <v>23683.71</v>
      </c>
      <c r="AD671" s="30">
        <v>193.09666666666701</v>
      </c>
      <c r="AE671" s="27">
        <v>668.8</v>
      </c>
      <c r="AF671" s="29">
        <v>0.97607655502392299</v>
      </c>
      <c r="AG671" s="30">
        <v>6885.0233333333399</v>
      </c>
      <c r="AH671" s="31">
        <f t="shared" si="161"/>
        <v>0.984375</v>
      </c>
      <c r="AI671" s="31">
        <f t="shared" si="162"/>
        <v>3.751803751803752E-2</v>
      </c>
      <c r="AJ671" s="31">
        <f t="shared" si="163"/>
        <v>1.0101010101010102E-2</v>
      </c>
      <c r="AK671" s="31">
        <f t="shared" si="164"/>
        <v>0.96248196248196249</v>
      </c>
      <c r="AL671" s="29">
        <f t="shared" si="165"/>
        <v>0.26666666666666666</v>
      </c>
      <c r="AM671" s="29">
        <f t="shared" si="166"/>
        <v>652.79999999999995</v>
      </c>
      <c r="AN671" s="29">
        <f t="shared" si="167"/>
        <v>1.0615808823529413</v>
      </c>
      <c r="AO671" s="29">
        <f t="shared" si="168"/>
        <v>1.0526315789473684</v>
      </c>
      <c r="AP671" s="31">
        <f t="shared" si="169"/>
        <v>1.0085018382352944</v>
      </c>
      <c r="AQ671" s="31">
        <f t="shared" si="170"/>
        <v>0.96248196248196249</v>
      </c>
      <c r="AR671" s="31">
        <f t="shared" si="171"/>
        <v>0.94744318181818166</v>
      </c>
      <c r="AS671" s="29">
        <f t="shared" si="172"/>
        <v>34.175627705627704</v>
      </c>
      <c r="AT671" s="29">
        <f t="shared" si="173"/>
        <v>9.9350986050986148</v>
      </c>
      <c r="AU671" s="27" t="str">
        <f t="shared" si="174"/>
        <v>Medium</v>
      </c>
      <c r="AV671" s="27" t="str">
        <f t="shared" si="175"/>
        <v>Normal</v>
      </c>
      <c r="AW671" s="27"/>
    </row>
    <row r="672" spans="1:49" x14ac:dyDescent="0.25">
      <c r="A672" s="27">
        <v>671</v>
      </c>
      <c r="B672" s="28">
        <v>46050</v>
      </c>
      <c r="C672" s="28" t="str">
        <f t="shared" si="160"/>
        <v>January</v>
      </c>
      <c r="D672" s="27" t="s">
        <v>47</v>
      </c>
      <c r="E672" s="27" t="s">
        <v>98</v>
      </c>
      <c r="F672" s="27" t="s">
        <v>105</v>
      </c>
      <c r="G672" s="27" t="s">
        <v>50</v>
      </c>
      <c r="H672" s="27" t="s">
        <v>124</v>
      </c>
      <c r="I672" s="27" t="s">
        <v>795</v>
      </c>
      <c r="J672" s="27" t="s">
        <v>132</v>
      </c>
      <c r="K672" s="27">
        <v>680</v>
      </c>
      <c r="L672" s="27">
        <v>621</v>
      </c>
      <c r="M672" s="27">
        <v>581</v>
      </c>
      <c r="N672" s="27">
        <v>40</v>
      </c>
      <c r="O672" s="27">
        <v>7</v>
      </c>
      <c r="P672" s="27">
        <v>33</v>
      </c>
      <c r="Q672" s="27" t="s">
        <v>54</v>
      </c>
      <c r="R672" s="27">
        <v>57</v>
      </c>
      <c r="S672" s="27">
        <v>55</v>
      </c>
      <c r="T672" s="29">
        <v>75.900000000000006</v>
      </c>
      <c r="U672" s="29">
        <v>2.4700000000000002</v>
      </c>
      <c r="V672" s="29">
        <v>20.5</v>
      </c>
      <c r="W672" s="30">
        <v>17115.78</v>
      </c>
      <c r="X672" s="27">
        <v>6.84</v>
      </c>
      <c r="Y672" s="27" t="s">
        <v>66</v>
      </c>
      <c r="Z672" s="29">
        <v>33</v>
      </c>
      <c r="AA672" s="30">
        <v>27186.1</v>
      </c>
      <c r="AB672" s="29">
        <v>0.93558776167471802</v>
      </c>
      <c r="AC672" s="30">
        <v>20378.28</v>
      </c>
      <c r="AD672" s="30">
        <v>192.93149758454101</v>
      </c>
      <c r="AE672" s="27">
        <v>646</v>
      </c>
      <c r="AF672" s="29">
        <v>0.94891640866873095</v>
      </c>
      <c r="AG672" s="30">
        <v>6614.8885024154597</v>
      </c>
      <c r="AH672" s="31">
        <f t="shared" si="161"/>
        <v>0.91323529411764703</v>
      </c>
      <c r="AI672" s="31">
        <f t="shared" si="162"/>
        <v>6.4412238325281798E-2</v>
      </c>
      <c r="AJ672" s="31">
        <f t="shared" si="163"/>
        <v>1.1272141706924315E-2</v>
      </c>
      <c r="AK672" s="31">
        <f t="shared" si="164"/>
        <v>0.93558776167471824</v>
      </c>
      <c r="AL672" s="29">
        <f t="shared" si="165"/>
        <v>0.55000000000000004</v>
      </c>
      <c r="AM672" s="29">
        <f t="shared" si="166"/>
        <v>613</v>
      </c>
      <c r="AN672" s="29">
        <f t="shared" si="167"/>
        <v>1.0130505709624795</v>
      </c>
      <c r="AO672" s="29">
        <f t="shared" si="168"/>
        <v>1.0526315789473684</v>
      </c>
      <c r="AP672" s="31">
        <f t="shared" si="169"/>
        <v>0.96239804241435556</v>
      </c>
      <c r="AQ672" s="31">
        <f t="shared" si="170"/>
        <v>0.93558776167471824</v>
      </c>
      <c r="AR672" s="31">
        <f t="shared" si="171"/>
        <v>0.85441176470588254</v>
      </c>
      <c r="AS672" s="29">
        <f t="shared" si="172"/>
        <v>32.815265700483089</v>
      </c>
      <c r="AT672" s="29">
        <f t="shared" si="173"/>
        <v>10.651994367818777</v>
      </c>
      <c r="AU672" s="27" t="str">
        <f t="shared" si="174"/>
        <v>Medium</v>
      </c>
      <c r="AV672" s="27" t="str">
        <f t="shared" si="175"/>
        <v>Normal</v>
      </c>
      <c r="AW672" s="27"/>
    </row>
    <row r="673" spans="1:49" x14ac:dyDescent="0.25">
      <c r="A673" s="27">
        <v>672</v>
      </c>
      <c r="B673" s="28">
        <v>46112</v>
      </c>
      <c r="C673" s="28" t="str">
        <f t="shared" si="160"/>
        <v>March</v>
      </c>
      <c r="D673" s="27" t="s">
        <v>67</v>
      </c>
      <c r="E673" s="27" t="s">
        <v>61</v>
      </c>
      <c r="F673" s="27" t="s">
        <v>62</v>
      </c>
      <c r="G673" s="27" t="s">
        <v>50</v>
      </c>
      <c r="H673" s="27" t="s">
        <v>68</v>
      </c>
      <c r="I673" s="27" t="s">
        <v>796</v>
      </c>
      <c r="J673" s="27" t="s">
        <v>109</v>
      </c>
      <c r="K673" s="27">
        <v>573</v>
      </c>
      <c r="L673" s="27">
        <v>571</v>
      </c>
      <c r="M673" s="27">
        <v>537</v>
      </c>
      <c r="N673" s="27">
        <v>34</v>
      </c>
      <c r="O673" s="27">
        <v>12</v>
      </c>
      <c r="P673" s="27">
        <v>39</v>
      </c>
      <c r="Q673" s="27" t="s">
        <v>54</v>
      </c>
      <c r="R673" s="27">
        <v>64</v>
      </c>
      <c r="S673" s="27">
        <v>63</v>
      </c>
      <c r="T673" s="29">
        <v>79.8</v>
      </c>
      <c r="U673" s="29">
        <v>2.5</v>
      </c>
      <c r="V673" s="29">
        <v>21.22</v>
      </c>
      <c r="W673" s="30">
        <v>17151.04</v>
      </c>
      <c r="X673" s="27">
        <v>7.51</v>
      </c>
      <c r="Y673" s="27" t="s">
        <v>55</v>
      </c>
      <c r="Z673" s="29">
        <v>40</v>
      </c>
      <c r="AA673" s="30">
        <v>28542.29</v>
      </c>
      <c r="AB673" s="29">
        <v>0.94045534150612997</v>
      </c>
      <c r="AC673" s="30">
        <v>20721.52</v>
      </c>
      <c r="AD673" s="30">
        <v>360.44217162872201</v>
      </c>
      <c r="AE673" s="27">
        <v>611.20000000000005</v>
      </c>
      <c r="AF673" s="29">
        <v>0.93619109947643997</v>
      </c>
      <c r="AG673" s="30">
        <v>7460.3278283712798</v>
      </c>
      <c r="AH673" s="31">
        <f t="shared" si="161"/>
        <v>0.99650959860383947</v>
      </c>
      <c r="AI673" s="31">
        <f t="shared" si="162"/>
        <v>5.9544658493870403E-2</v>
      </c>
      <c r="AJ673" s="31">
        <f t="shared" si="163"/>
        <v>2.1015761821366025E-2</v>
      </c>
      <c r="AK673" s="31">
        <f t="shared" si="164"/>
        <v>0.94045534150612964</v>
      </c>
      <c r="AL673" s="29">
        <f t="shared" si="165"/>
        <v>0.65</v>
      </c>
      <c r="AM673" s="29">
        <f t="shared" si="166"/>
        <v>572.20000000000005</v>
      </c>
      <c r="AN673" s="29">
        <f t="shared" si="167"/>
        <v>0.99790283117790979</v>
      </c>
      <c r="AO673" s="29">
        <f t="shared" si="168"/>
        <v>0.9375</v>
      </c>
      <c r="AP673" s="31">
        <f t="shared" si="169"/>
        <v>1.0644296865897704</v>
      </c>
      <c r="AQ673" s="31">
        <f t="shared" si="170"/>
        <v>0.94045534150612964</v>
      </c>
      <c r="AR673" s="31">
        <f t="shared" si="171"/>
        <v>0.9371727748691101</v>
      </c>
      <c r="AS673" s="29">
        <f t="shared" si="172"/>
        <v>36.289877408056043</v>
      </c>
      <c r="AT673" s="29">
        <f t="shared" si="173"/>
        <v>13.065372729196637</v>
      </c>
      <c r="AU673" s="27" t="str">
        <f t="shared" si="174"/>
        <v>Medium</v>
      </c>
      <c r="AV673" s="27" t="str">
        <f t="shared" si="175"/>
        <v>Normal</v>
      </c>
      <c r="AW673" s="27"/>
    </row>
    <row r="674" spans="1:49" x14ac:dyDescent="0.25">
      <c r="A674" s="27">
        <v>673</v>
      </c>
      <c r="B674" s="28">
        <v>46135</v>
      </c>
      <c r="C674" s="28" t="str">
        <f t="shared" si="160"/>
        <v>April</v>
      </c>
      <c r="D674" s="27" t="s">
        <v>47</v>
      </c>
      <c r="E674" s="27" t="s">
        <v>61</v>
      </c>
      <c r="F674" s="27" t="s">
        <v>88</v>
      </c>
      <c r="G674" s="27" t="s">
        <v>50</v>
      </c>
      <c r="H674" s="27" t="s">
        <v>57</v>
      </c>
      <c r="I674" s="27" t="s">
        <v>797</v>
      </c>
      <c r="J674" s="27" t="s">
        <v>138</v>
      </c>
      <c r="K674" s="27">
        <v>906</v>
      </c>
      <c r="L674" s="27">
        <v>1084</v>
      </c>
      <c r="M674" s="27">
        <v>1053</v>
      </c>
      <c r="N674" s="27">
        <v>31</v>
      </c>
      <c r="O674" s="27">
        <v>10</v>
      </c>
      <c r="P674" s="27">
        <v>0</v>
      </c>
      <c r="Q674" s="27" t="s">
        <v>60</v>
      </c>
      <c r="R674" s="27">
        <v>45</v>
      </c>
      <c r="S674" s="27">
        <v>47</v>
      </c>
      <c r="T674" s="29">
        <v>69.400000000000006</v>
      </c>
      <c r="U674" s="29">
        <v>2.39</v>
      </c>
      <c r="V674" s="29">
        <v>38.340000000000003</v>
      </c>
      <c r="W674" s="30">
        <v>22864.65</v>
      </c>
      <c r="X674" s="27">
        <v>12.1</v>
      </c>
      <c r="Y674" s="27" t="s">
        <v>71</v>
      </c>
      <c r="Z674" s="29">
        <v>20</v>
      </c>
      <c r="AA674" s="30">
        <v>37369.800000000003</v>
      </c>
      <c r="AB674" s="29">
        <v>0.97140221402214</v>
      </c>
      <c r="AC674" s="30">
        <v>28654.71</v>
      </c>
      <c r="AD674" s="30">
        <v>210.928505535055</v>
      </c>
      <c r="AE674" s="27">
        <v>679.5</v>
      </c>
      <c r="AF674" s="29">
        <v>1</v>
      </c>
      <c r="AG674" s="30">
        <v>8504.16149446495</v>
      </c>
      <c r="AH674" s="31">
        <f t="shared" si="161"/>
        <v>1.1964679911699778</v>
      </c>
      <c r="AI674" s="31">
        <f t="shared" si="162"/>
        <v>2.859778597785978E-2</v>
      </c>
      <c r="AJ674" s="31">
        <f t="shared" si="163"/>
        <v>9.2250922509225092E-3</v>
      </c>
      <c r="AK674" s="31">
        <f t="shared" si="164"/>
        <v>0.97140221402214022</v>
      </c>
      <c r="AL674" s="29">
        <f t="shared" si="165"/>
        <v>0</v>
      </c>
      <c r="AM674" s="29">
        <f t="shared" si="166"/>
        <v>679.5</v>
      </c>
      <c r="AN674" s="29">
        <f t="shared" si="167"/>
        <v>1.5952906548933039</v>
      </c>
      <c r="AO674" s="29">
        <f t="shared" si="168"/>
        <v>1.3333333333333333</v>
      </c>
      <c r="AP674" s="31">
        <f t="shared" si="169"/>
        <v>1.196467991169978</v>
      </c>
      <c r="AQ674" s="31">
        <f t="shared" si="170"/>
        <v>0.97140221402214022</v>
      </c>
      <c r="AR674" s="31">
        <f t="shared" si="171"/>
        <v>1.1622516556291391</v>
      </c>
      <c r="AS674" s="29">
        <f t="shared" si="172"/>
        <v>26.434234317343172</v>
      </c>
      <c r="AT674" s="29">
        <f t="shared" si="173"/>
        <v>7.8451674303182193</v>
      </c>
      <c r="AU674" s="27" t="str">
        <f t="shared" si="174"/>
        <v>High</v>
      </c>
      <c r="AV674" s="27" t="str">
        <f t="shared" si="175"/>
        <v>Normal</v>
      </c>
      <c r="AW674" s="27"/>
    </row>
    <row r="675" spans="1:49" x14ac:dyDescent="0.25">
      <c r="A675" s="27">
        <v>674</v>
      </c>
      <c r="B675" s="28">
        <v>46106</v>
      </c>
      <c r="C675" s="28" t="str">
        <f t="shared" si="160"/>
        <v>March</v>
      </c>
      <c r="D675" s="27" t="s">
        <v>47</v>
      </c>
      <c r="E675" s="27" t="s">
        <v>129</v>
      </c>
      <c r="F675" s="27" t="s">
        <v>167</v>
      </c>
      <c r="G675" s="27" t="s">
        <v>63</v>
      </c>
      <c r="H675" s="27" t="s">
        <v>51</v>
      </c>
      <c r="I675" s="27" t="s">
        <v>798</v>
      </c>
      <c r="J675" s="27" t="s">
        <v>65</v>
      </c>
      <c r="K675" s="27">
        <v>886</v>
      </c>
      <c r="L675" s="27">
        <v>793</v>
      </c>
      <c r="M675" s="27">
        <v>729</v>
      </c>
      <c r="N675" s="27">
        <v>64</v>
      </c>
      <c r="O675" s="27">
        <v>18</v>
      </c>
      <c r="P675" s="27">
        <v>21</v>
      </c>
      <c r="Q675" s="27" t="s">
        <v>94</v>
      </c>
      <c r="R675" s="27">
        <v>42</v>
      </c>
      <c r="S675" s="27">
        <v>46</v>
      </c>
      <c r="T675" s="29">
        <v>73.8</v>
      </c>
      <c r="U675" s="29">
        <v>2.67</v>
      </c>
      <c r="V675" s="29">
        <v>28.52</v>
      </c>
      <c r="W675" s="30">
        <v>15087.93</v>
      </c>
      <c r="X675" s="27">
        <v>9.0500000000000007</v>
      </c>
      <c r="Y675" s="27" t="s">
        <v>55</v>
      </c>
      <c r="Z675" s="29">
        <v>19</v>
      </c>
      <c r="AA675" s="30">
        <v>23759.439999999999</v>
      </c>
      <c r="AB675" s="29">
        <v>0.91929382093316503</v>
      </c>
      <c r="AC675" s="30">
        <v>19417.11</v>
      </c>
      <c r="AD675" s="30">
        <v>342.47508196721299</v>
      </c>
      <c r="AE675" s="27">
        <v>620.20000000000005</v>
      </c>
      <c r="AF675" s="29">
        <v>0.96613995485327298</v>
      </c>
      <c r="AG675" s="30">
        <v>3999.85491803279</v>
      </c>
      <c r="AH675" s="31">
        <f t="shared" si="161"/>
        <v>0.89503386004514673</v>
      </c>
      <c r="AI675" s="31">
        <f t="shared" si="162"/>
        <v>8.0706179066834804E-2</v>
      </c>
      <c r="AJ675" s="31">
        <f t="shared" si="163"/>
        <v>2.269861286254729E-2</v>
      </c>
      <c r="AK675" s="31">
        <f t="shared" si="164"/>
        <v>0.91929382093316514</v>
      </c>
      <c r="AL675" s="29">
        <f t="shared" si="165"/>
        <v>0.35</v>
      </c>
      <c r="AM675" s="29">
        <f t="shared" si="166"/>
        <v>599.20000000000005</v>
      </c>
      <c r="AN675" s="29">
        <f t="shared" si="167"/>
        <v>1.3234312416555407</v>
      </c>
      <c r="AO675" s="29">
        <f t="shared" si="168"/>
        <v>1.4285714285714286</v>
      </c>
      <c r="AP675" s="31">
        <f t="shared" si="169"/>
        <v>0.92640186915887845</v>
      </c>
      <c r="AQ675" s="31">
        <f t="shared" si="170"/>
        <v>0.91929382093316514</v>
      </c>
      <c r="AR675" s="31">
        <f t="shared" si="171"/>
        <v>0.8227990970654625</v>
      </c>
      <c r="AS675" s="29">
        <f t="shared" si="172"/>
        <v>24.485636822194198</v>
      </c>
      <c r="AT675" s="29">
        <f t="shared" si="173"/>
        <v>5.0439532383767842</v>
      </c>
      <c r="AU675" s="27" t="str">
        <f t="shared" si="174"/>
        <v>Medium</v>
      </c>
      <c r="AV675" s="27" t="str">
        <f t="shared" si="175"/>
        <v>Warning</v>
      </c>
      <c r="AW675" s="27"/>
    </row>
    <row r="676" spans="1:49" x14ac:dyDescent="0.25">
      <c r="A676" s="27">
        <v>675</v>
      </c>
      <c r="B676" s="28">
        <v>46097</v>
      </c>
      <c r="C676" s="28" t="str">
        <f t="shared" si="160"/>
        <v>March</v>
      </c>
      <c r="D676" s="27" t="s">
        <v>47</v>
      </c>
      <c r="E676" s="27" t="s">
        <v>48</v>
      </c>
      <c r="F676" s="27" t="s">
        <v>49</v>
      </c>
      <c r="G676" s="27" t="s">
        <v>50</v>
      </c>
      <c r="H676" s="27" t="s">
        <v>68</v>
      </c>
      <c r="I676" s="27" t="s">
        <v>799</v>
      </c>
      <c r="J676" s="27" t="s">
        <v>186</v>
      </c>
      <c r="K676" s="27">
        <v>606</v>
      </c>
      <c r="L676" s="27">
        <v>599</v>
      </c>
      <c r="M676" s="27">
        <v>571</v>
      </c>
      <c r="N676" s="27">
        <v>28</v>
      </c>
      <c r="O676" s="27">
        <v>7</v>
      </c>
      <c r="P676" s="27">
        <v>51</v>
      </c>
      <c r="Q676" s="27" t="s">
        <v>102</v>
      </c>
      <c r="R676" s="27">
        <v>64</v>
      </c>
      <c r="S676" s="27">
        <v>69</v>
      </c>
      <c r="T676" s="29">
        <v>71.8</v>
      </c>
      <c r="U676" s="29">
        <v>1.62</v>
      </c>
      <c r="V676" s="29">
        <v>24.96</v>
      </c>
      <c r="W676" s="30">
        <v>19147.79</v>
      </c>
      <c r="X676" s="27">
        <v>10.09</v>
      </c>
      <c r="Y676" s="27" t="s">
        <v>71</v>
      </c>
      <c r="Z676" s="29">
        <v>42</v>
      </c>
      <c r="AA676" s="30">
        <v>29182.91</v>
      </c>
      <c r="AB676" s="29">
        <v>0.95325542570951605</v>
      </c>
      <c r="AC676" s="30">
        <v>23912.93</v>
      </c>
      <c r="AD676" s="30">
        <v>223.76382303839699</v>
      </c>
      <c r="AE676" s="27">
        <v>646.4</v>
      </c>
      <c r="AF676" s="29">
        <v>0.92110148514851498</v>
      </c>
      <c r="AG676" s="30">
        <v>5046.2161769615996</v>
      </c>
      <c r="AH676" s="31">
        <f t="shared" si="161"/>
        <v>0.98844884488448848</v>
      </c>
      <c r="AI676" s="31">
        <f t="shared" si="162"/>
        <v>4.6744574290484141E-2</v>
      </c>
      <c r="AJ676" s="31">
        <f t="shared" si="163"/>
        <v>1.1686143572621035E-2</v>
      </c>
      <c r="AK676" s="31">
        <f t="shared" si="164"/>
        <v>0.95325542570951582</v>
      </c>
      <c r="AL676" s="29">
        <f t="shared" si="165"/>
        <v>0.85</v>
      </c>
      <c r="AM676" s="29">
        <f t="shared" si="166"/>
        <v>595.4</v>
      </c>
      <c r="AN676" s="29">
        <f t="shared" si="167"/>
        <v>1.0060463553913337</v>
      </c>
      <c r="AO676" s="29">
        <f t="shared" si="168"/>
        <v>0.9375</v>
      </c>
      <c r="AP676" s="31">
        <f t="shared" si="169"/>
        <v>1.0731161124174227</v>
      </c>
      <c r="AQ676" s="31">
        <f t="shared" si="170"/>
        <v>0.95325542570951582</v>
      </c>
      <c r="AR676" s="31">
        <f t="shared" si="171"/>
        <v>0.9422442244224426</v>
      </c>
      <c r="AS676" s="29">
        <f t="shared" si="172"/>
        <v>39.92141903171953</v>
      </c>
      <c r="AT676" s="29">
        <f t="shared" si="173"/>
        <v>8.4244009632080132</v>
      </c>
      <c r="AU676" s="27" t="str">
        <f t="shared" si="174"/>
        <v>High</v>
      </c>
      <c r="AV676" s="27" t="str">
        <f t="shared" si="175"/>
        <v>Normal</v>
      </c>
      <c r="AW676" s="27"/>
    </row>
    <row r="677" spans="1:49" x14ac:dyDescent="0.25">
      <c r="A677" s="27">
        <v>676</v>
      </c>
      <c r="B677" s="28">
        <v>46106</v>
      </c>
      <c r="C677" s="28" t="str">
        <f t="shared" si="160"/>
        <v>March</v>
      </c>
      <c r="D677" s="27" t="s">
        <v>47</v>
      </c>
      <c r="E677" s="27" t="s">
        <v>76</v>
      </c>
      <c r="F677" s="27" t="s">
        <v>113</v>
      </c>
      <c r="G677" s="27" t="s">
        <v>78</v>
      </c>
      <c r="H677" s="27" t="s">
        <v>124</v>
      </c>
      <c r="I677" s="27" t="s">
        <v>800</v>
      </c>
      <c r="J677" s="27" t="s">
        <v>153</v>
      </c>
      <c r="K677" s="27">
        <v>558</v>
      </c>
      <c r="L677" s="27">
        <v>398</v>
      </c>
      <c r="M677" s="27">
        <v>375</v>
      </c>
      <c r="N677" s="27">
        <v>23</v>
      </c>
      <c r="O677" s="27">
        <v>4</v>
      </c>
      <c r="P677" s="27">
        <v>0</v>
      </c>
      <c r="Q677" s="27" t="s">
        <v>60</v>
      </c>
      <c r="R677" s="27">
        <v>57</v>
      </c>
      <c r="S677" s="27">
        <v>58</v>
      </c>
      <c r="T677" s="29">
        <v>66.7</v>
      </c>
      <c r="U677" s="29">
        <v>2.6</v>
      </c>
      <c r="V677" s="29">
        <v>15</v>
      </c>
      <c r="W677" s="30">
        <v>10346.700000000001</v>
      </c>
      <c r="X677" s="27">
        <v>6.93</v>
      </c>
      <c r="Y677" s="27" t="s">
        <v>55</v>
      </c>
      <c r="Z677" s="29">
        <v>18</v>
      </c>
      <c r="AA677" s="30">
        <v>17571.71</v>
      </c>
      <c r="AB677" s="29">
        <v>0.94221105527638205</v>
      </c>
      <c r="AC677" s="30">
        <v>13600.2</v>
      </c>
      <c r="AD677" s="30">
        <v>103.986934673367</v>
      </c>
      <c r="AE677" s="27">
        <v>530.1</v>
      </c>
      <c r="AF677" s="29">
        <v>1</v>
      </c>
      <c r="AG677" s="30">
        <v>3867.5230653266299</v>
      </c>
      <c r="AH677" s="31">
        <f t="shared" si="161"/>
        <v>0.71326164874551967</v>
      </c>
      <c r="AI677" s="31">
        <f t="shared" si="162"/>
        <v>5.7788944723618091E-2</v>
      </c>
      <c r="AJ677" s="31">
        <f t="shared" si="163"/>
        <v>1.0050251256281407E-2</v>
      </c>
      <c r="AK677" s="31">
        <f t="shared" si="164"/>
        <v>0.94221105527638194</v>
      </c>
      <c r="AL677" s="29">
        <f t="shared" si="165"/>
        <v>0</v>
      </c>
      <c r="AM677" s="29">
        <f t="shared" si="166"/>
        <v>530.1</v>
      </c>
      <c r="AN677" s="29">
        <f t="shared" si="167"/>
        <v>0.75080173552159968</v>
      </c>
      <c r="AO677" s="29">
        <f t="shared" si="168"/>
        <v>1.0526315789473684</v>
      </c>
      <c r="AP677" s="31">
        <f t="shared" si="169"/>
        <v>0.71326164874551978</v>
      </c>
      <c r="AQ677" s="31">
        <f t="shared" si="170"/>
        <v>0.94221105527638194</v>
      </c>
      <c r="AR677" s="31">
        <f t="shared" si="171"/>
        <v>0.67204301075268824</v>
      </c>
      <c r="AS677" s="29">
        <f t="shared" si="172"/>
        <v>34.171356783919599</v>
      </c>
      <c r="AT677" s="29">
        <f t="shared" si="173"/>
        <v>9.7173946364990709</v>
      </c>
      <c r="AU677" s="27" t="str">
        <f t="shared" si="174"/>
        <v>High</v>
      </c>
      <c r="AV677" s="27" t="str">
        <f t="shared" si="175"/>
        <v>Critical</v>
      </c>
      <c r="AW677" s="27"/>
    </row>
    <row r="678" spans="1:49" x14ac:dyDescent="0.25">
      <c r="A678" s="27">
        <v>677</v>
      </c>
      <c r="B678" s="28">
        <v>46198</v>
      </c>
      <c r="C678" s="28" t="str">
        <f t="shared" si="160"/>
        <v>June</v>
      </c>
      <c r="D678" s="27" t="s">
        <v>67</v>
      </c>
      <c r="E678" s="27" t="s">
        <v>76</v>
      </c>
      <c r="F678" s="27" t="s">
        <v>113</v>
      </c>
      <c r="G678" s="27" t="s">
        <v>63</v>
      </c>
      <c r="H678" s="27" t="s">
        <v>124</v>
      </c>
      <c r="I678" s="27" t="s">
        <v>801</v>
      </c>
      <c r="J678" s="27" t="s">
        <v>170</v>
      </c>
      <c r="K678" s="27">
        <v>695</v>
      </c>
      <c r="L678" s="27">
        <v>632</v>
      </c>
      <c r="M678" s="27">
        <v>609</v>
      </c>
      <c r="N678" s="27">
        <v>23</v>
      </c>
      <c r="O678" s="27">
        <v>9</v>
      </c>
      <c r="P678" s="27">
        <v>0</v>
      </c>
      <c r="Q678" s="27" t="s">
        <v>60</v>
      </c>
      <c r="R678" s="27">
        <v>57</v>
      </c>
      <c r="S678" s="27">
        <v>58</v>
      </c>
      <c r="T678" s="29">
        <v>71.7</v>
      </c>
      <c r="U678" s="29">
        <v>1.76</v>
      </c>
      <c r="V678" s="29">
        <v>23.86</v>
      </c>
      <c r="W678" s="30">
        <v>17940.13</v>
      </c>
      <c r="X678" s="27">
        <v>7.15</v>
      </c>
      <c r="Y678" s="27" t="s">
        <v>55</v>
      </c>
      <c r="Z678" s="29">
        <v>22</v>
      </c>
      <c r="AA678" s="30">
        <v>27681.37</v>
      </c>
      <c r="AB678" s="29">
        <v>0.963607594936709</v>
      </c>
      <c r="AC678" s="30">
        <v>21372.37</v>
      </c>
      <c r="AD678" s="30">
        <v>255.47653481012699</v>
      </c>
      <c r="AE678" s="27">
        <v>660.25</v>
      </c>
      <c r="AF678" s="29">
        <v>1</v>
      </c>
      <c r="AG678" s="30">
        <v>6053.52346518987</v>
      </c>
      <c r="AH678" s="31">
        <f t="shared" si="161"/>
        <v>0.90935251798561156</v>
      </c>
      <c r="AI678" s="31">
        <f t="shared" si="162"/>
        <v>3.6392405063291139E-2</v>
      </c>
      <c r="AJ678" s="31">
        <f t="shared" si="163"/>
        <v>1.4240506329113924E-2</v>
      </c>
      <c r="AK678" s="31">
        <f t="shared" si="164"/>
        <v>0.96360759493670889</v>
      </c>
      <c r="AL678" s="29">
        <f t="shared" si="165"/>
        <v>0</v>
      </c>
      <c r="AM678" s="29">
        <f t="shared" si="166"/>
        <v>660.25</v>
      </c>
      <c r="AN678" s="29">
        <f t="shared" si="167"/>
        <v>0.9572131768269595</v>
      </c>
      <c r="AO678" s="29">
        <f t="shared" si="168"/>
        <v>1.0526315789473684</v>
      </c>
      <c r="AP678" s="31">
        <f t="shared" si="169"/>
        <v>0.90935251798561156</v>
      </c>
      <c r="AQ678" s="31">
        <f t="shared" si="170"/>
        <v>0.96360759493670889</v>
      </c>
      <c r="AR678" s="31">
        <f t="shared" si="171"/>
        <v>0.87625899280575548</v>
      </c>
      <c r="AS678" s="29">
        <f t="shared" si="172"/>
        <v>33.817041139240501</v>
      </c>
      <c r="AT678" s="29">
        <f t="shared" si="173"/>
        <v>9.5783599132751114</v>
      </c>
      <c r="AU678" s="27" t="str">
        <f t="shared" si="174"/>
        <v>Low</v>
      </c>
      <c r="AV678" s="27" t="str">
        <f t="shared" si="175"/>
        <v>Normal</v>
      </c>
      <c r="AW678" s="27"/>
    </row>
    <row r="679" spans="1:49" x14ac:dyDescent="0.25">
      <c r="A679" s="27">
        <v>678</v>
      </c>
      <c r="B679" s="28">
        <v>46122</v>
      </c>
      <c r="C679" s="28" t="str">
        <f t="shared" si="160"/>
        <v>April</v>
      </c>
      <c r="D679" s="27" t="s">
        <v>47</v>
      </c>
      <c r="E679" s="27" t="s">
        <v>76</v>
      </c>
      <c r="F679" s="27" t="s">
        <v>113</v>
      </c>
      <c r="G679" s="27" t="s">
        <v>50</v>
      </c>
      <c r="H679" s="27" t="s">
        <v>79</v>
      </c>
      <c r="I679" s="27" t="s">
        <v>802</v>
      </c>
      <c r="J679" s="27" t="s">
        <v>170</v>
      </c>
      <c r="K679" s="27">
        <v>703</v>
      </c>
      <c r="L679" s="27">
        <v>701</v>
      </c>
      <c r="M679" s="27">
        <v>674</v>
      </c>
      <c r="N679" s="27">
        <v>27</v>
      </c>
      <c r="O679" s="27">
        <v>11</v>
      </c>
      <c r="P679" s="27">
        <v>35</v>
      </c>
      <c r="Q679" s="27" t="s">
        <v>97</v>
      </c>
      <c r="R679" s="27">
        <v>49</v>
      </c>
      <c r="S679" s="27">
        <v>48</v>
      </c>
      <c r="T679" s="29">
        <v>73.3</v>
      </c>
      <c r="U679" s="29">
        <v>1.42</v>
      </c>
      <c r="V679" s="29">
        <v>30.48</v>
      </c>
      <c r="W679" s="30">
        <v>15725.52</v>
      </c>
      <c r="X679" s="27">
        <v>7.48</v>
      </c>
      <c r="Y679" s="27" t="s">
        <v>55</v>
      </c>
      <c r="Z679" s="29">
        <v>14</v>
      </c>
      <c r="AA679" s="30">
        <v>25269.59</v>
      </c>
      <c r="AB679" s="29">
        <v>0.96148359486447899</v>
      </c>
      <c r="AC679" s="30">
        <v>19365.84</v>
      </c>
      <c r="AD679" s="30">
        <v>246.76279600570601</v>
      </c>
      <c r="AE679" s="27">
        <v>574.11666666666702</v>
      </c>
      <c r="AF679" s="29">
        <v>0.93903678114204403</v>
      </c>
      <c r="AG679" s="30">
        <v>5656.9872039942902</v>
      </c>
      <c r="AH679" s="31">
        <f t="shared" si="161"/>
        <v>0.99715504978662872</v>
      </c>
      <c r="AI679" s="31">
        <f t="shared" si="162"/>
        <v>3.8516405135520682E-2</v>
      </c>
      <c r="AJ679" s="31">
        <f t="shared" si="163"/>
        <v>1.5691868758915834E-2</v>
      </c>
      <c r="AK679" s="31">
        <f t="shared" si="164"/>
        <v>0.96148359486447932</v>
      </c>
      <c r="AL679" s="29">
        <f t="shared" si="165"/>
        <v>0.58333333333333337</v>
      </c>
      <c r="AM679" s="29">
        <f t="shared" si="166"/>
        <v>539.11666666666702</v>
      </c>
      <c r="AN679" s="29">
        <f t="shared" si="167"/>
        <v>1.3002751414350626</v>
      </c>
      <c r="AO679" s="29">
        <f t="shared" si="168"/>
        <v>1.2244897959183674</v>
      </c>
      <c r="AP679" s="31">
        <f t="shared" si="169"/>
        <v>1.0618913655053011</v>
      </c>
      <c r="AQ679" s="31">
        <f t="shared" si="170"/>
        <v>0.96148359486447932</v>
      </c>
      <c r="AR679" s="31">
        <f t="shared" si="171"/>
        <v>0.95874822190611564</v>
      </c>
      <c r="AS679" s="29">
        <f t="shared" si="172"/>
        <v>27.626019971469329</v>
      </c>
      <c r="AT679" s="29">
        <f t="shared" si="173"/>
        <v>8.0698818887222394</v>
      </c>
      <c r="AU679" s="27" t="str">
        <f t="shared" si="174"/>
        <v>Low</v>
      </c>
      <c r="AV679" s="27" t="str">
        <f t="shared" si="175"/>
        <v>Normal</v>
      </c>
      <c r="AW679" s="27"/>
    </row>
    <row r="680" spans="1:49" x14ac:dyDescent="0.25">
      <c r="A680" s="27">
        <v>679</v>
      </c>
      <c r="B680" s="28">
        <v>46153</v>
      </c>
      <c r="C680" s="28" t="str">
        <f t="shared" si="160"/>
        <v>May</v>
      </c>
      <c r="D680" s="27" t="s">
        <v>47</v>
      </c>
      <c r="E680" s="27" t="s">
        <v>48</v>
      </c>
      <c r="F680" s="27" t="s">
        <v>49</v>
      </c>
      <c r="G680" s="27" t="s">
        <v>78</v>
      </c>
      <c r="H680" s="27" t="s">
        <v>68</v>
      </c>
      <c r="I680" s="27" t="s">
        <v>803</v>
      </c>
      <c r="J680" s="27" t="s">
        <v>107</v>
      </c>
      <c r="K680" s="27">
        <v>570</v>
      </c>
      <c r="L680" s="27">
        <v>511</v>
      </c>
      <c r="M680" s="27">
        <v>484</v>
      </c>
      <c r="N680" s="27">
        <v>27</v>
      </c>
      <c r="O680" s="27">
        <v>6</v>
      </c>
      <c r="P680" s="27">
        <v>0</v>
      </c>
      <c r="Q680" s="27" t="s">
        <v>60</v>
      </c>
      <c r="R680" s="27">
        <v>64</v>
      </c>
      <c r="S680" s="27">
        <v>69</v>
      </c>
      <c r="T680" s="29">
        <v>75.3</v>
      </c>
      <c r="U680" s="29">
        <v>1.57</v>
      </c>
      <c r="V680" s="29">
        <v>20.07</v>
      </c>
      <c r="W680" s="30">
        <v>16715.64</v>
      </c>
      <c r="X680" s="27">
        <v>7.67</v>
      </c>
      <c r="Y680" s="27" t="s">
        <v>66</v>
      </c>
      <c r="Z680" s="29">
        <v>18</v>
      </c>
      <c r="AA680" s="30">
        <v>24623.82</v>
      </c>
      <c r="AB680" s="29">
        <v>0.94716242661448102</v>
      </c>
      <c r="AC680" s="30">
        <v>20347.77</v>
      </c>
      <c r="AD680" s="30">
        <v>196.269745596869</v>
      </c>
      <c r="AE680" s="27">
        <v>608</v>
      </c>
      <c r="AF680" s="29">
        <v>1</v>
      </c>
      <c r="AG680" s="30">
        <v>4079.7802544031301</v>
      </c>
      <c r="AH680" s="31">
        <f t="shared" si="161"/>
        <v>0.89649122807017545</v>
      </c>
      <c r="AI680" s="31">
        <f t="shared" si="162"/>
        <v>5.2837573385518588E-2</v>
      </c>
      <c r="AJ680" s="31">
        <f t="shared" si="163"/>
        <v>1.1741682974559686E-2</v>
      </c>
      <c r="AK680" s="31">
        <f t="shared" si="164"/>
        <v>0.94716242661448136</v>
      </c>
      <c r="AL680" s="29">
        <f t="shared" si="165"/>
        <v>0</v>
      </c>
      <c r="AM680" s="29">
        <f t="shared" si="166"/>
        <v>608</v>
      </c>
      <c r="AN680" s="29">
        <f t="shared" si="167"/>
        <v>0.84046052631578949</v>
      </c>
      <c r="AO680" s="29">
        <f t="shared" si="168"/>
        <v>0.9375</v>
      </c>
      <c r="AP680" s="31">
        <f t="shared" si="169"/>
        <v>0.89649122807017545</v>
      </c>
      <c r="AQ680" s="31">
        <f t="shared" si="170"/>
        <v>0.94716242661448136</v>
      </c>
      <c r="AR680" s="31">
        <f t="shared" si="171"/>
        <v>0.84912280701754383</v>
      </c>
      <c r="AS680" s="29">
        <f t="shared" si="172"/>
        <v>39.819510763209394</v>
      </c>
      <c r="AT680" s="29">
        <f t="shared" si="173"/>
        <v>7.9839143921783364</v>
      </c>
      <c r="AU680" s="27" t="str">
        <f t="shared" si="174"/>
        <v>Medium</v>
      </c>
      <c r="AV680" s="27" t="str">
        <f t="shared" si="175"/>
        <v>Warning</v>
      </c>
      <c r="AW680" s="27"/>
    </row>
    <row r="681" spans="1:49" x14ac:dyDescent="0.25">
      <c r="A681" s="27">
        <v>680</v>
      </c>
      <c r="B681" s="28">
        <v>46052</v>
      </c>
      <c r="C681" s="28" t="str">
        <f t="shared" si="160"/>
        <v>January</v>
      </c>
      <c r="D681" s="27" t="s">
        <v>47</v>
      </c>
      <c r="E681" s="27" t="s">
        <v>48</v>
      </c>
      <c r="F681" s="27" t="s">
        <v>72</v>
      </c>
      <c r="G681" s="27" t="s">
        <v>50</v>
      </c>
      <c r="H681" s="27" t="s">
        <v>51</v>
      </c>
      <c r="I681" s="27" t="s">
        <v>804</v>
      </c>
      <c r="J681" s="27" t="s">
        <v>134</v>
      </c>
      <c r="K681" s="27">
        <v>741</v>
      </c>
      <c r="L681" s="27">
        <v>674</v>
      </c>
      <c r="M681" s="27">
        <v>645</v>
      </c>
      <c r="N681" s="27">
        <v>29</v>
      </c>
      <c r="O681" s="27">
        <v>7</v>
      </c>
      <c r="P681" s="27">
        <v>16</v>
      </c>
      <c r="Q681" s="27" t="s">
        <v>91</v>
      </c>
      <c r="R681" s="27">
        <v>42</v>
      </c>
      <c r="S681" s="27">
        <v>44</v>
      </c>
      <c r="T681" s="29">
        <v>79.5</v>
      </c>
      <c r="U681" s="29">
        <v>1.69</v>
      </c>
      <c r="V681" s="29">
        <v>25.36</v>
      </c>
      <c r="W681" s="30">
        <v>11776.26</v>
      </c>
      <c r="X681" s="27">
        <v>8.27</v>
      </c>
      <c r="Y681" s="27" t="s">
        <v>55</v>
      </c>
      <c r="Z681" s="29">
        <v>9</v>
      </c>
      <c r="AA681" s="30">
        <v>20438.53</v>
      </c>
      <c r="AB681" s="29">
        <v>0.95697329376854601</v>
      </c>
      <c r="AC681" s="30">
        <v>15726</v>
      </c>
      <c r="AD681" s="30">
        <v>122.305370919881</v>
      </c>
      <c r="AE681" s="27">
        <v>518.70000000000005</v>
      </c>
      <c r="AF681" s="29">
        <v>0.96915365336418002</v>
      </c>
      <c r="AG681" s="30">
        <v>4590.2246290801204</v>
      </c>
      <c r="AH681" s="31">
        <f t="shared" si="161"/>
        <v>0.90958164642375172</v>
      </c>
      <c r="AI681" s="31">
        <f t="shared" si="162"/>
        <v>4.3026706231454007E-2</v>
      </c>
      <c r="AJ681" s="31">
        <f t="shared" si="163"/>
        <v>1.0385756676557863E-2</v>
      </c>
      <c r="AK681" s="31">
        <f t="shared" si="164"/>
        <v>0.95697329376854601</v>
      </c>
      <c r="AL681" s="29">
        <f t="shared" si="165"/>
        <v>0.26666666666666666</v>
      </c>
      <c r="AM681" s="29">
        <f t="shared" si="166"/>
        <v>502.70000000000005</v>
      </c>
      <c r="AN681" s="29">
        <f t="shared" si="167"/>
        <v>1.3407598965585836</v>
      </c>
      <c r="AO681" s="29">
        <f t="shared" si="168"/>
        <v>1.4285714285714286</v>
      </c>
      <c r="AP681" s="31">
        <f t="shared" si="169"/>
        <v>0.93853192759100856</v>
      </c>
      <c r="AQ681" s="31">
        <f t="shared" si="170"/>
        <v>0.95697329376854601</v>
      </c>
      <c r="AR681" s="31">
        <f t="shared" si="171"/>
        <v>0.87044534412955499</v>
      </c>
      <c r="AS681" s="29">
        <f t="shared" si="172"/>
        <v>23.332344213649851</v>
      </c>
      <c r="AT681" s="29">
        <f t="shared" si="173"/>
        <v>6.8104222983384579</v>
      </c>
      <c r="AU681" s="27" t="str">
        <f t="shared" si="174"/>
        <v>Low</v>
      </c>
      <c r="AV681" s="27" t="str">
        <f t="shared" si="175"/>
        <v>Normal</v>
      </c>
      <c r="AW681" s="27"/>
    </row>
    <row r="682" spans="1:49" x14ac:dyDescent="0.25">
      <c r="A682" s="27">
        <v>681</v>
      </c>
      <c r="B682" s="28">
        <v>46160</v>
      </c>
      <c r="C682" s="28" t="str">
        <f t="shared" si="160"/>
        <v>May</v>
      </c>
      <c r="D682" s="27" t="s">
        <v>47</v>
      </c>
      <c r="E682" s="27" t="s">
        <v>98</v>
      </c>
      <c r="F682" s="27" t="s">
        <v>99</v>
      </c>
      <c r="G682" s="27" t="s">
        <v>63</v>
      </c>
      <c r="H682" s="27" t="s">
        <v>57</v>
      </c>
      <c r="I682" s="27" t="s">
        <v>805</v>
      </c>
      <c r="J682" s="27" t="s">
        <v>121</v>
      </c>
      <c r="K682" s="27">
        <v>946</v>
      </c>
      <c r="L682" s="27">
        <v>850</v>
      </c>
      <c r="M682" s="27">
        <v>815</v>
      </c>
      <c r="N682" s="27">
        <v>35</v>
      </c>
      <c r="O682" s="27">
        <v>6</v>
      </c>
      <c r="P682" s="27">
        <v>7</v>
      </c>
      <c r="Q682" s="27" t="s">
        <v>54</v>
      </c>
      <c r="R682" s="27">
        <v>45</v>
      </c>
      <c r="S682" s="27">
        <v>45</v>
      </c>
      <c r="T682" s="29">
        <v>64.7</v>
      </c>
      <c r="U682" s="29">
        <v>1.88</v>
      </c>
      <c r="V682" s="29">
        <v>31.67</v>
      </c>
      <c r="W682" s="30">
        <v>16693.419999999998</v>
      </c>
      <c r="X682" s="27">
        <v>7.32</v>
      </c>
      <c r="Y682" s="27" t="s">
        <v>55</v>
      </c>
      <c r="Z682" s="29">
        <v>24</v>
      </c>
      <c r="AA682" s="30">
        <v>29106.9</v>
      </c>
      <c r="AB682" s="29">
        <v>0.95882352941176496</v>
      </c>
      <c r="AC682" s="30">
        <v>20272.45</v>
      </c>
      <c r="AD682" s="30">
        <v>117.835905882353</v>
      </c>
      <c r="AE682" s="27">
        <v>709.5</v>
      </c>
      <c r="AF682" s="29">
        <v>0.99013389711064104</v>
      </c>
      <c r="AG682" s="30">
        <v>8716.6140941176509</v>
      </c>
      <c r="AH682" s="31">
        <f t="shared" si="161"/>
        <v>0.89852008456659616</v>
      </c>
      <c r="AI682" s="31">
        <f t="shared" si="162"/>
        <v>4.1176470588235294E-2</v>
      </c>
      <c r="AJ682" s="31">
        <f t="shared" si="163"/>
        <v>7.058823529411765E-3</v>
      </c>
      <c r="AK682" s="31">
        <f t="shared" si="164"/>
        <v>0.95882352941176474</v>
      </c>
      <c r="AL682" s="29">
        <f t="shared" si="165"/>
        <v>0.11666666666666667</v>
      </c>
      <c r="AM682" s="29">
        <f t="shared" si="166"/>
        <v>702.5</v>
      </c>
      <c r="AN682" s="29">
        <f t="shared" si="167"/>
        <v>1.209964412811388</v>
      </c>
      <c r="AO682" s="29">
        <f t="shared" si="168"/>
        <v>1.3333333333333333</v>
      </c>
      <c r="AP682" s="31">
        <f t="shared" si="169"/>
        <v>0.907473309608541</v>
      </c>
      <c r="AQ682" s="31">
        <f t="shared" si="170"/>
        <v>0.95882352941176474</v>
      </c>
      <c r="AR682" s="31">
        <f t="shared" si="171"/>
        <v>0.86152219873150093</v>
      </c>
      <c r="AS682" s="29">
        <f t="shared" si="172"/>
        <v>23.84994117647059</v>
      </c>
      <c r="AT682" s="29">
        <f t="shared" si="173"/>
        <v>10.254840110726649</v>
      </c>
      <c r="AU682" s="27" t="str">
        <f t="shared" si="174"/>
        <v>Low</v>
      </c>
      <c r="AV682" s="27" t="str">
        <f t="shared" si="175"/>
        <v>Normal</v>
      </c>
      <c r="AW682" s="27"/>
    </row>
    <row r="683" spans="1:49" x14ac:dyDescent="0.25">
      <c r="A683" s="27">
        <v>682</v>
      </c>
      <c r="B683" s="28">
        <v>46174</v>
      </c>
      <c r="C683" s="28" t="str">
        <f t="shared" si="160"/>
        <v>June</v>
      </c>
      <c r="D683" s="27" t="s">
        <v>47</v>
      </c>
      <c r="E683" s="27" t="s">
        <v>129</v>
      </c>
      <c r="F683" s="27" t="s">
        <v>151</v>
      </c>
      <c r="G683" s="27" t="s">
        <v>63</v>
      </c>
      <c r="H683" s="27" t="s">
        <v>57</v>
      </c>
      <c r="I683" s="27" t="s">
        <v>806</v>
      </c>
      <c r="J683" s="27" t="s">
        <v>93</v>
      </c>
      <c r="K683" s="27">
        <v>680</v>
      </c>
      <c r="L683" s="27">
        <v>673</v>
      </c>
      <c r="M683" s="27">
        <v>642</v>
      </c>
      <c r="N683" s="27">
        <v>31</v>
      </c>
      <c r="O683" s="27">
        <v>6</v>
      </c>
      <c r="P683" s="27">
        <v>27</v>
      </c>
      <c r="Q683" s="27" t="s">
        <v>102</v>
      </c>
      <c r="R683" s="27">
        <v>45</v>
      </c>
      <c r="S683" s="27">
        <v>44</v>
      </c>
      <c r="T683" s="29">
        <v>70</v>
      </c>
      <c r="U683" s="29">
        <v>1.58</v>
      </c>
      <c r="V683" s="29">
        <v>28.39</v>
      </c>
      <c r="W683" s="30">
        <v>13424.76</v>
      </c>
      <c r="X683" s="27">
        <v>8.51</v>
      </c>
      <c r="Y683" s="27" t="s">
        <v>55</v>
      </c>
      <c r="Z683" s="29">
        <v>19</v>
      </c>
      <c r="AA683" s="30">
        <v>22236.27</v>
      </c>
      <c r="AB683" s="29">
        <v>0.95393759286775603</v>
      </c>
      <c r="AC683" s="30">
        <v>17509.77</v>
      </c>
      <c r="AD683" s="30">
        <v>119.68582466567599</v>
      </c>
      <c r="AE683" s="27">
        <v>510</v>
      </c>
      <c r="AF683" s="29">
        <v>0.94705882352941195</v>
      </c>
      <c r="AG683" s="30">
        <v>4606.8141753343198</v>
      </c>
      <c r="AH683" s="31">
        <f t="shared" si="161"/>
        <v>0.98970588235294121</v>
      </c>
      <c r="AI683" s="31">
        <f t="shared" si="162"/>
        <v>4.6062407132243688E-2</v>
      </c>
      <c r="AJ683" s="31">
        <f t="shared" si="163"/>
        <v>8.9153046062407128E-3</v>
      </c>
      <c r="AK683" s="31">
        <f t="shared" si="164"/>
        <v>0.95393759286775637</v>
      </c>
      <c r="AL683" s="29">
        <f t="shared" si="165"/>
        <v>0.45</v>
      </c>
      <c r="AM683" s="29">
        <f t="shared" si="166"/>
        <v>483</v>
      </c>
      <c r="AN683" s="29">
        <f t="shared" si="167"/>
        <v>1.3933747412008282</v>
      </c>
      <c r="AO683" s="29">
        <f t="shared" si="168"/>
        <v>1.3333333333333333</v>
      </c>
      <c r="AP683" s="31">
        <f t="shared" si="169"/>
        <v>1.0450310559006213</v>
      </c>
      <c r="AQ683" s="31">
        <f t="shared" si="170"/>
        <v>0.95393759286775637</v>
      </c>
      <c r="AR683" s="31">
        <f t="shared" si="171"/>
        <v>0.94411764705882395</v>
      </c>
      <c r="AS683" s="29">
        <f t="shared" si="172"/>
        <v>26.017488855869242</v>
      </c>
      <c r="AT683" s="29">
        <f t="shared" si="173"/>
        <v>6.8451919395755123</v>
      </c>
      <c r="AU683" s="27" t="str">
        <f t="shared" si="174"/>
        <v>Low</v>
      </c>
      <c r="AV683" s="27" t="str">
        <f t="shared" si="175"/>
        <v>Normal</v>
      </c>
      <c r="AW683" s="27"/>
    </row>
    <row r="684" spans="1:49" x14ac:dyDescent="0.25">
      <c r="A684" s="27">
        <v>683</v>
      </c>
      <c r="B684" s="28">
        <v>46116</v>
      </c>
      <c r="C684" s="28" t="str">
        <f t="shared" si="160"/>
        <v>April</v>
      </c>
      <c r="D684" s="27" t="s">
        <v>67</v>
      </c>
      <c r="E684" s="27" t="s">
        <v>129</v>
      </c>
      <c r="F684" s="27" t="s">
        <v>167</v>
      </c>
      <c r="G684" s="27" t="s">
        <v>50</v>
      </c>
      <c r="H684" s="27" t="s">
        <v>51</v>
      </c>
      <c r="I684" s="27" t="s">
        <v>807</v>
      </c>
      <c r="J684" s="27" t="s">
        <v>93</v>
      </c>
      <c r="K684" s="27">
        <v>799</v>
      </c>
      <c r="L684" s="27">
        <v>676</v>
      </c>
      <c r="M684" s="27">
        <v>604</v>
      </c>
      <c r="N684" s="27">
        <v>72</v>
      </c>
      <c r="O684" s="27">
        <v>30</v>
      </c>
      <c r="P684" s="27">
        <v>37</v>
      </c>
      <c r="Q684" s="27" t="s">
        <v>104</v>
      </c>
      <c r="R684" s="27">
        <v>42</v>
      </c>
      <c r="S684" s="27">
        <v>42</v>
      </c>
      <c r="T684" s="29">
        <v>80.099999999999994</v>
      </c>
      <c r="U684" s="29">
        <v>2.3199999999999998</v>
      </c>
      <c r="V684" s="29">
        <v>25.29</v>
      </c>
      <c r="W684" s="30">
        <v>11789.23</v>
      </c>
      <c r="X684" s="27">
        <v>6.73</v>
      </c>
      <c r="Y684" s="27" t="s">
        <v>55</v>
      </c>
      <c r="Z684" s="29">
        <v>51</v>
      </c>
      <c r="AA684" s="30">
        <v>19074.490000000002</v>
      </c>
      <c r="AB684" s="29">
        <v>0.89349112426035504</v>
      </c>
      <c r="AC684" s="30">
        <v>15045.34</v>
      </c>
      <c r="AD684" s="30">
        <v>523.19068047337305</v>
      </c>
      <c r="AE684" s="27">
        <v>559.29999999999995</v>
      </c>
      <c r="AF684" s="29">
        <v>0.93384587877704295</v>
      </c>
      <c r="AG684" s="30">
        <v>3505.9593195266302</v>
      </c>
      <c r="AH684" s="31">
        <f t="shared" si="161"/>
        <v>0.84605757196495623</v>
      </c>
      <c r="AI684" s="31">
        <f t="shared" si="162"/>
        <v>0.10650887573964497</v>
      </c>
      <c r="AJ684" s="31">
        <f t="shared" si="163"/>
        <v>4.4378698224852069E-2</v>
      </c>
      <c r="AK684" s="31">
        <f t="shared" si="164"/>
        <v>0.89349112426035504</v>
      </c>
      <c r="AL684" s="29">
        <f t="shared" si="165"/>
        <v>0.6166666666666667</v>
      </c>
      <c r="AM684" s="29">
        <f t="shared" si="166"/>
        <v>522.29999999999995</v>
      </c>
      <c r="AN684" s="29">
        <f t="shared" si="167"/>
        <v>1.2942753206969175</v>
      </c>
      <c r="AO684" s="29">
        <f t="shared" si="168"/>
        <v>1.4285714285714286</v>
      </c>
      <c r="AP684" s="31">
        <f t="shared" si="169"/>
        <v>0.90599272448784229</v>
      </c>
      <c r="AQ684" s="31">
        <f t="shared" si="170"/>
        <v>0.89349112426035504</v>
      </c>
      <c r="AR684" s="31">
        <f t="shared" si="171"/>
        <v>0.75594493116395522</v>
      </c>
      <c r="AS684" s="29">
        <f t="shared" si="172"/>
        <v>22.256420118343197</v>
      </c>
      <c r="AT684" s="29">
        <f t="shared" si="173"/>
        <v>5.1863303543293346</v>
      </c>
      <c r="AU684" s="27" t="str">
        <f t="shared" si="174"/>
        <v>High</v>
      </c>
      <c r="AV684" s="27" t="str">
        <f t="shared" si="175"/>
        <v>Warning</v>
      </c>
      <c r="AW684" s="27"/>
    </row>
    <row r="685" spans="1:49" x14ac:dyDescent="0.25">
      <c r="A685" s="27">
        <v>684</v>
      </c>
      <c r="B685" s="28">
        <v>46189</v>
      </c>
      <c r="C685" s="28" t="str">
        <f t="shared" si="160"/>
        <v>June</v>
      </c>
      <c r="D685" s="27" t="s">
        <v>47</v>
      </c>
      <c r="E685" s="27" t="s">
        <v>129</v>
      </c>
      <c r="F685" s="27" t="s">
        <v>151</v>
      </c>
      <c r="G685" s="27" t="s">
        <v>50</v>
      </c>
      <c r="H685" s="27" t="s">
        <v>68</v>
      </c>
      <c r="I685" s="27" t="s">
        <v>808</v>
      </c>
      <c r="J685" s="27" t="s">
        <v>132</v>
      </c>
      <c r="K685" s="27">
        <v>506</v>
      </c>
      <c r="L685" s="27">
        <v>480</v>
      </c>
      <c r="M685" s="27">
        <v>446</v>
      </c>
      <c r="N685" s="27">
        <v>34</v>
      </c>
      <c r="O685" s="27">
        <v>11</v>
      </c>
      <c r="P685" s="27">
        <v>24</v>
      </c>
      <c r="Q685" s="27" t="s">
        <v>54</v>
      </c>
      <c r="R685" s="27">
        <v>64</v>
      </c>
      <c r="S685" s="27">
        <v>62</v>
      </c>
      <c r="T685" s="29">
        <v>64.900000000000006</v>
      </c>
      <c r="U685" s="29">
        <v>2.81</v>
      </c>
      <c r="V685" s="29">
        <v>19.510000000000002</v>
      </c>
      <c r="W685" s="30">
        <v>14742.85</v>
      </c>
      <c r="X685" s="27">
        <v>9.2899999999999991</v>
      </c>
      <c r="Y685" s="27" t="s">
        <v>110</v>
      </c>
      <c r="Z685" s="29">
        <v>24</v>
      </c>
      <c r="AA685" s="30">
        <v>23012.34</v>
      </c>
      <c r="AB685" s="29">
        <v>0.92916666666666703</v>
      </c>
      <c r="AC685" s="30">
        <v>19098.939999999999</v>
      </c>
      <c r="AD685" s="30">
        <v>337.85697916666697</v>
      </c>
      <c r="AE685" s="27">
        <v>539.73333333333301</v>
      </c>
      <c r="AF685" s="29">
        <v>0.95553359683794503</v>
      </c>
      <c r="AG685" s="30">
        <v>3575.54302083333</v>
      </c>
      <c r="AH685" s="31">
        <f t="shared" si="161"/>
        <v>0.9486166007905138</v>
      </c>
      <c r="AI685" s="31">
        <f t="shared" si="162"/>
        <v>7.0833333333333331E-2</v>
      </c>
      <c r="AJ685" s="31">
        <f t="shared" si="163"/>
        <v>2.2916666666666665E-2</v>
      </c>
      <c r="AK685" s="31">
        <f t="shared" si="164"/>
        <v>0.9291666666666667</v>
      </c>
      <c r="AL685" s="29">
        <f t="shared" si="165"/>
        <v>0.4</v>
      </c>
      <c r="AM685" s="29">
        <f t="shared" si="166"/>
        <v>515.73333333333301</v>
      </c>
      <c r="AN685" s="29">
        <f t="shared" si="167"/>
        <v>0.93071354705274101</v>
      </c>
      <c r="AO685" s="29">
        <f t="shared" si="168"/>
        <v>0.9375</v>
      </c>
      <c r="AP685" s="31">
        <f t="shared" si="169"/>
        <v>0.99276111685625712</v>
      </c>
      <c r="AQ685" s="31">
        <f t="shared" si="170"/>
        <v>0.9291666666666667</v>
      </c>
      <c r="AR685" s="31">
        <f t="shared" si="171"/>
        <v>0.88142292490118668</v>
      </c>
      <c r="AS685" s="29">
        <f t="shared" si="172"/>
        <v>39.789458333333329</v>
      </c>
      <c r="AT685" s="29">
        <f t="shared" si="173"/>
        <v>7.4490479600694375</v>
      </c>
      <c r="AU685" s="27" t="str">
        <f t="shared" si="174"/>
        <v>Medium</v>
      </c>
      <c r="AV685" s="27" t="str">
        <f t="shared" si="175"/>
        <v>Normal</v>
      </c>
      <c r="AW685" s="27"/>
    </row>
    <row r="686" spans="1:49" x14ac:dyDescent="0.25">
      <c r="A686" s="27">
        <v>685</v>
      </c>
      <c r="B686" s="28">
        <v>46174</v>
      </c>
      <c r="C686" s="28" t="str">
        <f t="shared" si="160"/>
        <v>June</v>
      </c>
      <c r="D686" s="27" t="s">
        <v>67</v>
      </c>
      <c r="E686" s="27" t="s">
        <v>129</v>
      </c>
      <c r="F686" s="27" t="s">
        <v>151</v>
      </c>
      <c r="G686" s="27" t="s">
        <v>63</v>
      </c>
      <c r="H686" s="27" t="s">
        <v>51</v>
      </c>
      <c r="I686" s="27" t="s">
        <v>809</v>
      </c>
      <c r="J686" s="27" t="s">
        <v>115</v>
      </c>
      <c r="K686" s="27">
        <v>848</v>
      </c>
      <c r="L686" s="27">
        <v>746</v>
      </c>
      <c r="M686" s="27">
        <v>705</v>
      </c>
      <c r="N686" s="27">
        <v>41</v>
      </c>
      <c r="O686" s="27">
        <v>8</v>
      </c>
      <c r="P686" s="27">
        <v>48</v>
      </c>
      <c r="Q686" s="27" t="s">
        <v>75</v>
      </c>
      <c r="R686" s="27">
        <v>42</v>
      </c>
      <c r="S686" s="27">
        <v>43</v>
      </c>
      <c r="T686" s="29">
        <v>76.099999999999994</v>
      </c>
      <c r="U686" s="29">
        <v>2.17</v>
      </c>
      <c r="V686" s="29">
        <v>24.58</v>
      </c>
      <c r="W686" s="30">
        <v>14285.46</v>
      </c>
      <c r="X686" s="27">
        <v>7.94</v>
      </c>
      <c r="Y686" s="27" t="s">
        <v>55</v>
      </c>
      <c r="Z686" s="29">
        <v>41</v>
      </c>
      <c r="AA686" s="30">
        <v>22422.799999999999</v>
      </c>
      <c r="AB686" s="29">
        <v>0.94504021447721198</v>
      </c>
      <c r="AC686" s="30">
        <v>18079.68</v>
      </c>
      <c r="AD686" s="30">
        <v>153.19528150133999</v>
      </c>
      <c r="AE686" s="27">
        <v>593.6</v>
      </c>
      <c r="AF686" s="29">
        <v>0.91913746630727799</v>
      </c>
      <c r="AG686" s="30">
        <v>4189.9247184986598</v>
      </c>
      <c r="AH686" s="31">
        <f t="shared" si="161"/>
        <v>0.87971698113207553</v>
      </c>
      <c r="AI686" s="31">
        <f t="shared" si="162"/>
        <v>5.4959785522788206E-2</v>
      </c>
      <c r="AJ686" s="31">
        <f t="shared" si="163"/>
        <v>1.0723860589812333E-2</v>
      </c>
      <c r="AK686" s="31">
        <f t="shared" si="164"/>
        <v>0.94504021447721176</v>
      </c>
      <c r="AL686" s="29">
        <f t="shared" si="165"/>
        <v>0.8</v>
      </c>
      <c r="AM686" s="29">
        <f t="shared" si="166"/>
        <v>545.6</v>
      </c>
      <c r="AN686" s="29">
        <f t="shared" si="167"/>
        <v>1.3673020527859236</v>
      </c>
      <c r="AO686" s="29">
        <f t="shared" si="168"/>
        <v>1.4285714285714286</v>
      </c>
      <c r="AP686" s="31">
        <f t="shared" si="169"/>
        <v>0.95711143695014655</v>
      </c>
      <c r="AQ686" s="31">
        <f t="shared" si="170"/>
        <v>0.94504021447721176</v>
      </c>
      <c r="AR686" s="31">
        <f t="shared" si="171"/>
        <v>0.8313679245283021</v>
      </c>
      <c r="AS686" s="29">
        <f t="shared" si="172"/>
        <v>24.235495978552279</v>
      </c>
      <c r="AT686" s="29">
        <f t="shared" si="173"/>
        <v>5.6165210703735386</v>
      </c>
      <c r="AU686" s="27" t="str">
        <f t="shared" si="174"/>
        <v>Medium</v>
      </c>
      <c r="AV686" s="27" t="str">
        <f t="shared" si="175"/>
        <v>Warning</v>
      </c>
      <c r="AW686" s="27"/>
    </row>
    <row r="687" spans="1:49" x14ac:dyDescent="0.25">
      <c r="A687" s="27">
        <v>686</v>
      </c>
      <c r="B687" s="28">
        <v>46046</v>
      </c>
      <c r="C687" s="28" t="str">
        <f t="shared" si="160"/>
        <v>January</v>
      </c>
      <c r="D687" s="27" t="s">
        <v>67</v>
      </c>
      <c r="E687" s="27" t="s">
        <v>98</v>
      </c>
      <c r="F687" s="27" t="s">
        <v>99</v>
      </c>
      <c r="G687" s="27" t="s">
        <v>63</v>
      </c>
      <c r="H687" s="27" t="s">
        <v>124</v>
      </c>
      <c r="I687" s="27" t="s">
        <v>810</v>
      </c>
      <c r="J687" s="27" t="s">
        <v>175</v>
      </c>
      <c r="K687" s="27">
        <v>544</v>
      </c>
      <c r="L687" s="27">
        <v>511</v>
      </c>
      <c r="M687" s="27">
        <v>486</v>
      </c>
      <c r="N687" s="27">
        <v>25</v>
      </c>
      <c r="O687" s="27">
        <v>7</v>
      </c>
      <c r="P687" s="27">
        <v>12</v>
      </c>
      <c r="Q687" s="27" t="s">
        <v>54</v>
      </c>
      <c r="R687" s="27">
        <v>57</v>
      </c>
      <c r="S687" s="27">
        <v>55</v>
      </c>
      <c r="T687" s="29">
        <v>69.400000000000006</v>
      </c>
      <c r="U687" s="29">
        <v>0.86</v>
      </c>
      <c r="V687" s="29">
        <v>16.05</v>
      </c>
      <c r="W687" s="30">
        <v>13973.18</v>
      </c>
      <c r="X687" s="27">
        <v>7.53</v>
      </c>
      <c r="Y687" s="27" t="s">
        <v>55</v>
      </c>
      <c r="Z687" s="29">
        <v>2</v>
      </c>
      <c r="AA687" s="30">
        <v>21992.74</v>
      </c>
      <c r="AB687" s="29">
        <v>0.95107632093933503</v>
      </c>
      <c r="AC687" s="30">
        <v>17506.13</v>
      </c>
      <c r="AD687" s="30">
        <v>191.41342465753399</v>
      </c>
      <c r="AE687" s="27">
        <v>516.79999999999995</v>
      </c>
      <c r="AF687" s="29">
        <v>0.976780185758514</v>
      </c>
      <c r="AG687" s="30">
        <v>4295.1965753424702</v>
      </c>
      <c r="AH687" s="31">
        <f t="shared" si="161"/>
        <v>0.93933823529411764</v>
      </c>
      <c r="AI687" s="31">
        <f t="shared" si="162"/>
        <v>4.8923679060665359E-2</v>
      </c>
      <c r="AJ687" s="31">
        <f t="shared" si="163"/>
        <v>1.3698630136986301E-2</v>
      </c>
      <c r="AK687" s="31">
        <f t="shared" si="164"/>
        <v>0.95107632093933459</v>
      </c>
      <c r="AL687" s="29">
        <f t="shared" si="165"/>
        <v>0.2</v>
      </c>
      <c r="AM687" s="29">
        <f t="shared" si="166"/>
        <v>504.79999999999995</v>
      </c>
      <c r="AN687" s="29">
        <f t="shared" si="167"/>
        <v>1.0122820919175912</v>
      </c>
      <c r="AO687" s="29">
        <f t="shared" si="168"/>
        <v>1.0526315789473684</v>
      </c>
      <c r="AP687" s="31">
        <f t="shared" si="169"/>
        <v>0.96166798732171166</v>
      </c>
      <c r="AQ687" s="31">
        <f t="shared" si="170"/>
        <v>0.95107632093933459</v>
      </c>
      <c r="AR687" s="31">
        <f t="shared" si="171"/>
        <v>0.89338235294117652</v>
      </c>
      <c r="AS687" s="29">
        <f t="shared" si="172"/>
        <v>34.258571428571429</v>
      </c>
      <c r="AT687" s="29">
        <f t="shared" si="173"/>
        <v>8.4054727501809587</v>
      </c>
      <c r="AU687" s="27" t="str">
        <f t="shared" si="174"/>
        <v>Low</v>
      </c>
      <c r="AV687" s="27" t="str">
        <f t="shared" si="175"/>
        <v>Normal</v>
      </c>
      <c r="AW687" s="27"/>
    </row>
    <row r="688" spans="1:49" x14ac:dyDescent="0.25">
      <c r="A688" s="27">
        <v>687</v>
      </c>
      <c r="B688" s="28">
        <v>46043</v>
      </c>
      <c r="C688" s="28" t="str">
        <f t="shared" si="160"/>
        <v>January</v>
      </c>
      <c r="D688" s="27" t="s">
        <v>47</v>
      </c>
      <c r="E688" s="27" t="s">
        <v>129</v>
      </c>
      <c r="F688" s="27" t="s">
        <v>151</v>
      </c>
      <c r="G688" s="27" t="s">
        <v>78</v>
      </c>
      <c r="H688" s="27" t="s">
        <v>68</v>
      </c>
      <c r="I688" s="27" t="s">
        <v>811</v>
      </c>
      <c r="J688" s="27" t="s">
        <v>186</v>
      </c>
      <c r="K688" s="27">
        <v>526</v>
      </c>
      <c r="L688" s="27">
        <v>382</v>
      </c>
      <c r="M688" s="27">
        <v>355</v>
      </c>
      <c r="N688" s="27">
        <v>27</v>
      </c>
      <c r="O688" s="27">
        <v>9</v>
      </c>
      <c r="P688" s="27">
        <v>26</v>
      </c>
      <c r="Q688" s="27" t="s">
        <v>54</v>
      </c>
      <c r="R688" s="27">
        <v>64</v>
      </c>
      <c r="S688" s="27">
        <v>64</v>
      </c>
      <c r="T688" s="29">
        <v>73.8</v>
      </c>
      <c r="U688" s="29">
        <v>2.5</v>
      </c>
      <c r="V688" s="29">
        <v>15.08</v>
      </c>
      <c r="W688" s="30">
        <v>11422.17</v>
      </c>
      <c r="X688" s="27">
        <v>6.57</v>
      </c>
      <c r="Y688" s="27" t="s">
        <v>55</v>
      </c>
      <c r="Z688" s="29">
        <v>19</v>
      </c>
      <c r="AA688" s="30">
        <v>19013.53</v>
      </c>
      <c r="AB688" s="29">
        <v>0.92931937172774903</v>
      </c>
      <c r="AC688" s="30">
        <v>14514.39</v>
      </c>
      <c r="AD688" s="30">
        <v>269.10871727748702</v>
      </c>
      <c r="AE688" s="27">
        <v>561.06666666666695</v>
      </c>
      <c r="AF688" s="29">
        <v>0.95365969581749099</v>
      </c>
      <c r="AG688" s="30">
        <v>4230.0312827225098</v>
      </c>
      <c r="AH688" s="31">
        <f t="shared" si="161"/>
        <v>0.72623574144486691</v>
      </c>
      <c r="AI688" s="31">
        <f t="shared" si="162"/>
        <v>7.0680628272251314E-2</v>
      </c>
      <c r="AJ688" s="31">
        <f t="shared" si="163"/>
        <v>2.356020942408377E-2</v>
      </c>
      <c r="AK688" s="31">
        <f t="shared" si="164"/>
        <v>0.9293193717277487</v>
      </c>
      <c r="AL688" s="29">
        <f t="shared" si="165"/>
        <v>0.43333333333333335</v>
      </c>
      <c r="AM688" s="29">
        <f t="shared" si="166"/>
        <v>535.06666666666695</v>
      </c>
      <c r="AN688" s="29">
        <f t="shared" si="167"/>
        <v>0.7139297283827557</v>
      </c>
      <c r="AO688" s="29">
        <f t="shared" si="168"/>
        <v>0.9375</v>
      </c>
      <c r="AP688" s="31">
        <f t="shared" si="169"/>
        <v>0.76152504360827278</v>
      </c>
      <c r="AQ688" s="31">
        <f t="shared" si="170"/>
        <v>0.9293193717277487</v>
      </c>
      <c r="AR688" s="31">
        <f t="shared" si="171"/>
        <v>0.67490494296577952</v>
      </c>
      <c r="AS688" s="29">
        <f t="shared" si="172"/>
        <v>37.995785340314136</v>
      </c>
      <c r="AT688" s="29">
        <f t="shared" si="173"/>
        <v>11.073380321263114</v>
      </c>
      <c r="AU688" s="27" t="str">
        <f t="shared" si="174"/>
        <v>High</v>
      </c>
      <c r="AV688" s="27" t="str">
        <f t="shared" si="175"/>
        <v>Critical</v>
      </c>
      <c r="AW688" s="27"/>
    </row>
    <row r="689" spans="1:49" x14ac:dyDescent="0.25">
      <c r="A689" s="27">
        <v>688</v>
      </c>
      <c r="B689" s="28">
        <v>46074</v>
      </c>
      <c r="C689" s="28" t="str">
        <f t="shared" si="160"/>
        <v>February</v>
      </c>
      <c r="D689" s="27" t="s">
        <v>67</v>
      </c>
      <c r="E689" s="27" t="s">
        <v>98</v>
      </c>
      <c r="F689" s="27" t="s">
        <v>99</v>
      </c>
      <c r="G689" s="27" t="s">
        <v>78</v>
      </c>
      <c r="H689" s="27" t="s">
        <v>57</v>
      </c>
      <c r="I689" s="27" t="s">
        <v>812</v>
      </c>
      <c r="J689" s="27" t="s">
        <v>191</v>
      </c>
      <c r="K689" s="27">
        <v>903</v>
      </c>
      <c r="L689" s="27">
        <v>798</v>
      </c>
      <c r="M689" s="27">
        <v>763</v>
      </c>
      <c r="N689" s="27">
        <v>35</v>
      </c>
      <c r="O689" s="27">
        <v>15</v>
      </c>
      <c r="P689" s="27">
        <v>39</v>
      </c>
      <c r="Q689" s="27" t="s">
        <v>94</v>
      </c>
      <c r="R689" s="27">
        <v>45</v>
      </c>
      <c r="S689" s="27">
        <v>50</v>
      </c>
      <c r="T689" s="29">
        <v>70.2</v>
      </c>
      <c r="U689" s="29">
        <v>1.57</v>
      </c>
      <c r="V689" s="29">
        <v>28.55</v>
      </c>
      <c r="W689" s="30">
        <v>15987.2</v>
      </c>
      <c r="X689" s="27">
        <v>7.33</v>
      </c>
      <c r="Y689" s="27" t="s">
        <v>66</v>
      </c>
      <c r="Z689" s="29">
        <v>10</v>
      </c>
      <c r="AA689" s="30">
        <v>27113.74</v>
      </c>
      <c r="AB689" s="29">
        <v>0.95614035087719296</v>
      </c>
      <c r="AC689" s="30">
        <v>19542.650000000001</v>
      </c>
      <c r="AD689" s="30">
        <v>300.51127819548901</v>
      </c>
      <c r="AE689" s="27">
        <v>677.25</v>
      </c>
      <c r="AF689" s="29">
        <v>0.94241417497231506</v>
      </c>
      <c r="AG689" s="30">
        <v>7270.5787218045098</v>
      </c>
      <c r="AH689" s="31">
        <f t="shared" si="161"/>
        <v>0.88372093023255816</v>
      </c>
      <c r="AI689" s="31">
        <f t="shared" si="162"/>
        <v>4.3859649122807015E-2</v>
      </c>
      <c r="AJ689" s="31">
        <f t="shared" si="163"/>
        <v>1.8796992481203006E-2</v>
      </c>
      <c r="AK689" s="31">
        <f t="shared" si="164"/>
        <v>0.95614035087719296</v>
      </c>
      <c r="AL689" s="29">
        <f t="shared" si="165"/>
        <v>0.65</v>
      </c>
      <c r="AM689" s="29">
        <f t="shared" si="166"/>
        <v>638.25</v>
      </c>
      <c r="AN689" s="29">
        <f t="shared" si="167"/>
        <v>1.2502937720329024</v>
      </c>
      <c r="AO689" s="29">
        <f t="shared" si="168"/>
        <v>1.3333333333333333</v>
      </c>
      <c r="AP689" s="31">
        <f t="shared" si="169"/>
        <v>0.93772032902467684</v>
      </c>
      <c r="AQ689" s="31">
        <f t="shared" si="170"/>
        <v>0.95614035087719296</v>
      </c>
      <c r="AR689" s="31">
        <f t="shared" si="171"/>
        <v>0.84496124031007791</v>
      </c>
      <c r="AS689" s="29">
        <f t="shared" si="172"/>
        <v>24.489536340852133</v>
      </c>
      <c r="AT689" s="29">
        <f t="shared" si="173"/>
        <v>9.1110009045169296</v>
      </c>
      <c r="AU689" s="27" t="str">
        <f t="shared" si="174"/>
        <v>Medium</v>
      </c>
      <c r="AV689" s="27" t="str">
        <f t="shared" si="175"/>
        <v>Warning</v>
      </c>
      <c r="AW689" s="27"/>
    </row>
    <row r="690" spans="1:49" x14ac:dyDescent="0.25">
      <c r="A690" s="27">
        <v>689</v>
      </c>
      <c r="B690" s="28">
        <v>46052</v>
      </c>
      <c r="C690" s="28" t="str">
        <f t="shared" si="160"/>
        <v>January</v>
      </c>
      <c r="D690" s="27" t="s">
        <v>47</v>
      </c>
      <c r="E690" s="27" t="s">
        <v>61</v>
      </c>
      <c r="F690" s="27" t="s">
        <v>95</v>
      </c>
      <c r="G690" s="27" t="s">
        <v>63</v>
      </c>
      <c r="H690" s="27" t="s">
        <v>79</v>
      </c>
      <c r="I690" s="27" t="s">
        <v>813</v>
      </c>
      <c r="J690" s="27" t="s">
        <v>59</v>
      </c>
      <c r="K690" s="27">
        <v>639</v>
      </c>
      <c r="L690" s="27">
        <v>617</v>
      </c>
      <c r="M690" s="27">
        <v>579</v>
      </c>
      <c r="N690" s="27">
        <v>38</v>
      </c>
      <c r="O690" s="27">
        <v>13</v>
      </c>
      <c r="P690" s="27">
        <v>0</v>
      </c>
      <c r="Q690" s="27" t="s">
        <v>60</v>
      </c>
      <c r="R690" s="27">
        <v>49</v>
      </c>
      <c r="S690" s="27">
        <v>51</v>
      </c>
      <c r="T690" s="29">
        <v>71.3</v>
      </c>
      <c r="U690" s="29">
        <v>1.91</v>
      </c>
      <c r="V690" s="29">
        <v>19.440000000000001</v>
      </c>
      <c r="W690" s="30">
        <v>13165.62</v>
      </c>
      <c r="X690" s="27">
        <v>10.130000000000001</v>
      </c>
      <c r="Y690" s="27" t="s">
        <v>55</v>
      </c>
      <c r="Z690" s="29">
        <v>15</v>
      </c>
      <c r="AA690" s="30">
        <v>22377.52</v>
      </c>
      <c r="AB690" s="29">
        <v>0.93841166936790898</v>
      </c>
      <c r="AC690" s="30">
        <v>17899.080000000002</v>
      </c>
      <c r="AD690" s="30">
        <v>277.39555915721201</v>
      </c>
      <c r="AE690" s="27">
        <v>521.85</v>
      </c>
      <c r="AF690" s="29">
        <v>1</v>
      </c>
      <c r="AG690" s="30">
        <v>4201.0444408427902</v>
      </c>
      <c r="AH690" s="31">
        <f t="shared" si="161"/>
        <v>0.96557120500782467</v>
      </c>
      <c r="AI690" s="31">
        <f t="shared" si="162"/>
        <v>6.1588330632090758E-2</v>
      </c>
      <c r="AJ690" s="31">
        <f t="shared" si="163"/>
        <v>2.1069692058346839E-2</v>
      </c>
      <c r="AK690" s="31">
        <f t="shared" si="164"/>
        <v>0.93841166936790921</v>
      </c>
      <c r="AL690" s="29">
        <f t="shared" si="165"/>
        <v>0</v>
      </c>
      <c r="AM690" s="29">
        <f t="shared" si="166"/>
        <v>521.85</v>
      </c>
      <c r="AN690" s="29">
        <f t="shared" si="167"/>
        <v>1.1823320877646832</v>
      </c>
      <c r="AO690" s="29">
        <f t="shared" si="168"/>
        <v>1.2244897959183674</v>
      </c>
      <c r="AP690" s="31">
        <f t="shared" si="169"/>
        <v>0.96557120500782467</v>
      </c>
      <c r="AQ690" s="31">
        <f t="shared" si="170"/>
        <v>0.93841166936790921</v>
      </c>
      <c r="AR690" s="31">
        <f t="shared" si="171"/>
        <v>0.90610328638497639</v>
      </c>
      <c r="AS690" s="29">
        <f t="shared" si="172"/>
        <v>29.009854132901136</v>
      </c>
      <c r="AT690" s="29">
        <f t="shared" si="173"/>
        <v>6.8088240532298059</v>
      </c>
      <c r="AU690" s="27" t="str">
        <f t="shared" si="174"/>
        <v>Low</v>
      </c>
      <c r="AV690" s="27" t="str">
        <f t="shared" si="175"/>
        <v>Normal</v>
      </c>
      <c r="AW690" s="27"/>
    </row>
    <row r="691" spans="1:49" x14ac:dyDescent="0.25">
      <c r="A691" s="27">
        <v>690</v>
      </c>
      <c r="B691" s="28">
        <v>46033</v>
      </c>
      <c r="C691" s="28" t="str">
        <f t="shared" si="160"/>
        <v>January</v>
      </c>
      <c r="D691" s="27" t="s">
        <v>67</v>
      </c>
      <c r="E691" s="27" t="s">
        <v>76</v>
      </c>
      <c r="F691" s="27" t="s">
        <v>113</v>
      </c>
      <c r="G691" s="27" t="s">
        <v>63</v>
      </c>
      <c r="H691" s="27" t="s">
        <v>57</v>
      </c>
      <c r="I691" s="27" t="s">
        <v>814</v>
      </c>
      <c r="J691" s="27" t="s">
        <v>121</v>
      </c>
      <c r="K691" s="27">
        <v>934</v>
      </c>
      <c r="L691" s="27">
        <v>1002</v>
      </c>
      <c r="M691" s="27">
        <v>963</v>
      </c>
      <c r="N691" s="27">
        <v>39</v>
      </c>
      <c r="O691" s="27">
        <v>13</v>
      </c>
      <c r="P691" s="27">
        <v>0</v>
      </c>
      <c r="Q691" s="27" t="s">
        <v>60</v>
      </c>
      <c r="R691" s="27">
        <v>45</v>
      </c>
      <c r="S691" s="27">
        <v>49</v>
      </c>
      <c r="T691" s="29">
        <v>67.400000000000006</v>
      </c>
      <c r="U691" s="29">
        <v>1.56</v>
      </c>
      <c r="V691" s="29">
        <v>36.979999999999997</v>
      </c>
      <c r="W691" s="30">
        <v>20250.68</v>
      </c>
      <c r="X691" s="27">
        <v>9.69</v>
      </c>
      <c r="Y691" s="27" t="s">
        <v>55</v>
      </c>
      <c r="Z691" s="29">
        <v>4</v>
      </c>
      <c r="AA691" s="30">
        <v>33524.79</v>
      </c>
      <c r="AB691" s="29">
        <v>0.96107784431137699</v>
      </c>
      <c r="AC691" s="30">
        <v>24944</v>
      </c>
      <c r="AD691" s="30">
        <v>262.73337325349303</v>
      </c>
      <c r="AE691" s="27">
        <v>700.5</v>
      </c>
      <c r="AF691" s="29">
        <v>1</v>
      </c>
      <c r="AG691" s="30">
        <v>8318.0566267465092</v>
      </c>
      <c r="AH691" s="31">
        <f t="shared" si="161"/>
        <v>1.0728051391862956</v>
      </c>
      <c r="AI691" s="31">
        <f t="shared" si="162"/>
        <v>3.8922155688622756E-2</v>
      </c>
      <c r="AJ691" s="31">
        <f t="shared" si="163"/>
        <v>1.2974051896207584E-2</v>
      </c>
      <c r="AK691" s="31">
        <f t="shared" si="164"/>
        <v>0.96107784431137722</v>
      </c>
      <c r="AL691" s="29">
        <f t="shared" si="165"/>
        <v>0</v>
      </c>
      <c r="AM691" s="29">
        <f t="shared" si="166"/>
        <v>700.5</v>
      </c>
      <c r="AN691" s="29">
        <f t="shared" si="167"/>
        <v>1.4304068522483939</v>
      </c>
      <c r="AO691" s="29">
        <f t="shared" si="168"/>
        <v>1.3333333333333333</v>
      </c>
      <c r="AP691" s="31">
        <f t="shared" si="169"/>
        <v>1.0728051391862956</v>
      </c>
      <c r="AQ691" s="31">
        <f t="shared" si="170"/>
        <v>0.96107784431137722</v>
      </c>
      <c r="AR691" s="31">
        <f t="shared" si="171"/>
        <v>1.0310492505353319</v>
      </c>
      <c r="AS691" s="29">
        <f t="shared" si="172"/>
        <v>24.894211576846306</v>
      </c>
      <c r="AT691" s="29">
        <f t="shared" si="173"/>
        <v>8.3014537193078937</v>
      </c>
      <c r="AU691" s="27" t="str">
        <f t="shared" si="174"/>
        <v>Low</v>
      </c>
      <c r="AV691" s="27" t="str">
        <f t="shared" si="175"/>
        <v>Normal</v>
      </c>
      <c r="AW691" s="27"/>
    </row>
    <row r="692" spans="1:49" x14ac:dyDescent="0.25">
      <c r="A692" s="27">
        <v>691</v>
      </c>
      <c r="B692" s="28">
        <v>46120</v>
      </c>
      <c r="C692" s="28" t="str">
        <f t="shared" si="160"/>
        <v>April</v>
      </c>
      <c r="D692" s="27" t="s">
        <v>47</v>
      </c>
      <c r="E692" s="27" t="s">
        <v>98</v>
      </c>
      <c r="F692" s="27" t="s">
        <v>105</v>
      </c>
      <c r="G692" s="27" t="s">
        <v>63</v>
      </c>
      <c r="H692" s="27" t="s">
        <v>68</v>
      </c>
      <c r="I692" s="27" t="s">
        <v>815</v>
      </c>
      <c r="J692" s="27" t="s">
        <v>186</v>
      </c>
      <c r="K692" s="27">
        <v>572</v>
      </c>
      <c r="L692" s="27">
        <v>516</v>
      </c>
      <c r="M692" s="27">
        <v>481</v>
      </c>
      <c r="N692" s="27">
        <v>35</v>
      </c>
      <c r="O692" s="27">
        <v>11</v>
      </c>
      <c r="P692" s="27">
        <v>52</v>
      </c>
      <c r="Q692" s="27" t="s">
        <v>91</v>
      </c>
      <c r="R692" s="27">
        <v>64</v>
      </c>
      <c r="S692" s="27">
        <v>65</v>
      </c>
      <c r="T692" s="29">
        <v>79.400000000000006</v>
      </c>
      <c r="U692" s="29">
        <v>1.49</v>
      </c>
      <c r="V692" s="29">
        <v>18.3</v>
      </c>
      <c r="W692" s="30">
        <v>16585.32</v>
      </c>
      <c r="X692" s="27">
        <v>6.69</v>
      </c>
      <c r="Y692" s="27" t="s">
        <v>110</v>
      </c>
      <c r="Z692" s="29">
        <v>24</v>
      </c>
      <c r="AA692" s="30">
        <v>24658</v>
      </c>
      <c r="AB692" s="29">
        <v>0.93217054263565902</v>
      </c>
      <c r="AC692" s="30">
        <v>19760.52</v>
      </c>
      <c r="AD692" s="30">
        <v>353.56302325581402</v>
      </c>
      <c r="AE692" s="27">
        <v>610.13333333333298</v>
      </c>
      <c r="AF692" s="29">
        <v>0.91477272727272696</v>
      </c>
      <c r="AG692" s="30">
        <v>4543.9169767441899</v>
      </c>
      <c r="AH692" s="31">
        <f t="shared" si="161"/>
        <v>0.90209790209790208</v>
      </c>
      <c r="AI692" s="31">
        <f t="shared" si="162"/>
        <v>6.7829457364341081E-2</v>
      </c>
      <c r="AJ692" s="31">
        <f t="shared" si="163"/>
        <v>2.1317829457364341E-2</v>
      </c>
      <c r="AK692" s="31">
        <f t="shared" si="164"/>
        <v>0.93217054263565891</v>
      </c>
      <c r="AL692" s="29">
        <f t="shared" si="165"/>
        <v>0.8666666666666667</v>
      </c>
      <c r="AM692" s="29">
        <f t="shared" si="166"/>
        <v>558.13333333333298</v>
      </c>
      <c r="AN692" s="29">
        <f t="shared" si="167"/>
        <v>0.92451027233635985</v>
      </c>
      <c r="AO692" s="29">
        <f t="shared" si="168"/>
        <v>0.9375</v>
      </c>
      <c r="AP692" s="31">
        <f t="shared" si="169"/>
        <v>0.98614429049211716</v>
      </c>
      <c r="AQ692" s="31">
        <f t="shared" si="170"/>
        <v>0.93217054263565891</v>
      </c>
      <c r="AR692" s="31">
        <f t="shared" si="171"/>
        <v>0.84090909090909105</v>
      </c>
      <c r="AS692" s="29">
        <f t="shared" si="172"/>
        <v>38.29558139534884</v>
      </c>
      <c r="AT692" s="29">
        <f t="shared" si="173"/>
        <v>8.8060406526050201</v>
      </c>
      <c r="AU692" s="27" t="str">
        <f t="shared" si="174"/>
        <v>Medium</v>
      </c>
      <c r="AV692" s="27" t="str">
        <f t="shared" si="175"/>
        <v>Warning</v>
      </c>
      <c r="AW692" s="27"/>
    </row>
    <row r="693" spans="1:49" x14ac:dyDescent="0.25">
      <c r="A693" s="27">
        <v>692</v>
      </c>
      <c r="B693" s="28">
        <v>46133</v>
      </c>
      <c r="C693" s="28" t="str">
        <f t="shared" si="160"/>
        <v>April</v>
      </c>
      <c r="D693" s="27" t="s">
        <v>47</v>
      </c>
      <c r="E693" s="27" t="s">
        <v>48</v>
      </c>
      <c r="F693" s="27" t="s">
        <v>72</v>
      </c>
      <c r="G693" s="27" t="s">
        <v>63</v>
      </c>
      <c r="H693" s="27" t="s">
        <v>124</v>
      </c>
      <c r="I693" s="27" t="s">
        <v>816</v>
      </c>
      <c r="J693" s="27" t="s">
        <v>128</v>
      </c>
      <c r="K693" s="27">
        <v>736</v>
      </c>
      <c r="L693" s="27">
        <v>673</v>
      </c>
      <c r="M693" s="27">
        <v>648</v>
      </c>
      <c r="N693" s="27">
        <v>25</v>
      </c>
      <c r="O693" s="27">
        <v>5</v>
      </c>
      <c r="P693" s="27">
        <v>24</v>
      </c>
      <c r="Q693" s="27" t="s">
        <v>54</v>
      </c>
      <c r="R693" s="27">
        <v>57</v>
      </c>
      <c r="S693" s="27">
        <v>60</v>
      </c>
      <c r="T693" s="29">
        <v>80.900000000000006</v>
      </c>
      <c r="U693" s="29">
        <v>2.1800000000000002</v>
      </c>
      <c r="V693" s="29">
        <v>28.73</v>
      </c>
      <c r="W693" s="30">
        <v>19492.939999999999</v>
      </c>
      <c r="X693" s="27">
        <v>9</v>
      </c>
      <c r="Y693" s="27" t="s">
        <v>55</v>
      </c>
      <c r="Z693" s="29">
        <v>22</v>
      </c>
      <c r="AA693" s="30">
        <v>30137.7</v>
      </c>
      <c r="AB693" s="29">
        <v>0.96285289747399705</v>
      </c>
      <c r="AC693" s="30">
        <v>23801.51</v>
      </c>
      <c r="AD693" s="30">
        <v>144.821248142645</v>
      </c>
      <c r="AE693" s="27">
        <v>699.2</v>
      </c>
      <c r="AF693" s="29">
        <v>0.96567505720823799</v>
      </c>
      <c r="AG693" s="30">
        <v>6191.3687518573597</v>
      </c>
      <c r="AH693" s="31">
        <f t="shared" si="161"/>
        <v>0.91440217391304346</v>
      </c>
      <c r="AI693" s="31">
        <f t="shared" si="162"/>
        <v>3.7147102526002972E-2</v>
      </c>
      <c r="AJ693" s="31">
        <f t="shared" si="163"/>
        <v>7.429420505200594E-3</v>
      </c>
      <c r="AK693" s="31">
        <f t="shared" si="164"/>
        <v>0.96285289747399705</v>
      </c>
      <c r="AL693" s="29">
        <f t="shared" si="165"/>
        <v>0.4</v>
      </c>
      <c r="AM693" s="29">
        <f t="shared" si="166"/>
        <v>675.2</v>
      </c>
      <c r="AN693" s="29">
        <f t="shared" si="167"/>
        <v>0.99674170616113733</v>
      </c>
      <c r="AO693" s="29">
        <f t="shared" si="168"/>
        <v>1.0526315789473684</v>
      </c>
      <c r="AP693" s="31">
        <f t="shared" si="169"/>
        <v>0.94690462085308047</v>
      </c>
      <c r="AQ693" s="31">
        <f t="shared" si="170"/>
        <v>0.96285289747399705</v>
      </c>
      <c r="AR693" s="31">
        <f t="shared" si="171"/>
        <v>0.88043478260869557</v>
      </c>
      <c r="AS693" s="29">
        <f t="shared" si="172"/>
        <v>35.366285289747395</v>
      </c>
      <c r="AT693" s="29">
        <f t="shared" si="173"/>
        <v>9.1996563920614562</v>
      </c>
      <c r="AU693" s="27" t="str">
        <f t="shared" si="174"/>
        <v>Medium</v>
      </c>
      <c r="AV693" s="27" t="str">
        <f t="shared" si="175"/>
        <v>Warning</v>
      </c>
      <c r="AW693" s="27"/>
    </row>
    <row r="694" spans="1:49" x14ac:dyDescent="0.25">
      <c r="A694" s="27">
        <v>693</v>
      </c>
      <c r="B694" s="28">
        <v>46180</v>
      </c>
      <c r="C694" s="28" t="str">
        <f t="shared" si="160"/>
        <v>June</v>
      </c>
      <c r="D694" s="27" t="s">
        <v>67</v>
      </c>
      <c r="E694" s="27" t="s">
        <v>98</v>
      </c>
      <c r="F694" s="27" t="s">
        <v>105</v>
      </c>
      <c r="G694" s="27" t="s">
        <v>50</v>
      </c>
      <c r="H694" s="27" t="s">
        <v>79</v>
      </c>
      <c r="I694" s="27" t="s">
        <v>817</v>
      </c>
      <c r="J694" s="27" t="s">
        <v>164</v>
      </c>
      <c r="K694" s="27">
        <v>895</v>
      </c>
      <c r="L694" s="27">
        <v>876</v>
      </c>
      <c r="M694" s="27">
        <v>823</v>
      </c>
      <c r="N694" s="27">
        <v>53</v>
      </c>
      <c r="O694" s="27">
        <v>16</v>
      </c>
      <c r="P694" s="27">
        <v>15</v>
      </c>
      <c r="Q694" s="27" t="s">
        <v>102</v>
      </c>
      <c r="R694" s="27">
        <v>49</v>
      </c>
      <c r="S694" s="27">
        <v>47</v>
      </c>
      <c r="T694" s="29">
        <v>70.3</v>
      </c>
      <c r="U694" s="29">
        <v>1.66</v>
      </c>
      <c r="V694" s="29">
        <v>26.96</v>
      </c>
      <c r="W694" s="30">
        <v>20305.29</v>
      </c>
      <c r="X694" s="27">
        <v>9.9</v>
      </c>
      <c r="Y694" s="27" t="s">
        <v>55</v>
      </c>
      <c r="Z694" s="29">
        <v>15</v>
      </c>
      <c r="AA694" s="30">
        <v>31719.55</v>
      </c>
      <c r="AB694" s="29">
        <v>0.93949771689497696</v>
      </c>
      <c r="AC694" s="30">
        <v>25002.93</v>
      </c>
      <c r="AD694" s="30">
        <v>370.872876712329</v>
      </c>
      <c r="AE694" s="27">
        <v>730.91666666666697</v>
      </c>
      <c r="AF694" s="29">
        <v>0.97947782464941302</v>
      </c>
      <c r="AG694" s="30">
        <v>6345.7471232876696</v>
      </c>
      <c r="AH694" s="31">
        <f t="shared" si="161"/>
        <v>0.97877094972067036</v>
      </c>
      <c r="AI694" s="31">
        <f t="shared" si="162"/>
        <v>6.0502283105022828E-2</v>
      </c>
      <c r="AJ694" s="31">
        <f t="shared" si="163"/>
        <v>1.8264840182648401E-2</v>
      </c>
      <c r="AK694" s="31">
        <f t="shared" si="164"/>
        <v>0.93949771689497719</v>
      </c>
      <c r="AL694" s="29">
        <f t="shared" si="165"/>
        <v>0.25</v>
      </c>
      <c r="AM694" s="29">
        <f t="shared" si="166"/>
        <v>715.91666666666697</v>
      </c>
      <c r="AN694" s="29">
        <f t="shared" si="167"/>
        <v>1.2236060994063549</v>
      </c>
      <c r="AO694" s="29">
        <f t="shared" si="168"/>
        <v>1.2244897959183674</v>
      </c>
      <c r="AP694" s="31">
        <f t="shared" si="169"/>
        <v>0.99927831451518978</v>
      </c>
      <c r="AQ694" s="31">
        <f t="shared" si="170"/>
        <v>0.93949771689497719</v>
      </c>
      <c r="AR694" s="31">
        <f t="shared" si="171"/>
        <v>0.91955307262569796</v>
      </c>
      <c r="AS694" s="29">
        <f t="shared" si="172"/>
        <v>28.542157534246577</v>
      </c>
      <c r="AT694" s="29">
        <f t="shared" si="173"/>
        <v>7.2440035653968833</v>
      </c>
      <c r="AU694" s="27" t="str">
        <f t="shared" si="174"/>
        <v>Low</v>
      </c>
      <c r="AV694" s="27" t="str">
        <f t="shared" si="175"/>
        <v>Normal</v>
      </c>
      <c r="AW694" s="27"/>
    </row>
    <row r="695" spans="1:49" x14ac:dyDescent="0.25">
      <c r="A695" s="27">
        <v>694</v>
      </c>
      <c r="B695" s="28">
        <v>46082</v>
      </c>
      <c r="C695" s="28" t="str">
        <f t="shared" si="160"/>
        <v>March</v>
      </c>
      <c r="D695" s="27" t="s">
        <v>67</v>
      </c>
      <c r="E695" s="27" t="s">
        <v>76</v>
      </c>
      <c r="F695" s="27" t="s">
        <v>119</v>
      </c>
      <c r="G695" s="27" t="s">
        <v>63</v>
      </c>
      <c r="H695" s="27" t="s">
        <v>51</v>
      </c>
      <c r="I695" s="27" t="s">
        <v>818</v>
      </c>
      <c r="J695" s="27" t="s">
        <v>134</v>
      </c>
      <c r="K695" s="27">
        <v>751</v>
      </c>
      <c r="L695" s="27">
        <v>750</v>
      </c>
      <c r="M695" s="27">
        <v>681</v>
      </c>
      <c r="N695" s="27">
        <v>69</v>
      </c>
      <c r="O695" s="27">
        <v>14</v>
      </c>
      <c r="P695" s="27">
        <v>25</v>
      </c>
      <c r="Q695" s="27" t="s">
        <v>94</v>
      </c>
      <c r="R695" s="27">
        <v>42</v>
      </c>
      <c r="S695" s="27">
        <v>43</v>
      </c>
      <c r="T695" s="29">
        <v>77.3</v>
      </c>
      <c r="U695" s="29">
        <v>1.42</v>
      </c>
      <c r="V695" s="29">
        <v>27.77</v>
      </c>
      <c r="W695" s="30">
        <v>14121.34</v>
      </c>
      <c r="X695" s="27">
        <v>7.47</v>
      </c>
      <c r="Y695" s="27" t="s">
        <v>55</v>
      </c>
      <c r="Z695" s="29">
        <v>20</v>
      </c>
      <c r="AA695" s="30">
        <v>22303.23</v>
      </c>
      <c r="AB695" s="29">
        <v>0.90800000000000003</v>
      </c>
      <c r="AC695" s="30">
        <v>17732.77</v>
      </c>
      <c r="AD695" s="30">
        <v>263.598346666667</v>
      </c>
      <c r="AE695" s="27">
        <v>525.70000000000005</v>
      </c>
      <c r="AF695" s="29">
        <v>0.952444359901084</v>
      </c>
      <c r="AG695" s="30">
        <v>4306.8616533333297</v>
      </c>
      <c r="AH695" s="31">
        <f t="shared" si="161"/>
        <v>0.99866844207723038</v>
      </c>
      <c r="AI695" s="31">
        <f t="shared" si="162"/>
        <v>9.1999999999999998E-2</v>
      </c>
      <c r="AJ695" s="31">
        <f t="shared" si="163"/>
        <v>1.8666666666666668E-2</v>
      </c>
      <c r="AK695" s="31">
        <f t="shared" si="164"/>
        <v>0.90800000000000003</v>
      </c>
      <c r="AL695" s="29">
        <f t="shared" si="165"/>
        <v>0.41666666666666669</v>
      </c>
      <c r="AM695" s="29">
        <f t="shared" si="166"/>
        <v>500.70000000000005</v>
      </c>
      <c r="AN695" s="29">
        <f t="shared" si="167"/>
        <v>1.4979029358897542</v>
      </c>
      <c r="AO695" s="29">
        <f t="shared" si="168"/>
        <v>1.4285714285714286</v>
      </c>
      <c r="AP695" s="31">
        <f t="shared" si="169"/>
        <v>1.0485320551228279</v>
      </c>
      <c r="AQ695" s="31">
        <f t="shared" si="170"/>
        <v>0.90800000000000003</v>
      </c>
      <c r="AR695" s="31">
        <f t="shared" si="171"/>
        <v>0.90679094540612482</v>
      </c>
      <c r="AS695" s="29">
        <f t="shared" si="172"/>
        <v>23.643693333333335</v>
      </c>
      <c r="AT695" s="29">
        <f t="shared" si="173"/>
        <v>5.7424822044444399</v>
      </c>
      <c r="AU695" s="27" t="str">
        <f t="shared" si="174"/>
        <v>Medium</v>
      </c>
      <c r="AV695" s="27" t="str">
        <f t="shared" si="175"/>
        <v>Warning</v>
      </c>
      <c r="AW695" s="27"/>
    </row>
    <row r="696" spans="1:49" x14ac:dyDescent="0.25">
      <c r="A696" s="27">
        <v>695</v>
      </c>
      <c r="B696" s="28">
        <v>46195</v>
      </c>
      <c r="C696" s="28" t="str">
        <f t="shared" si="160"/>
        <v>June</v>
      </c>
      <c r="D696" s="27" t="s">
        <v>67</v>
      </c>
      <c r="E696" s="27" t="s">
        <v>98</v>
      </c>
      <c r="F696" s="27" t="s">
        <v>126</v>
      </c>
      <c r="G696" s="27" t="s">
        <v>63</v>
      </c>
      <c r="H696" s="27" t="s">
        <v>124</v>
      </c>
      <c r="I696" s="27" t="s">
        <v>819</v>
      </c>
      <c r="J696" s="27" t="s">
        <v>81</v>
      </c>
      <c r="K696" s="27">
        <v>558</v>
      </c>
      <c r="L696" s="27">
        <v>493</v>
      </c>
      <c r="M696" s="27">
        <v>459</v>
      </c>
      <c r="N696" s="27">
        <v>34</v>
      </c>
      <c r="O696" s="27">
        <v>7</v>
      </c>
      <c r="P696" s="27">
        <v>0</v>
      </c>
      <c r="Q696" s="27" t="s">
        <v>60</v>
      </c>
      <c r="R696" s="27">
        <v>57</v>
      </c>
      <c r="S696" s="27">
        <v>62</v>
      </c>
      <c r="T696" s="29">
        <v>73</v>
      </c>
      <c r="U696" s="29">
        <v>2.04</v>
      </c>
      <c r="V696" s="29">
        <v>19.600000000000001</v>
      </c>
      <c r="W696" s="30">
        <v>13689.24</v>
      </c>
      <c r="X696" s="27">
        <v>6.69</v>
      </c>
      <c r="Y696" s="27" t="s">
        <v>66</v>
      </c>
      <c r="Z696" s="29">
        <v>24</v>
      </c>
      <c r="AA696" s="30">
        <v>21106.85</v>
      </c>
      <c r="AB696" s="29">
        <v>0.931034482758621</v>
      </c>
      <c r="AC696" s="30">
        <v>16876.14</v>
      </c>
      <c r="AD696" s="30">
        <v>194.370547667343</v>
      </c>
      <c r="AE696" s="27">
        <v>530.1</v>
      </c>
      <c r="AF696" s="29">
        <v>1</v>
      </c>
      <c r="AG696" s="30">
        <v>4036.3394523326601</v>
      </c>
      <c r="AH696" s="31">
        <f t="shared" si="161"/>
        <v>0.88351254480286734</v>
      </c>
      <c r="AI696" s="31">
        <f t="shared" si="162"/>
        <v>6.8965517241379309E-2</v>
      </c>
      <c r="AJ696" s="31">
        <f t="shared" si="163"/>
        <v>1.4198782961460446E-2</v>
      </c>
      <c r="AK696" s="31">
        <f t="shared" si="164"/>
        <v>0.93103448275862066</v>
      </c>
      <c r="AL696" s="29">
        <f t="shared" si="165"/>
        <v>0</v>
      </c>
      <c r="AM696" s="29">
        <f t="shared" si="166"/>
        <v>530.1</v>
      </c>
      <c r="AN696" s="29">
        <f t="shared" si="167"/>
        <v>0.93001320505564988</v>
      </c>
      <c r="AO696" s="29">
        <f t="shared" si="168"/>
        <v>1.0526315789473684</v>
      </c>
      <c r="AP696" s="31">
        <f t="shared" si="169"/>
        <v>0.88351254480286745</v>
      </c>
      <c r="AQ696" s="31">
        <f t="shared" si="170"/>
        <v>0.93103448275862066</v>
      </c>
      <c r="AR696" s="31">
        <f t="shared" si="171"/>
        <v>0.82258064516129037</v>
      </c>
      <c r="AS696" s="29">
        <f t="shared" si="172"/>
        <v>34.231521298174442</v>
      </c>
      <c r="AT696" s="29">
        <f t="shared" si="173"/>
        <v>8.1873011203502237</v>
      </c>
      <c r="AU696" s="27" t="str">
        <f t="shared" si="174"/>
        <v>Medium</v>
      </c>
      <c r="AV696" s="27" t="str">
        <f t="shared" si="175"/>
        <v>Warning</v>
      </c>
      <c r="AW696" s="27"/>
    </row>
    <row r="697" spans="1:49" x14ac:dyDescent="0.25">
      <c r="A697" s="27">
        <v>696</v>
      </c>
      <c r="B697" s="28">
        <v>46164</v>
      </c>
      <c r="C697" s="28" t="str">
        <f t="shared" si="160"/>
        <v>May</v>
      </c>
      <c r="D697" s="27" t="s">
        <v>47</v>
      </c>
      <c r="E697" s="27" t="s">
        <v>98</v>
      </c>
      <c r="F697" s="27" t="s">
        <v>99</v>
      </c>
      <c r="G697" s="27" t="s">
        <v>50</v>
      </c>
      <c r="H697" s="27" t="s">
        <v>68</v>
      </c>
      <c r="I697" s="27" t="s">
        <v>820</v>
      </c>
      <c r="J697" s="27" t="s">
        <v>286</v>
      </c>
      <c r="K697" s="27">
        <v>535</v>
      </c>
      <c r="L697" s="27">
        <v>583</v>
      </c>
      <c r="M697" s="27">
        <v>554</v>
      </c>
      <c r="N697" s="27">
        <v>29</v>
      </c>
      <c r="O697" s="27">
        <v>7</v>
      </c>
      <c r="P697" s="27">
        <v>10</v>
      </c>
      <c r="Q697" s="27" t="s">
        <v>104</v>
      </c>
      <c r="R697" s="27">
        <v>64</v>
      </c>
      <c r="S697" s="27">
        <v>69</v>
      </c>
      <c r="T697" s="29">
        <v>74.5</v>
      </c>
      <c r="U697" s="29">
        <v>1.42</v>
      </c>
      <c r="V697" s="29">
        <v>17.260000000000002</v>
      </c>
      <c r="W697" s="30">
        <v>17903.04</v>
      </c>
      <c r="X697" s="27">
        <v>10.15</v>
      </c>
      <c r="Y697" s="27" t="s">
        <v>110</v>
      </c>
      <c r="Z697" s="29">
        <v>39</v>
      </c>
      <c r="AA697" s="30">
        <v>28594.21</v>
      </c>
      <c r="AB697" s="29">
        <v>0.95025728987993097</v>
      </c>
      <c r="AC697" s="30">
        <v>22625.88</v>
      </c>
      <c r="AD697" s="30">
        <v>214.95931389365401</v>
      </c>
      <c r="AE697" s="27">
        <v>570.66666666666697</v>
      </c>
      <c r="AF697" s="29">
        <v>0.98247663551401898</v>
      </c>
      <c r="AG697" s="30">
        <v>5753.3706861063501</v>
      </c>
      <c r="AH697" s="31">
        <f t="shared" si="161"/>
        <v>1.0897196261682243</v>
      </c>
      <c r="AI697" s="31">
        <f t="shared" si="162"/>
        <v>4.974271012006861E-2</v>
      </c>
      <c r="AJ697" s="31">
        <f t="shared" si="163"/>
        <v>1.2006861063464836E-2</v>
      </c>
      <c r="AK697" s="31">
        <f t="shared" si="164"/>
        <v>0.95025728987993141</v>
      </c>
      <c r="AL697" s="29">
        <f t="shared" si="165"/>
        <v>0.16666666666666666</v>
      </c>
      <c r="AM697" s="29">
        <f t="shared" si="166"/>
        <v>560.66666666666697</v>
      </c>
      <c r="AN697" s="29">
        <f t="shared" si="167"/>
        <v>1.0398335315101064</v>
      </c>
      <c r="AO697" s="29">
        <f t="shared" si="168"/>
        <v>0.9375</v>
      </c>
      <c r="AP697" s="31">
        <f t="shared" si="169"/>
        <v>1.1091557669441134</v>
      </c>
      <c r="AQ697" s="31">
        <f t="shared" si="170"/>
        <v>0.95025728987993141</v>
      </c>
      <c r="AR697" s="31">
        <f t="shared" si="171"/>
        <v>1.0355140186915883</v>
      </c>
      <c r="AS697" s="29">
        <f t="shared" si="172"/>
        <v>38.80939965694683</v>
      </c>
      <c r="AT697" s="29">
        <f t="shared" si="173"/>
        <v>9.8685603535271866</v>
      </c>
      <c r="AU697" s="27" t="str">
        <f t="shared" si="174"/>
        <v>Medium</v>
      </c>
      <c r="AV697" s="27" t="str">
        <f t="shared" si="175"/>
        <v>Normal</v>
      </c>
      <c r="AW697" s="27"/>
    </row>
    <row r="698" spans="1:49" x14ac:dyDescent="0.25">
      <c r="A698" s="27">
        <v>697</v>
      </c>
      <c r="B698" s="28">
        <v>46162</v>
      </c>
      <c r="C698" s="28" t="str">
        <f t="shared" si="160"/>
        <v>May</v>
      </c>
      <c r="D698" s="27" t="s">
        <v>47</v>
      </c>
      <c r="E698" s="27" t="s">
        <v>129</v>
      </c>
      <c r="F698" s="27" t="s">
        <v>130</v>
      </c>
      <c r="G698" s="27" t="s">
        <v>63</v>
      </c>
      <c r="H698" s="27" t="s">
        <v>79</v>
      </c>
      <c r="I698" s="27" t="s">
        <v>821</v>
      </c>
      <c r="J698" s="27" t="s">
        <v>81</v>
      </c>
      <c r="K698" s="27">
        <v>779</v>
      </c>
      <c r="L698" s="27">
        <v>613</v>
      </c>
      <c r="M698" s="27">
        <v>535</v>
      </c>
      <c r="N698" s="27">
        <v>78</v>
      </c>
      <c r="O698" s="27">
        <v>25</v>
      </c>
      <c r="P698" s="27">
        <v>32</v>
      </c>
      <c r="Q698" s="27" t="s">
        <v>54</v>
      </c>
      <c r="R698" s="27">
        <v>49</v>
      </c>
      <c r="S698" s="27">
        <v>56</v>
      </c>
      <c r="T698" s="29">
        <v>84.4</v>
      </c>
      <c r="U698" s="29">
        <v>3</v>
      </c>
      <c r="V698" s="29">
        <v>24.86</v>
      </c>
      <c r="W698" s="30">
        <v>13542.03</v>
      </c>
      <c r="X698" s="27">
        <v>7.05</v>
      </c>
      <c r="Y698" s="27" t="s">
        <v>66</v>
      </c>
      <c r="Z698" s="29">
        <v>32</v>
      </c>
      <c r="AA698" s="30">
        <v>20469.16</v>
      </c>
      <c r="AB698" s="29">
        <v>0.87275693311582403</v>
      </c>
      <c r="AC698" s="30">
        <v>16938.27</v>
      </c>
      <c r="AD698" s="30">
        <v>552.28507340946203</v>
      </c>
      <c r="AE698" s="27">
        <v>636.18333333333305</v>
      </c>
      <c r="AF698" s="29">
        <v>0.94970003405726899</v>
      </c>
      <c r="AG698" s="30">
        <v>2978.6049265905399</v>
      </c>
      <c r="AH698" s="31">
        <f t="shared" si="161"/>
        <v>0.7869062901155327</v>
      </c>
      <c r="AI698" s="31">
        <f t="shared" si="162"/>
        <v>0.12724306688417619</v>
      </c>
      <c r="AJ698" s="31">
        <f t="shared" si="163"/>
        <v>4.0783034257748776E-2</v>
      </c>
      <c r="AK698" s="31">
        <f t="shared" si="164"/>
        <v>0.87275693311582381</v>
      </c>
      <c r="AL698" s="29">
        <f t="shared" si="165"/>
        <v>0.53333333333333333</v>
      </c>
      <c r="AM698" s="29">
        <f t="shared" si="166"/>
        <v>604.18333333333305</v>
      </c>
      <c r="AN698" s="29">
        <f t="shared" si="167"/>
        <v>1.0145927008910103</v>
      </c>
      <c r="AO698" s="29">
        <f t="shared" si="168"/>
        <v>1.2244897959183674</v>
      </c>
      <c r="AP698" s="31">
        <f t="shared" si="169"/>
        <v>0.82858403906099176</v>
      </c>
      <c r="AQ698" s="31">
        <f t="shared" si="170"/>
        <v>0.87275693311582381</v>
      </c>
      <c r="AR698" s="31">
        <f t="shared" si="171"/>
        <v>0.68677792041078356</v>
      </c>
      <c r="AS698" s="29">
        <f t="shared" si="172"/>
        <v>27.631761827079934</v>
      </c>
      <c r="AT698" s="29">
        <f t="shared" si="173"/>
        <v>4.8590618704576505</v>
      </c>
      <c r="AU698" s="27" t="str">
        <f t="shared" si="174"/>
        <v>High</v>
      </c>
      <c r="AV698" s="27" t="str">
        <f t="shared" si="175"/>
        <v>Critical</v>
      </c>
      <c r="AW698" s="27"/>
    </row>
    <row r="699" spans="1:49" x14ac:dyDescent="0.25">
      <c r="A699" s="27">
        <v>698</v>
      </c>
      <c r="B699" s="28">
        <v>46134</v>
      </c>
      <c r="C699" s="28" t="str">
        <f t="shared" si="160"/>
        <v>April</v>
      </c>
      <c r="D699" s="27" t="s">
        <v>47</v>
      </c>
      <c r="E699" s="27" t="s">
        <v>129</v>
      </c>
      <c r="F699" s="27" t="s">
        <v>151</v>
      </c>
      <c r="G699" s="27" t="s">
        <v>63</v>
      </c>
      <c r="H699" s="27" t="s">
        <v>68</v>
      </c>
      <c r="I699" s="27" t="s">
        <v>822</v>
      </c>
      <c r="J699" s="27" t="s">
        <v>175</v>
      </c>
      <c r="K699" s="27">
        <v>563</v>
      </c>
      <c r="L699" s="27">
        <v>512</v>
      </c>
      <c r="M699" s="27">
        <v>471</v>
      </c>
      <c r="N699" s="27">
        <v>41</v>
      </c>
      <c r="O699" s="27">
        <v>16</v>
      </c>
      <c r="P699" s="27">
        <v>24</v>
      </c>
      <c r="Q699" s="27" t="s">
        <v>82</v>
      </c>
      <c r="R699" s="27">
        <v>64</v>
      </c>
      <c r="S699" s="27">
        <v>62</v>
      </c>
      <c r="T699" s="29">
        <v>88.3</v>
      </c>
      <c r="U699" s="29">
        <v>2.81</v>
      </c>
      <c r="V699" s="29">
        <v>22.03</v>
      </c>
      <c r="W699" s="30">
        <v>16178.99</v>
      </c>
      <c r="X699" s="27">
        <v>9.51</v>
      </c>
      <c r="Y699" s="27" t="s">
        <v>66</v>
      </c>
      <c r="Z699" s="29">
        <v>13</v>
      </c>
      <c r="AA699" s="30">
        <v>23997.13</v>
      </c>
      <c r="AB699" s="29">
        <v>0.919921875</v>
      </c>
      <c r="AC699" s="30">
        <v>20656.759999999998</v>
      </c>
      <c r="AD699" s="30">
        <v>505.59343749999999</v>
      </c>
      <c r="AE699" s="27">
        <v>600.53333333333296</v>
      </c>
      <c r="AF699" s="29">
        <v>0.96003552397868597</v>
      </c>
      <c r="AG699" s="30">
        <v>2834.7765625000002</v>
      </c>
      <c r="AH699" s="31">
        <f t="shared" si="161"/>
        <v>0.90941385435168742</v>
      </c>
      <c r="AI699" s="31">
        <f t="shared" si="162"/>
        <v>8.0078125E-2</v>
      </c>
      <c r="AJ699" s="31">
        <f t="shared" si="163"/>
        <v>3.125E-2</v>
      </c>
      <c r="AK699" s="31">
        <f t="shared" si="164"/>
        <v>0.919921875</v>
      </c>
      <c r="AL699" s="29">
        <f t="shared" si="165"/>
        <v>0.4</v>
      </c>
      <c r="AM699" s="29">
        <f t="shared" si="166"/>
        <v>576.53333333333296</v>
      </c>
      <c r="AN699" s="29">
        <f t="shared" si="167"/>
        <v>0.88806660499537526</v>
      </c>
      <c r="AO699" s="29">
        <f t="shared" si="168"/>
        <v>0.9375</v>
      </c>
      <c r="AP699" s="31">
        <f t="shared" si="169"/>
        <v>0.94727104532840023</v>
      </c>
      <c r="AQ699" s="31">
        <f t="shared" si="170"/>
        <v>0.919921875</v>
      </c>
      <c r="AR699" s="31">
        <f t="shared" si="171"/>
        <v>0.836589698046182</v>
      </c>
      <c r="AS699" s="29">
        <f t="shared" si="172"/>
        <v>40.345234374999997</v>
      </c>
      <c r="AT699" s="29">
        <f t="shared" si="173"/>
        <v>5.5366729736328129</v>
      </c>
      <c r="AU699" s="27" t="str">
        <f t="shared" si="174"/>
        <v>High</v>
      </c>
      <c r="AV699" s="27" t="str">
        <f t="shared" si="175"/>
        <v>Warning</v>
      </c>
      <c r="AW699" s="27"/>
    </row>
    <row r="700" spans="1:49" x14ac:dyDescent="0.25">
      <c r="A700" s="27">
        <v>699</v>
      </c>
      <c r="B700" s="28">
        <v>46075</v>
      </c>
      <c r="C700" s="28" t="str">
        <f t="shared" si="160"/>
        <v>February</v>
      </c>
      <c r="D700" s="27" t="s">
        <v>67</v>
      </c>
      <c r="E700" s="27" t="s">
        <v>48</v>
      </c>
      <c r="F700" s="27" t="s">
        <v>72</v>
      </c>
      <c r="G700" s="27" t="s">
        <v>50</v>
      </c>
      <c r="H700" s="27" t="s">
        <v>57</v>
      </c>
      <c r="I700" s="27" t="s">
        <v>823</v>
      </c>
      <c r="J700" s="27" t="s">
        <v>132</v>
      </c>
      <c r="K700" s="27">
        <v>854</v>
      </c>
      <c r="L700" s="27">
        <v>726</v>
      </c>
      <c r="M700" s="27">
        <v>703</v>
      </c>
      <c r="N700" s="27">
        <v>23</v>
      </c>
      <c r="O700" s="27">
        <v>9</v>
      </c>
      <c r="P700" s="27">
        <v>55</v>
      </c>
      <c r="Q700" s="27" t="s">
        <v>75</v>
      </c>
      <c r="R700" s="27">
        <v>45</v>
      </c>
      <c r="S700" s="27">
        <v>46</v>
      </c>
      <c r="T700" s="29">
        <v>77.099999999999994</v>
      </c>
      <c r="U700" s="29">
        <v>1.73</v>
      </c>
      <c r="V700" s="29">
        <v>30.43</v>
      </c>
      <c r="W700" s="30">
        <v>14458.27</v>
      </c>
      <c r="X700" s="27">
        <v>7.85</v>
      </c>
      <c r="Y700" s="27" t="s">
        <v>66</v>
      </c>
      <c r="Z700" s="29">
        <v>24</v>
      </c>
      <c r="AA700" s="30">
        <v>24826.87</v>
      </c>
      <c r="AB700" s="29">
        <v>0.96831955922864998</v>
      </c>
      <c r="AC700" s="30">
        <v>18264.64</v>
      </c>
      <c r="AD700" s="30">
        <v>179.23475206611599</v>
      </c>
      <c r="AE700" s="27">
        <v>640.5</v>
      </c>
      <c r="AF700" s="29">
        <v>0.91412958626073404</v>
      </c>
      <c r="AG700" s="30">
        <v>6382.9952479338799</v>
      </c>
      <c r="AH700" s="31">
        <f t="shared" si="161"/>
        <v>0.85011709601873531</v>
      </c>
      <c r="AI700" s="31">
        <f t="shared" si="162"/>
        <v>3.1680440771349863E-2</v>
      </c>
      <c r="AJ700" s="31">
        <f t="shared" si="163"/>
        <v>1.2396694214876033E-2</v>
      </c>
      <c r="AK700" s="31">
        <f t="shared" si="164"/>
        <v>0.9683195592286501</v>
      </c>
      <c r="AL700" s="29">
        <f t="shared" si="165"/>
        <v>0.91666666666666663</v>
      </c>
      <c r="AM700" s="29">
        <f t="shared" si="166"/>
        <v>585.5</v>
      </c>
      <c r="AN700" s="29">
        <f t="shared" si="167"/>
        <v>1.2399658411614005</v>
      </c>
      <c r="AO700" s="29">
        <f t="shared" si="168"/>
        <v>1.3333333333333333</v>
      </c>
      <c r="AP700" s="31">
        <f t="shared" si="169"/>
        <v>0.92997438087105044</v>
      </c>
      <c r="AQ700" s="31">
        <f t="shared" si="170"/>
        <v>0.9683195592286501</v>
      </c>
      <c r="AR700" s="31">
        <f t="shared" si="171"/>
        <v>0.82318501170960212</v>
      </c>
      <c r="AS700" s="29">
        <f t="shared" si="172"/>
        <v>25.157906336088153</v>
      </c>
      <c r="AT700" s="29">
        <f t="shared" si="173"/>
        <v>8.7920044737381264</v>
      </c>
      <c r="AU700" s="27" t="str">
        <f t="shared" si="174"/>
        <v>Medium</v>
      </c>
      <c r="AV700" s="27" t="str">
        <f t="shared" si="175"/>
        <v>Warning</v>
      </c>
      <c r="AW700" s="27"/>
    </row>
    <row r="701" spans="1:49" x14ac:dyDescent="0.25">
      <c r="A701" s="27">
        <v>700</v>
      </c>
      <c r="B701" s="28">
        <v>46072</v>
      </c>
      <c r="C701" s="28" t="str">
        <f t="shared" si="160"/>
        <v>February</v>
      </c>
      <c r="D701" s="27" t="s">
        <v>67</v>
      </c>
      <c r="E701" s="27" t="s">
        <v>129</v>
      </c>
      <c r="F701" s="27" t="s">
        <v>167</v>
      </c>
      <c r="G701" s="27" t="s">
        <v>78</v>
      </c>
      <c r="H701" s="27" t="s">
        <v>79</v>
      </c>
      <c r="I701" s="27" t="s">
        <v>824</v>
      </c>
      <c r="J701" s="27" t="s">
        <v>93</v>
      </c>
      <c r="K701" s="27">
        <v>860</v>
      </c>
      <c r="L701" s="27">
        <v>772</v>
      </c>
      <c r="M701" s="27">
        <v>704</v>
      </c>
      <c r="N701" s="27">
        <v>68</v>
      </c>
      <c r="O701" s="27">
        <v>21</v>
      </c>
      <c r="P701" s="27">
        <v>0</v>
      </c>
      <c r="Q701" s="27" t="s">
        <v>60</v>
      </c>
      <c r="R701" s="27">
        <v>49</v>
      </c>
      <c r="S701" s="27">
        <v>54</v>
      </c>
      <c r="T701" s="29">
        <v>72.400000000000006</v>
      </c>
      <c r="U701" s="29">
        <v>1.89</v>
      </c>
      <c r="V701" s="29">
        <v>29.17</v>
      </c>
      <c r="W701" s="30">
        <v>17079.189999999999</v>
      </c>
      <c r="X701" s="27">
        <v>9.3000000000000007</v>
      </c>
      <c r="Y701" s="27" t="s">
        <v>66</v>
      </c>
      <c r="Z701" s="29">
        <v>1</v>
      </c>
      <c r="AA701" s="30">
        <v>27339.95</v>
      </c>
      <c r="AB701" s="29">
        <v>0.91191709844559599</v>
      </c>
      <c r="AC701" s="30">
        <v>21526.720000000001</v>
      </c>
      <c r="AD701" s="30">
        <v>464.58936528497401</v>
      </c>
      <c r="AE701" s="27">
        <v>702.33333333333303</v>
      </c>
      <c r="AF701" s="29">
        <v>1</v>
      </c>
      <c r="AG701" s="30">
        <v>5348.6406347150296</v>
      </c>
      <c r="AH701" s="31">
        <f t="shared" si="161"/>
        <v>0.89767441860465114</v>
      </c>
      <c r="AI701" s="31">
        <f t="shared" si="162"/>
        <v>8.8082901554404139E-2</v>
      </c>
      <c r="AJ701" s="31">
        <f t="shared" si="163"/>
        <v>2.7202072538860103E-2</v>
      </c>
      <c r="AK701" s="31">
        <f t="shared" si="164"/>
        <v>0.91191709844559588</v>
      </c>
      <c r="AL701" s="29">
        <f t="shared" si="165"/>
        <v>0</v>
      </c>
      <c r="AM701" s="29">
        <f t="shared" si="166"/>
        <v>702.33333333333303</v>
      </c>
      <c r="AN701" s="29">
        <f t="shared" si="167"/>
        <v>1.0991931656383489</v>
      </c>
      <c r="AO701" s="29">
        <f t="shared" si="168"/>
        <v>1.2244897959183674</v>
      </c>
      <c r="AP701" s="31">
        <f t="shared" si="169"/>
        <v>0.89767441860465158</v>
      </c>
      <c r="AQ701" s="31">
        <f t="shared" si="170"/>
        <v>0.91191709844559588</v>
      </c>
      <c r="AR701" s="31">
        <f t="shared" si="171"/>
        <v>0.81860465116279113</v>
      </c>
      <c r="AS701" s="29">
        <f t="shared" si="172"/>
        <v>27.88435233160622</v>
      </c>
      <c r="AT701" s="29">
        <f t="shared" si="173"/>
        <v>6.9282909776101418</v>
      </c>
      <c r="AU701" s="27" t="str">
        <f t="shared" si="174"/>
        <v>Medium</v>
      </c>
      <c r="AV701" s="27" t="str">
        <f t="shared" si="175"/>
        <v>Warning</v>
      </c>
      <c r="AW701" s="27"/>
    </row>
    <row r="702" spans="1:49" x14ac:dyDescent="0.25">
      <c r="A702" s="27">
        <v>701</v>
      </c>
      <c r="B702" s="28">
        <v>46141</v>
      </c>
      <c r="C702" s="28" t="str">
        <f t="shared" si="160"/>
        <v>April</v>
      </c>
      <c r="D702" s="27" t="s">
        <v>47</v>
      </c>
      <c r="E702" s="27" t="s">
        <v>48</v>
      </c>
      <c r="F702" s="27" t="s">
        <v>56</v>
      </c>
      <c r="G702" s="27" t="s">
        <v>50</v>
      </c>
      <c r="H702" s="27" t="s">
        <v>79</v>
      </c>
      <c r="I702" s="27" t="s">
        <v>825</v>
      </c>
      <c r="J702" s="27" t="s">
        <v>175</v>
      </c>
      <c r="K702" s="27">
        <v>673</v>
      </c>
      <c r="L702" s="27">
        <v>685</v>
      </c>
      <c r="M702" s="27">
        <v>647</v>
      </c>
      <c r="N702" s="27">
        <v>38</v>
      </c>
      <c r="O702" s="27">
        <v>14</v>
      </c>
      <c r="P702" s="27">
        <v>0</v>
      </c>
      <c r="Q702" s="27" t="s">
        <v>60</v>
      </c>
      <c r="R702" s="27">
        <v>49</v>
      </c>
      <c r="S702" s="27">
        <v>53</v>
      </c>
      <c r="T702" s="29">
        <v>63.3</v>
      </c>
      <c r="U702" s="29">
        <v>1.47</v>
      </c>
      <c r="V702" s="29">
        <v>21.4</v>
      </c>
      <c r="W702" s="30">
        <v>14881.61</v>
      </c>
      <c r="X702" s="27">
        <v>9.41</v>
      </c>
      <c r="Y702" s="27" t="s">
        <v>66</v>
      </c>
      <c r="Z702" s="29">
        <v>32</v>
      </c>
      <c r="AA702" s="30">
        <v>25220.78</v>
      </c>
      <c r="AB702" s="29">
        <v>0.94452554744525596</v>
      </c>
      <c r="AC702" s="30">
        <v>19308.71</v>
      </c>
      <c r="AD702" s="30">
        <v>304.14969343065701</v>
      </c>
      <c r="AE702" s="27">
        <v>549.61666666666702</v>
      </c>
      <c r="AF702" s="29">
        <v>1</v>
      </c>
      <c r="AG702" s="30">
        <v>5607.92030656934</v>
      </c>
      <c r="AH702" s="31">
        <f t="shared" si="161"/>
        <v>1.0178306092124814</v>
      </c>
      <c r="AI702" s="31">
        <f t="shared" si="162"/>
        <v>5.5474452554744529E-2</v>
      </c>
      <c r="AJ702" s="31">
        <f t="shared" si="163"/>
        <v>2.0437956204379562E-2</v>
      </c>
      <c r="AK702" s="31">
        <f t="shared" si="164"/>
        <v>0.94452554744525552</v>
      </c>
      <c r="AL702" s="29">
        <f t="shared" si="165"/>
        <v>0</v>
      </c>
      <c r="AM702" s="29">
        <f t="shared" si="166"/>
        <v>549.61666666666702</v>
      </c>
      <c r="AN702" s="29">
        <f t="shared" si="167"/>
        <v>1.2463231949540581</v>
      </c>
      <c r="AO702" s="29">
        <f t="shared" si="168"/>
        <v>1.2244897959183674</v>
      </c>
      <c r="AP702" s="31">
        <f t="shared" si="169"/>
        <v>1.0178306092124807</v>
      </c>
      <c r="AQ702" s="31">
        <f t="shared" si="170"/>
        <v>0.94452554744525552</v>
      </c>
      <c r="AR702" s="31">
        <f t="shared" si="171"/>
        <v>0.96136701337295627</v>
      </c>
      <c r="AS702" s="29">
        <f t="shared" si="172"/>
        <v>28.187897810218978</v>
      </c>
      <c r="AT702" s="29">
        <f t="shared" si="173"/>
        <v>8.1867449730939263</v>
      </c>
      <c r="AU702" s="27" t="str">
        <f t="shared" si="174"/>
        <v>Medium</v>
      </c>
      <c r="AV702" s="27" t="str">
        <f t="shared" si="175"/>
        <v>Normal</v>
      </c>
      <c r="AW702" s="27"/>
    </row>
    <row r="703" spans="1:49" x14ac:dyDescent="0.25">
      <c r="A703" s="27">
        <v>702</v>
      </c>
      <c r="B703" s="28">
        <v>46120</v>
      </c>
      <c r="C703" s="28" t="str">
        <f t="shared" si="160"/>
        <v>April</v>
      </c>
      <c r="D703" s="27" t="s">
        <v>67</v>
      </c>
      <c r="E703" s="27" t="s">
        <v>48</v>
      </c>
      <c r="F703" s="27" t="s">
        <v>56</v>
      </c>
      <c r="G703" s="27" t="s">
        <v>50</v>
      </c>
      <c r="H703" s="27" t="s">
        <v>79</v>
      </c>
      <c r="I703" s="27" t="s">
        <v>826</v>
      </c>
      <c r="J703" s="27" t="s">
        <v>70</v>
      </c>
      <c r="K703" s="27">
        <v>645</v>
      </c>
      <c r="L703" s="27">
        <v>600</v>
      </c>
      <c r="M703" s="27">
        <v>568</v>
      </c>
      <c r="N703" s="27">
        <v>32</v>
      </c>
      <c r="O703" s="27">
        <v>9</v>
      </c>
      <c r="P703" s="27">
        <v>0</v>
      </c>
      <c r="Q703" s="27" t="s">
        <v>60</v>
      </c>
      <c r="R703" s="27">
        <v>49</v>
      </c>
      <c r="S703" s="27">
        <v>52</v>
      </c>
      <c r="T703" s="29">
        <v>79.099999999999994</v>
      </c>
      <c r="U703" s="29">
        <v>2.3199999999999998</v>
      </c>
      <c r="V703" s="29">
        <v>22.24</v>
      </c>
      <c r="W703" s="30">
        <v>13508.51</v>
      </c>
      <c r="X703" s="27">
        <v>7.78</v>
      </c>
      <c r="Y703" s="27" t="s">
        <v>55</v>
      </c>
      <c r="Z703" s="29">
        <v>19</v>
      </c>
      <c r="AA703" s="30">
        <v>21038.28</v>
      </c>
      <c r="AB703" s="29">
        <v>0.94666666666666699</v>
      </c>
      <c r="AC703" s="30">
        <v>17209.669999999998</v>
      </c>
      <c r="AD703" s="30">
        <v>202.62764999999999</v>
      </c>
      <c r="AE703" s="27">
        <v>526.75</v>
      </c>
      <c r="AF703" s="29">
        <v>1</v>
      </c>
      <c r="AG703" s="30">
        <v>3625.9823500000002</v>
      </c>
      <c r="AH703" s="31">
        <f t="shared" si="161"/>
        <v>0.93023255813953487</v>
      </c>
      <c r="AI703" s="31">
        <f t="shared" si="162"/>
        <v>5.3333333333333337E-2</v>
      </c>
      <c r="AJ703" s="31">
        <f t="shared" si="163"/>
        <v>1.4999999999999999E-2</v>
      </c>
      <c r="AK703" s="31">
        <f t="shared" si="164"/>
        <v>0.94666666666666666</v>
      </c>
      <c r="AL703" s="29">
        <f t="shared" si="165"/>
        <v>0</v>
      </c>
      <c r="AM703" s="29">
        <f t="shared" si="166"/>
        <v>526.75</v>
      </c>
      <c r="AN703" s="29">
        <f t="shared" si="167"/>
        <v>1.1390602752728998</v>
      </c>
      <c r="AO703" s="29">
        <f t="shared" si="168"/>
        <v>1.2244897959183674</v>
      </c>
      <c r="AP703" s="31">
        <f t="shared" si="169"/>
        <v>0.93023255813953476</v>
      </c>
      <c r="AQ703" s="31">
        <f t="shared" si="170"/>
        <v>0.94666666666666666</v>
      </c>
      <c r="AR703" s="31">
        <f t="shared" si="171"/>
        <v>0.88062015503875957</v>
      </c>
      <c r="AS703" s="29">
        <f t="shared" si="172"/>
        <v>28.68278333333333</v>
      </c>
      <c r="AT703" s="29">
        <f t="shared" si="173"/>
        <v>6.0433039166666669</v>
      </c>
      <c r="AU703" s="27" t="str">
        <f t="shared" si="174"/>
        <v>Low</v>
      </c>
      <c r="AV703" s="27" t="str">
        <f t="shared" si="175"/>
        <v>Normal</v>
      </c>
      <c r="AW703" s="27"/>
    </row>
    <row r="704" spans="1:49" x14ac:dyDescent="0.25">
      <c r="A704" s="27">
        <v>703</v>
      </c>
      <c r="B704" s="28">
        <v>46197</v>
      </c>
      <c r="C704" s="28" t="str">
        <f t="shared" si="160"/>
        <v>June</v>
      </c>
      <c r="D704" s="27" t="s">
        <v>47</v>
      </c>
      <c r="E704" s="27" t="s">
        <v>98</v>
      </c>
      <c r="F704" s="27" t="s">
        <v>126</v>
      </c>
      <c r="G704" s="27" t="s">
        <v>63</v>
      </c>
      <c r="H704" s="27" t="s">
        <v>57</v>
      </c>
      <c r="I704" s="27" t="s">
        <v>827</v>
      </c>
      <c r="J704" s="27" t="s">
        <v>191</v>
      </c>
      <c r="K704" s="27">
        <v>786</v>
      </c>
      <c r="L704" s="27">
        <v>640</v>
      </c>
      <c r="M704" s="27">
        <v>598</v>
      </c>
      <c r="N704" s="27">
        <v>42</v>
      </c>
      <c r="O704" s="27">
        <v>14</v>
      </c>
      <c r="P704" s="27">
        <v>67</v>
      </c>
      <c r="Q704" s="27" t="s">
        <v>54</v>
      </c>
      <c r="R704" s="27">
        <v>45</v>
      </c>
      <c r="S704" s="27">
        <v>47</v>
      </c>
      <c r="T704" s="29">
        <v>78</v>
      </c>
      <c r="U704" s="29">
        <v>2.0699999999999998</v>
      </c>
      <c r="V704" s="29">
        <v>27.19</v>
      </c>
      <c r="W704" s="30">
        <v>12803.09</v>
      </c>
      <c r="X704" s="27">
        <v>8.4700000000000006</v>
      </c>
      <c r="Y704" s="27" t="s">
        <v>55</v>
      </c>
      <c r="Z704" s="29">
        <v>24</v>
      </c>
      <c r="AA704" s="30">
        <v>20361.07</v>
      </c>
      <c r="AB704" s="29">
        <v>0.93437499999999996</v>
      </c>
      <c r="AC704" s="30">
        <v>16859.3</v>
      </c>
      <c r="AD704" s="30">
        <v>280.06759375000001</v>
      </c>
      <c r="AE704" s="27">
        <v>589.5</v>
      </c>
      <c r="AF704" s="29">
        <v>0.88634435962680203</v>
      </c>
      <c r="AG704" s="30">
        <v>3221.70240625</v>
      </c>
      <c r="AH704" s="31">
        <f t="shared" si="161"/>
        <v>0.81424936386768443</v>
      </c>
      <c r="AI704" s="31">
        <f t="shared" si="162"/>
        <v>6.5625000000000003E-2</v>
      </c>
      <c r="AJ704" s="31">
        <f t="shared" si="163"/>
        <v>2.1874999999999999E-2</v>
      </c>
      <c r="AK704" s="31">
        <f t="shared" si="164"/>
        <v>0.93437499999999996</v>
      </c>
      <c r="AL704" s="29">
        <f t="shared" si="165"/>
        <v>1.1166666666666667</v>
      </c>
      <c r="AM704" s="29">
        <f t="shared" si="166"/>
        <v>522.5</v>
      </c>
      <c r="AN704" s="29">
        <f t="shared" si="167"/>
        <v>1.2248803827751196</v>
      </c>
      <c r="AO704" s="29">
        <f t="shared" si="168"/>
        <v>1.3333333333333333</v>
      </c>
      <c r="AP704" s="31">
        <f t="shared" si="169"/>
        <v>0.91866028708133973</v>
      </c>
      <c r="AQ704" s="31">
        <f t="shared" si="170"/>
        <v>0.93437499999999996</v>
      </c>
      <c r="AR704" s="31">
        <f t="shared" si="171"/>
        <v>0.76081424936386743</v>
      </c>
      <c r="AS704" s="29">
        <f t="shared" si="172"/>
        <v>26.342656249999997</v>
      </c>
      <c r="AT704" s="29">
        <f t="shared" si="173"/>
        <v>5.0339100097656253</v>
      </c>
      <c r="AU704" s="27" t="str">
        <f t="shared" si="174"/>
        <v>High</v>
      </c>
      <c r="AV704" s="27" t="str">
        <f t="shared" si="175"/>
        <v>Warning</v>
      </c>
      <c r="AW704" s="27"/>
    </row>
    <row r="705" spans="1:49" x14ac:dyDescent="0.25">
      <c r="A705" s="27">
        <v>704</v>
      </c>
      <c r="B705" s="28">
        <v>46119</v>
      </c>
      <c r="C705" s="28" t="str">
        <f t="shared" si="160"/>
        <v>April</v>
      </c>
      <c r="D705" s="27" t="s">
        <v>67</v>
      </c>
      <c r="E705" s="27" t="s">
        <v>129</v>
      </c>
      <c r="F705" s="27" t="s">
        <v>130</v>
      </c>
      <c r="G705" s="27" t="s">
        <v>78</v>
      </c>
      <c r="H705" s="27" t="s">
        <v>124</v>
      </c>
      <c r="I705" s="27" t="s">
        <v>828</v>
      </c>
      <c r="J705" s="27" t="s">
        <v>74</v>
      </c>
      <c r="K705" s="27">
        <v>647</v>
      </c>
      <c r="L705" s="27">
        <v>385</v>
      </c>
      <c r="M705" s="27">
        <v>338</v>
      </c>
      <c r="N705" s="27">
        <v>47</v>
      </c>
      <c r="O705" s="27">
        <v>19</v>
      </c>
      <c r="P705" s="27">
        <v>129</v>
      </c>
      <c r="Q705" s="27" t="s">
        <v>75</v>
      </c>
      <c r="R705" s="27">
        <v>57</v>
      </c>
      <c r="S705" s="27">
        <v>66</v>
      </c>
      <c r="T705" s="29">
        <v>72.3</v>
      </c>
      <c r="U705" s="29">
        <v>2.74</v>
      </c>
      <c r="V705" s="29">
        <v>24.12</v>
      </c>
      <c r="W705" s="30">
        <v>10196.549999999999</v>
      </c>
      <c r="X705" s="27">
        <v>5.28</v>
      </c>
      <c r="Y705" s="27" t="s">
        <v>110</v>
      </c>
      <c r="Z705" s="29">
        <v>40</v>
      </c>
      <c r="AA705" s="30">
        <v>15478.18</v>
      </c>
      <c r="AB705" s="29">
        <v>0.87792207792207799</v>
      </c>
      <c r="AC705" s="30">
        <v>12789.63</v>
      </c>
      <c r="AD705" s="30">
        <v>503.20636363636402</v>
      </c>
      <c r="AE705" s="27">
        <v>614.65</v>
      </c>
      <c r="AF705" s="29">
        <v>0.79012446107540901</v>
      </c>
      <c r="AG705" s="30">
        <v>2185.3436363636401</v>
      </c>
      <c r="AH705" s="31">
        <f t="shared" si="161"/>
        <v>0.59505409582689339</v>
      </c>
      <c r="AI705" s="31">
        <f t="shared" si="162"/>
        <v>0.12207792207792208</v>
      </c>
      <c r="AJ705" s="31">
        <f t="shared" si="163"/>
        <v>4.9350649350649353E-2</v>
      </c>
      <c r="AK705" s="31">
        <f t="shared" si="164"/>
        <v>0.87792207792207788</v>
      </c>
      <c r="AL705" s="29">
        <f t="shared" si="165"/>
        <v>2.15</v>
      </c>
      <c r="AM705" s="29">
        <f t="shared" si="166"/>
        <v>485.65</v>
      </c>
      <c r="AN705" s="29">
        <f t="shared" si="167"/>
        <v>0.79275198187995477</v>
      </c>
      <c r="AO705" s="29">
        <f t="shared" si="168"/>
        <v>1.0526315789473684</v>
      </c>
      <c r="AP705" s="31">
        <f t="shared" si="169"/>
        <v>0.7531143827859571</v>
      </c>
      <c r="AQ705" s="31">
        <f t="shared" si="170"/>
        <v>0.87792207792207788</v>
      </c>
      <c r="AR705" s="31">
        <f t="shared" si="171"/>
        <v>0.52241112828438974</v>
      </c>
      <c r="AS705" s="29">
        <f t="shared" si="172"/>
        <v>33.219818181818177</v>
      </c>
      <c r="AT705" s="29">
        <f t="shared" si="173"/>
        <v>5.6762172373081565</v>
      </c>
      <c r="AU705" s="27" t="str">
        <f t="shared" si="174"/>
        <v>High</v>
      </c>
      <c r="AV705" s="27" t="str">
        <f t="shared" si="175"/>
        <v>Critical</v>
      </c>
      <c r="AW705" s="27"/>
    </row>
    <row r="706" spans="1:49" x14ac:dyDescent="0.25">
      <c r="A706" s="27">
        <v>705</v>
      </c>
      <c r="B706" s="28">
        <v>46085</v>
      </c>
      <c r="C706" s="28" t="str">
        <f t="shared" ref="C706:C769" si="176">TEXT(B706,"mmmm")</f>
        <v>March</v>
      </c>
      <c r="D706" s="27" t="s">
        <v>67</v>
      </c>
      <c r="E706" s="27" t="s">
        <v>129</v>
      </c>
      <c r="F706" s="27" t="s">
        <v>151</v>
      </c>
      <c r="G706" s="27" t="s">
        <v>78</v>
      </c>
      <c r="H706" s="27" t="s">
        <v>57</v>
      </c>
      <c r="I706" s="27" t="s">
        <v>829</v>
      </c>
      <c r="J706" s="27" t="s">
        <v>134</v>
      </c>
      <c r="K706" s="27">
        <v>894</v>
      </c>
      <c r="L706" s="27">
        <v>665</v>
      </c>
      <c r="M706" s="27">
        <v>621</v>
      </c>
      <c r="N706" s="27">
        <v>44</v>
      </c>
      <c r="O706" s="27">
        <v>17</v>
      </c>
      <c r="P706" s="27">
        <v>29</v>
      </c>
      <c r="Q706" s="27" t="s">
        <v>102</v>
      </c>
      <c r="R706" s="27">
        <v>45</v>
      </c>
      <c r="S706" s="27">
        <v>48</v>
      </c>
      <c r="T706" s="29">
        <v>81.3</v>
      </c>
      <c r="U706" s="29">
        <v>3.11</v>
      </c>
      <c r="V706" s="29">
        <v>20.84</v>
      </c>
      <c r="W706" s="30">
        <v>13110.72</v>
      </c>
      <c r="X706" s="27">
        <v>7.23</v>
      </c>
      <c r="Y706" s="27" t="s">
        <v>66</v>
      </c>
      <c r="Z706" s="29">
        <v>22</v>
      </c>
      <c r="AA706" s="30">
        <v>22340.54</v>
      </c>
      <c r="AB706" s="29">
        <v>0.93383458646616602</v>
      </c>
      <c r="AC706" s="30">
        <v>16551.78</v>
      </c>
      <c r="AD706" s="30">
        <v>335.16126315789501</v>
      </c>
      <c r="AE706" s="27">
        <v>670.5</v>
      </c>
      <c r="AF706" s="29">
        <v>0.95674869500372905</v>
      </c>
      <c r="AG706" s="30">
        <v>5453.5987368421102</v>
      </c>
      <c r="AH706" s="31">
        <f t="shared" ref="AH706:AH769" si="177">IFERROR(L706/K706,0)</f>
        <v>0.74384787472035796</v>
      </c>
      <c r="AI706" s="31">
        <f t="shared" ref="AI706:AI769" si="178">IFERROR(N706/L706,0)</f>
        <v>6.616541353383458E-2</v>
      </c>
      <c r="AJ706" s="31">
        <f t="shared" ref="AJ706:AJ769" si="179">IFERROR(O706/L706,0)</f>
        <v>2.5563909774436091E-2</v>
      </c>
      <c r="AK706" s="31">
        <f t="shared" ref="AK706:AK769" si="180">IFERROR(M706/L706,0)</f>
        <v>0.93383458646616546</v>
      </c>
      <c r="AL706" s="29">
        <f t="shared" ref="AL706:AL769" si="181">P706/60</f>
        <v>0.48333333333333334</v>
      </c>
      <c r="AM706" s="29">
        <f t="shared" ref="AM706:AM769" si="182">MAX(0,AE706-P706)</f>
        <v>641.5</v>
      </c>
      <c r="AN706" s="29">
        <f t="shared" ref="AN706:AN769" si="183">IFERROR(L706/AM706,0)</f>
        <v>1.0366328916601715</v>
      </c>
      <c r="AO706" s="29">
        <f t="shared" ref="AO706:AO769" si="184">IFERROR(60/R706,0)</f>
        <v>1.3333333333333333</v>
      </c>
      <c r="AP706" s="31">
        <f t="shared" ref="AP706:AP769" si="185">IFERROR(AN706/AO706,0)</f>
        <v>0.77747466874512861</v>
      </c>
      <c r="AQ706" s="31">
        <f t="shared" ref="AQ706:AQ769" si="186">IFERROR(M706/L706,0)</f>
        <v>0.93383458646616546</v>
      </c>
      <c r="AR706" s="31">
        <f t="shared" ref="AR706:AR769" si="187">AF706*AP706*AQ706</f>
        <v>0.69463087248322186</v>
      </c>
      <c r="AS706" s="29">
        <f t="shared" ref="AS706:AS769" si="188">IFERROR(AC706/L706,0)</f>
        <v>24.889894736842102</v>
      </c>
      <c r="AT706" s="29">
        <f t="shared" ref="AT706:AT769" si="189">IFERROR(AG706/L706,0)</f>
        <v>8.2009003561535483</v>
      </c>
      <c r="AU706" s="27" t="str">
        <f t="shared" ref="AU706:AU769" si="190">IF(OR(Y706="Overdue",P706&gt;=120,T706&gt;=85,U706&gt;=4,AI706&gt;=0.12,AR706&lt;0.8),"High",IF(OR(Y706="Pending",Z706&gt;=30,P706&gt;=60,T706&gt;=80,U706&gt;=3,AI706&gt;=0.08,AR706&lt;0.85),"Medium","Low"))</f>
        <v>High</v>
      </c>
      <c r="AV706" s="27" t="str">
        <f t="shared" ref="AV706:AV769" si="191">IF(OR(P706&gt;=120,T706&gt;=90,U706&gt;=4.5,AI706&gt;=0.15,AR706&lt;0.75),"Critical",IF(OR(P706&gt;=60,T706&gt;=80,U706&gt;=3,AI706&gt;=0.08,AR706&lt;0.85),"Warning","Normal"))</f>
        <v>Critical</v>
      </c>
      <c r="AW706" s="27"/>
    </row>
    <row r="707" spans="1:49" x14ac:dyDescent="0.25">
      <c r="A707" s="27">
        <v>706</v>
      </c>
      <c r="B707" s="28">
        <v>46145</v>
      </c>
      <c r="C707" s="28" t="str">
        <f t="shared" si="176"/>
        <v>May</v>
      </c>
      <c r="D707" s="27" t="s">
        <v>67</v>
      </c>
      <c r="E707" s="27" t="s">
        <v>129</v>
      </c>
      <c r="F707" s="27" t="s">
        <v>151</v>
      </c>
      <c r="G707" s="27" t="s">
        <v>50</v>
      </c>
      <c r="H707" s="27" t="s">
        <v>79</v>
      </c>
      <c r="I707" s="27" t="s">
        <v>830</v>
      </c>
      <c r="J707" s="27" t="s">
        <v>93</v>
      </c>
      <c r="K707" s="27">
        <v>819</v>
      </c>
      <c r="L707" s="27">
        <v>698</v>
      </c>
      <c r="M707" s="27">
        <v>656</v>
      </c>
      <c r="N707" s="27">
        <v>42</v>
      </c>
      <c r="O707" s="27">
        <v>10</v>
      </c>
      <c r="P707" s="27">
        <v>33</v>
      </c>
      <c r="Q707" s="27" t="s">
        <v>97</v>
      </c>
      <c r="R707" s="27">
        <v>49</v>
      </c>
      <c r="S707" s="27">
        <v>48</v>
      </c>
      <c r="T707" s="29">
        <v>80.3</v>
      </c>
      <c r="U707" s="29">
        <v>1.6</v>
      </c>
      <c r="V707" s="29">
        <v>28.77</v>
      </c>
      <c r="W707" s="30">
        <v>16265.15</v>
      </c>
      <c r="X707" s="27">
        <v>6.15</v>
      </c>
      <c r="Y707" s="27" t="s">
        <v>71</v>
      </c>
      <c r="Z707" s="29">
        <v>25</v>
      </c>
      <c r="AA707" s="30">
        <v>24983.119999999999</v>
      </c>
      <c r="AB707" s="29">
        <v>0.93982808022922604</v>
      </c>
      <c r="AC707" s="30">
        <v>19291.580000000002</v>
      </c>
      <c r="AD707" s="30">
        <v>233.02507163323801</v>
      </c>
      <c r="AE707" s="27">
        <v>668.85</v>
      </c>
      <c r="AF707" s="29">
        <v>0.95066158331464501</v>
      </c>
      <c r="AG707" s="30">
        <v>5458.5149283667597</v>
      </c>
      <c r="AH707" s="31">
        <f t="shared" si="177"/>
        <v>0.85225885225885223</v>
      </c>
      <c r="AI707" s="31">
        <f t="shared" si="178"/>
        <v>6.0171919770773637E-2</v>
      </c>
      <c r="AJ707" s="31">
        <f t="shared" si="179"/>
        <v>1.4326647564469915E-2</v>
      </c>
      <c r="AK707" s="31">
        <f t="shared" si="180"/>
        <v>0.93982808022922637</v>
      </c>
      <c r="AL707" s="29">
        <f t="shared" si="181"/>
        <v>0.55000000000000004</v>
      </c>
      <c r="AM707" s="29">
        <f t="shared" si="182"/>
        <v>635.85</v>
      </c>
      <c r="AN707" s="29">
        <f t="shared" si="183"/>
        <v>1.097743178422584</v>
      </c>
      <c r="AO707" s="29">
        <f t="shared" si="184"/>
        <v>1.2244897959183674</v>
      </c>
      <c r="AP707" s="31">
        <f t="shared" si="185"/>
        <v>0.89649026237844354</v>
      </c>
      <c r="AQ707" s="31">
        <f t="shared" si="186"/>
        <v>0.93982808022922637</v>
      </c>
      <c r="AR707" s="31">
        <f t="shared" si="187"/>
        <v>0.80097680097680135</v>
      </c>
      <c r="AS707" s="29">
        <f t="shared" si="188"/>
        <v>27.638366762177654</v>
      </c>
      <c r="AT707" s="29">
        <f t="shared" si="189"/>
        <v>7.820221960410831</v>
      </c>
      <c r="AU707" s="27" t="str">
        <f t="shared" si="190"/>
        <v>High</v>
      </c>
      <c r="AV707" s="27" t="str">
        <f t="shared" si="191"/>
        <v>Warning</v>
      </c>
      <c r="AW707" s="27"/>
    </row>
    <row r="708" spans="1:49" x14ac:dyDescent="0.25">
      <c r="A708" s="27">
        <v>707</v>
      </c>
      <c r="B708" s="28">
        <v>46050</v>
      </c>
      <c r="C708" s="28" t="str">
        <f t="shared" si="176"/>
        <v>January</v>
      </c>
      <c r="D708" s="27" t="s">
        <v>67</v>
      </c>
      <c r="E708" s="27" t="s">
        <v>76</v>
      </c>
      <c r="F708" s="27" t="s">
        <v>113</v>
      </c>
      <c r="G708" s="27" t="s">
        <v>78</v>
      </c>
      <c r="H708" s="27" t="s">
        <v>124</v>
      </c>
      <c r="I708" s="27" t="s">
        <v>831</v>
      </c>
      <c r="J708" s="27" t="s">
        <v>186</v>
      </c>
      <c r="K708" s="27">
        <v>663</v>
      </c>
      <c r="L708" s="27">
        <v>502</v>
      </c>
      <c r="M708" s="27">
        <v>476</v>
      </c>
      <c r="N708" s="27">
        <v>26</v>
      </c>
      <c r="O708" s="27">
        <v>11</v>
      </c>
      <c r="P708" s="27">
        <v>13</v>
      </c>
      <c r="Q708" s="27" t="s">
        <v>102</v>
      </c>
      <c r="R708" s="27">
        <v>57</v>
      </c>
      <c r="S708" s="27">
        <v>64</v>
      </c>
      <c r="T708" s="29">
        <v>75</v>
      </c>
      <c r="U708" s="29">
        <v>2.86</v>
      </c>
      <c r="V708" s="29">
        <v>17.309999999999999</v>
      </c>
      <c r="W708" s="30">
        <v>13248.56</v>
      </c>
      <c r="X708" s="27">
        <v>7.48</v>
      </c>
      <c r="Y708" s="27" t="s">
        <v>55</v>
      </c>
      <c r="Z708" s="29">
        <v>29</v>
      </c>
      <c r="AA708" s="30">
        <v>22198.75</v>
      </c>
      <c r="AB708" s="29">
        <v>0.94820717131474097</v>
      </c>
      <c r="AC708" s="30">
        <v>16770.349999999999</v>
      </c>
      <c r="AD708" s="30">
        <v>290.30709163346597</v>
      </c>
      <c r="AE708" s="27">
        <v>629.85</v>
      </c>
      <c r="AF708" s="29">
        <v>0.97936016511867896</v>
      </c>
      <c r="AG708" s="30">
        <v>5138.0929083665396</v>
      </c>
      <c r="AH708" s="31">
        <f t="shared" si="177"/>
        <v>0.75716440422322773</v>
      </c>
      <c r="AI708" s="31">
        <f t="shared" si="178"/>
        <v>5.1792828685258967E-2</v>
      </c>
      <c r="AJ708" s="31">
        <f t="shared" si="179"/>
        <v>2.1912350597609563E-2</v>
      </c>
      <c r="AK708" s="31">
        <f t="shared" si="180"/>
        <v>0.94820717131474108</v>
      </c>
      <c r="AL708" s="29">
        <f t="shared" si="181"/>
        <v>0.21666666666666667</v>
      </c>
      <c r="AM708" s="29">
        <f t="shared" si="182"/>
        <v>616.85</v>
      </c>
      <c r="AN708" s="29">
        <f t="shared" si="183"/>
        <v>0.81381210991326902</v>
      </c>
      <c r="AO708" s="29">
        <f t="shared" si="184"/>
        <v>1.0526315789473684</v>
      </c>
      <c r="AP708" s="31">
        <f t="shared" si="185"/>
        <v>0.77312150441760563</v>
      </c>
      <c r="AQ708" s="31">
        <f t="shared" si="186"/>
        <v>0.94820717131474108</v>
      </c>
      <c r="AR708" s="31">
        <f t="shared" si="187"/>
        <v>0.71794871794871795</v>
      </c>
      <c r="AS708" s="29">
        <f t="shared" si="188"/>
        <v>33.40707171314741</v>
      </c>
      <c r="AT708" s="29">
        <f t="shared" si="189"/>
        <v>10.235244837383545</v>
      </c>
      <c r="AU708" s="27" t="str">
        <f t="shared" si="190"/>
        <v>High</v>
      </c>
      <c r="AV708" s="27" t="str">
        <f t="shared" si="191"/>
        <v>Critical</v>
      </c>
      <c r="AW708" s="27"/>
    </row>
    <row r="709" spans="1:49" x14ac:dyDescent="0.25">
      <c r="A709" s="27">
        <v>708</v>
      </c>
      <c r="B709" s="28">
        <v>46065</v>
      </c>
      <c r="C709" s="28" t="str">
        <f t="shared" si="176"/>
        <v>February</v>
      </c>
      <c r="D709" s="27" t="s">
        <v>47</v>
      </c>
      <c r="E709" s="27" t="s">
        <v>98</v>
      </c>
      <c r="F709" s="27" t="s">
        <v>126</v>
      </c>
      <c r="G709" s="27" t="s">
        <v>50</v>
      </c>
      <c r="H709" s="27" t="s">
        <v>57</v>
      </c>
      <c r="I709" s="27" t="s">
        <v>832</v>
      </c>
      <c r="J709" s="27" t="s">
        <v>84</v>
      </c>
      <c r="K709" s="27">
        <v>855</v>
      </c>
      <c r="L709" s="27">
        <v>832</v>
      </c>
      <c r="M709" s="27">
        <v>768</v>
      </c>
      <c r="N709" s="27">
        <v>64</v>
      </c>
      <c r="O709" s="27">
        <v>17</v>
      </c>
      <c r="P709" s="27">
        <v>11</v>
      </c>
      <c r="Q709" s="27" t="s">
        <v>91</v>
      </c>
      <c r="R709" s="27">
        <v>45</v>
      </c>
      <c r="S709" s="27">
        <v>44</v>
      </c>
      <c r="T709" s="29">
        <v>60</v>
      </c>
      <c r="U709" s="29">
        <v>1.7</v>
      </c>
      <c r="V709" s="29">
        <v>26.77</v>
      </c>
      <c r="W709" s="30">
        <v>16666.64</v>
      </c>
      <c r="X709" s="27">
        <v>7.4</v>
      </c>
      <c r="Y709" s="27" t="s">
        <v>66</v>
      </c>
      <c r="Z709" s="29">
        <v>25</v>
      </c>
      <c r="AA709" s="30">
        <v>27285.1</v>
      </c>
      <c r="AB709" s="29">
        <v>0.92307692307692302</v>
      </c>
      <c r="AC709" s="30">
        <v>20237.57</v>
      </c>
      <c r="AD709" s="30">
        <v>340.54432692307699</v>
      </c>
      <c r="AE709" s="27">
        <v>641.25</v>
      </c>
      <c r="AF709" s="29">
        <v>0.98284600389863597</v>
      </c>
      <c r="AG709" s="30">
        <v>6706.9856730769197</v>
      </c>
      <c r="AH709" s="31">
        <f t="shared" si="177"/>
        <v>0.97309941520467835</v>
      </c>
      <c r="AI709" s="31">
        <f t="shared" si="178"/>
        <v>7.6923076923076927E-2</v>
      </c>
      <c r="AJ709" s="31">
        <f t="shared" si="179"/>
        <v>2.0432692307692308E-2</v>
      </c>
      <c r="AK709" s="31">
        <f t="shared" si="180"/>
        <v>0.92307692307692313</v>
      </c>
      <c r="AL709" s="29">
        <f t="shared" si="181"/>
        <v>0.18333333333333332</v>
      </c>
      <c r="AM709" s="29">
        <f t="shared" si="182"/>
        <v>630.25</v>
      </c>
      <c r="AN709" s="29">
        <f t="shared" si="183"/>
        <v>1.3201110670368901</v>
      </c>
      <c r="AO709" s="29">
        <f t="shared" si="184"/>
        <v>1.3333333333333333</v>
      </c>
      <c r="AP709" s="31">
        <f t="shared" si="185"/>
        <v>0.99008330027766756</v>
      </c>
      <c r="AQ709" s="31">
        <f t="shared" si="186"/>
        <v>0.92307692307692313</v>
      </c>
      <c r="AR709" s="31">
        <f t="shared" si="187"/>
        <v>0.89824561403508818</v>
      </c>
      <c r="AS709" s="29">
        <f t="shared" si="188"/>
        <v>24.324002403846155</v>
      </c>
      <c r="AT709" s="29">
        <f t="shared" si="189"/>
        <v>8.0612808570636059</v>
      </c>
      <c r="AU709" s="27" t="str">
        <f t="shared" si="190"/>
        <v>Low</v>
      </c>
      <c r="AV709" s="27" t="str">
        <f t="shared" si="191"/>
        <v>Normal</v>
      </c>
      <c r="AW709" s="27"/>
    </row>
    <row r="710" spans="1:49" x14ac:dyDescent="0.25">
      <c r="A710" s="27">
        <v>709</v>
      </c>
      <c r="B710" s="28">
        <v>46151</v>
      </c>
      <c r="C710" s="28" t="str">
        <f t="shared" si="176"/>
        <v>May</v>
      </c>
      <c r="D710" s="27" t="s">
        <v>67</v>
      </c>
      <c r="E710" s="27" t="s">
        <v>129</v>
      </c>
      <c r="F710" s="27" t="s">
        <v>151</v>
      </c>
      <c r="G710" s="27" t="s">
        <v>78</v>
      </c>
      <c r="H710" s="27" t="s">
        <v>68</v>
      </c>
      <c r="I710" s="27" t="s">
        <v>833</v>
      </c>
      <c r="J710" s="27" t="s">
        <v>109</v>
      </c>
      <c r="K710" s="27">
        <v>462</v>
      </c>
      <c r="L710" s="27">
        <v>306</v>
      </c>
      <c r="M710" s="27">
        <v>287</v>
      </c>
      <c r="N710" s="27">
        <v>19</v>
      </c>
      <c r="O710" s="27">
        <v>4</v>
      </c>
      <c r="P710" s="27">
        <v>19</v>
      </c>
      <c r="Q710" s="27" t="s">
        <v>102</v>
      </c>
      <c r="R710" s="27">
        <v>64</v>
      </c>
      <c r="S710" s="27">
        <v>66</v>
      </c>
      <c r="T710" s="29">
        <v>73.7</v>
      </c>
      <c r="U710" s="29">
        <v>2.67</v>
      </c>
      <c r="V710" s="29">
        <v>15</v>
      </c>
      <c r="W710" s="30">
        <v>10037.77</v>
      </c>
      <c r="X710" s="27">
        <v>5.39</v>
      </c>
      <c r="Y710" s="27" t="s">
        <v>66</v>
      </c>
      <c r="Z710" s="29">
        <v>32</v>
      </c>
      <c r="AA710" s="30">
        <v>15161.6</v>
      </c>
      <c r="AB710" s="29">
        <v>0.93790849673202603</v>
      </c>
      <c r="AC710" s="30">
        <v>12598.27</v>
      </c>
      <c r="AD710" s="30">
        <v>131.212679738562</v>
      </c>
      <c r="AE710" s="27">
        <v>492.8</v>
      </c>
      <c r="AF710" s="29">
        <v>0.96144480519480502</v>
      </c>
      <c r="AG710" s="30">
        <v>2432.11732026144</v>
      </c>
      <c r="AH710" s="31">
        <f t="shared" si="177"/>
        <v>0.66233766233766234</v>
      </c>
      <c r="AI710" s="31">
        <f t="shared" si="178"/>
        <v>6.2091503267973858E-2</v>
      </c>
      <c r="AJ710" s="31">
        <f t="shared" si="179"/>
        <v>1.3071895424836602E-2</v>
      </c>
      <c r="AK710" s="31">
        <f t="shared" si="180"/>
        <v>0.93790849673202614</v>
      </c>
      <c r="AL710" s="29">
        <f t="shared" si="181"/>
        <v>0.31666666666666665</v>
      </c>
      <c r="AM710" s="29">
        <f t="shared" si="182"/>
        <v>473.8</v>
      </c>
      <c r="AN710" s="29">
        <f t="shared" si="183"/>
        <v>0.64584212747994929</v>
      </c>
      <c r="AO710" s="29">
        <f t="shared" si="184"/>
        <v>0.9375</v>
      </c>
      <c r="AP710" s="31">
        <f t="shared" si="185"/>
        <v>0.68889826931194587</v>
      </c>
      <c r="AQ710" s="31">
        <f t="shared" si="186"/>
        <v>0.93790849673202614</v>
      </c>
      <c r="AR710" s="31">
        <f t="shared" si="187"/>
        <v>0.62121212121212099</v>
      </c>
      <c r="AS710" s="29">
        <f t="shared" si="188"/>
        <v>41.170816993464051</v>
      </c>
      <c r="AT710" s="29">
        <f t="shared" si="189"/>
        <v>7.9480958178478431</v>
      </c>
      <c r="AU710" s="27" t="str">
        <f t="shared" si="190"/>
        <v>High</v>
      </c>
      <c r="AV710" s="27" t="str">
        <f t="shared" si="191"/>
        <v>Critical</v>
      </c>
      <c r="AW710" s="27"/>
    </row>
    <row r="711" spans="1:49" x14ac:dyDescent="0.25">
      <c r="A711" s="27">
        <v>710</v>
      </c>
      <c r="B711" s="28">
        <v>46148</v>
      </c>
      <c r="C711" s="28" t="str">
        <f t="shared" si="176"/>
        <v>May</v>
      </c>
      <c r="D711" s="27" t="s">
        <v>47</v>
      </c>
      <c r="E711" s="27" t="s">
        <v>61</v>
      </c>
      <c r="F711" s="27" t="s">
        <v>62</v>
      </c>
      <c r="G711" s="27" t="s">
        <v>78</v>
      </c>
      <c r="H711" s="27" t="s">
        <v>79</v>
      </c>
      <c r="I711" s="27" t="s">
        <v>834</v>
      </c>
      <c r="J711" s="27" t="s">
        <v>161</v>
      </c>
      <c r="K711" s="27">
        <v>744</v>
      </c>
      <c r="L711" s="27">
        <v>683</v>
      </c>
      <c r="M711" s="27">
        <v>646</v>
      </c>
      <c r="N711" s="27">
        <v>37</v>
      </c>
      <c r="O711" s="27">
        <v>13</v>
      </c>
      <c r="P711" s="27">
        <v>6</v>
      </c>
      <c r="Q711" s="27" t="s">
        <v>54</v>
      </c>
      <c r="R711" s="27">
        <v>49</v>
      </c>
      <c r="S711" s="27">
        <v>50</v>
      </c>
      <c r="T711" s="29">
        <v>75.400000000000006</v>
      </c>
      <c r="U711" s="29">
        <v>2.85</v>
      </c>
      <c r="V711" s="29">
        <v>26.83</v>
      </c>
      <c r="W711" s="30">
        <v>14762.08</v>
      </c>
      <c r="X711" s="27">
        <v>6.65</v>
      </c>
      <c r="Y711" s="27" t="s">
        <v>55</v>
      </c>
      <c r="Z711" s="29">
        <v>7</v>
      </c>
      <c r="AA711" s="30">
        <v>24991.63</v>
      </c>
      <c r="AB711" s="29">
        <v>0.94582723279648595</v>
      </c>
      <c r="AC711" s="30">
        <v>17996.05</v>
      </c>
      <c r="AD711" s="30">
        <v>280.97663250366003</v>
      </c>
      <c r="AE711" s="27">
        <v>607.6</v>
      </c>
      <c r="AF711" s="29">
        <v>0.99012508229098095</v>
      </c>
      <c r="AG711" s="30">
        <v>6714.6033674963401</v>
      </c>
      <c r="AH711" s="31">
        <f t="shared" si="177"/>
        <v>0.918010752688172</v>
      </c>
      <c r="AI711" s="31">
        <f t="shared" si="178"/>
        <v>5.4172767203513911E-2</v>
      </c>
      <c r="AJ711" s="31">
        <f t="shared" si="179"/>
        <v>1.9033674963396779E-2</v>
      </c>
      <c r="AK711" s="31">
        <f t="shared" si="180"/>
        <v>0.94582723279648606</v>
      </c>
      <c r="AL711" s="29">
        <f t="shared" si="181"/>
        <v>0.1</v>
      </c>
      <c r="AM711" s="29">
        <f t="shared" si="182"/>
        <v>601.6</v>
      </c>
      <c r="AN711" s="29">
        <f t="shared" si="183"/>
        <v>1.1353058510638296</v>
      </c>
      <c r="AO711" s="29">
        <f t="shared" si="184"/>
        <v>1.2244897959183674</v>
      </c>
      <c r="AP711" s="31">
        <f t="shared" si="185"/>
        <v>0.92716644503546086</v>
      </c>
      <c r="AQ711" s="31">
        <f t="shared" si="186"/>
        <v>0.94582723279648606</v>
      </c>
      <c r="AR711" s="31">
        <f t="shared" si="187"/>
        <v>0.86827956989247301</v>
      </c>
      <c r="AS711" s="29">
        <f t="shared" si="188"/>
        <v>26.34853587115666</v>
      </c>
      <c r="AT711" s="29">
        <f t="shared" si="189"/>
        <v>9.8310444619272914</v>
      </c>
      <c r="AU711" s="27" t="str">
        <f t="shared" si="190"/>
        <v>Low</v>
      </c>
      <c r="AV711" s="27" t="str">
        <f t="shared" si="191"/>
        <v>Normal</v>
      </c>
      <c r="AW711" s="27"/>
    </row>
    <row r="712" spans="1:49" x14ac:dyDescent="0.25">
      <c r="A712" s="27">
        <v>711</v>
      </c>
      <c r="B712" s="28">
        <v>46040</v>
      </c>
      <c r="C712" s="28" t="str">
        <f t="shared" si="176"/>
        <v>January</v>
      </c>
      <c r="D712" s="27" t="s">
        <v>67</v>
      </c>
      <c r="E712" s="27" t="s">
        <v>98</v>
      </c>
      <c r="F712" s="27" t="s">
        <v>105</v>
      </c>
      <c r="G712" s="27" t="s">
        <v>50</v>
      </c>
      <c r="H712" s="27" t="s">
        <v>57</v>
      </c>
      <c r="I712" s="27" t="s">
        <v>835</v>
      </c>
      <c r="J712" s="27" t="s">
        <v>138</v>
      </c>
      <c r="K712" s="27">
        <v>696</v>
      </c>
      <c r="L712" s="27">
        <v>646</v>
      </c>
      <c r="M712" s="27">
        <v>597</v>
      </c>
      <c r="N712" s="27">
        <v>49</v>
      </c>
      <c r="O712" s="27">
        <v>20</v>
      </c>
      <c r="P712" s="27">
        <v>40</v>
      </c>
      <c r="Q712" s="27" t="s">
        <v>75</v>
      </c>
      <c r="R712" s="27">
        <v>45</v>
      </c>
      <c r="S712" s="27">
        <v>47</v>
      </c>
      <c r="T712" s="29">
        <v>71.7</v>
      </c>
      <c r="U712" s="29">
        <v>2.95</v>
      </c>
      <c r="V712" s="29">
        <v>26.38</v>
      </c>
      <c r="W712" s="30">
        <v>12613.43</v>
      </c>
      <c r="X712" s="27">
        <v>6.89</v>
      </c>
      <c r="Y712" s="27" t="s">
        <v>71</v>
      </c>
      <c r="Z712" s="29">
        <v>57</v>
      </c>
      <c r="AA712" s="30">
        <v>20820.46</v>
      </c>
      <c r="AB712" s="29">
        <v>0.92414860681114597</v>
      </c>
      <c r="AC712" s="30">
        <v>15951.35</v>
      </c>
      <c r="AD712" s="30">
        <v>390.50866873065002</v>
      </c>
      <c r="AE712" s="27">
        <v>522</v>
      </c>
      <c r="AF712" s="29">
        <v>0.92337164750957901</v>
      </c>
      <c r="AG712" s="30">
        <v>4478.6013312693503</v>
      </c>
      <c r="AH712" s="31">
        <f t="shared" si="177"/>
        <v>0.92816091954022983</v>
      </c>
      <c r="AI712" s="31">
        <f t="shared" si="178"/>
        <v>7.5851393188854491E-2</v>
      </c>
      <c r="AJ712" s="31">
        <f t="shared" si="179"/>
        <v>3.0959752321981424E-2</v>
      </c>
      <c r="AK712" s="31">
        <f t="shared" si="180"/>
        <v>0.92414860681114552</v>
      </c>
      <c r="AL712" s="29">
        <f t="shared" si="181"/>
        <v>0.66666666666666663</v>
      </c>
      <c r="AM712" s="29">
        <f t="shared" si="182"/>
        <v>482</v>
      </c>
      <c r="AN712" s="29">
        <f t="shared" si="183"/>
        <v>1.3402489626556016</v>
      </c>
      <c r="AO712" s="29">
        <f t="shared" si="184"/>
        <v>1.3333333333333333</v>
      </c>
      <c r="AP712" s="31">
        <f t="shared" si="185"/>
        <v>1.0051867219917012</v>
      </c>
      <c r="AQ712" s="31">
        <f t="shared" si="186"/>
        <v>0.92414860681114552</v>
      </c>
      <c r="AR712" s="31">
        <f t="shared" si="187"/>
        <v>0.85775862068965569</v>
      </c>
      <c r="AS712" s="29">
        <f t="shared" si="188"/>
        <v>24.692492260061918</v>
      </c>
      <c r="AT712" s="29">
        <f t="shared" si="189"/>
        <v>6.9328193982497686</v>
      </c>
      <c r="AU712" s="27" t="str">
        <f t="shared" si="190"/>
        <v>High</v>
      </c>
      <c r="AV712" s="27" t="str">
        <f t="shared" si="191"/>
        <v>Normal</v>
      </c>
      <c r="AW712" s="27"/>
    </row>
    <row r="713" spans="1:49" x14ac:dyDescent="0.25">
      <c r="A713" s="27">
        <v>712</v>
      </c>
      <c r="B713" s="28">
        <v>46152</v>
      </c>
      <c r="C713" s="28" t="str">
        <f t="shared" si="176"/>
        <v>May</v>
      </c>
      <c r="D713" s="27" t="s">
        <v>67</v>
      </c>
      <c r="E713" s="27" t="s">
        <v>76</v>
      </c>
      <c r="F713" s="27" t="s">
        <v>77</v>
      </c>
      <c r="G713" s="27" t="s">
        <v>78</v>
      </c>
      <c r="H713" s="27" t="s">
        <v>79</v>
      </c>
      <c r="I713" s="27" t="s">
        <v>836</v>
      </c>
      <c r="J713" s="27" t="s">
        <v>134</v>
      </c>
      <c r="K713" s="27">
        <v>762</v>
      </c>
      <c r="L713" s="27">
        <v>553</v>
      </c>
      <c r="M713" s="27">
        <v>513</v>
      </c>
      <c r="N713" s="27">
        <v>40</v>
      </c>
      <c r="O713" s="27">
        <v>11</v>
      </c>
      <c r="P713" s="27">
        <v>57</v>
      </c>
      <c r="Q713" s="27" t="s">
        <v>75</v>
      </c>
      <c r="R713" s="27">
        <v>49</v>
      </c>
      <c r="S713" s="27">
        <v>51</v>
      </c>
      <c r="T713" s="29">
        <v>73.599999999999994</v>
      </c>
      <c r="U713" s="29">
        <v>1.82</v>
      </c>
      <c r="V713" s="29">
        <v>19.329999999999998</v>
      </c>
      <c r="W713" s="30">
        <v>11753.49</v>
      </c>
      <c r="X713" s="27">
        <v>6.91</v>
      </c>
      <c r="Y713" s="27" t="s">
        <v>66</v>
      </c>
      <c r="Z713" s="29">
        <v>17</v>
      </c>
      <c r="AA713" s="30">
        <v>18927.39</v>
      </c>
      <c r="AB713" s="29">
        <v>0.92766726943942102</v>
      </c>
      <c r="AC713" s="30">
        <v>15036.96</v>
      </c>
      <c r="AD713" s="30">
        <v>233.79455696202501</v>
      </c>
      <c r="AE713" s="27">
        <v>622.29999999999995</v>
      </c>
      <c r="AF713" s="29">
        <v>0.90840430660453197</v>
      </c>
      <c r="AG713" s="30">
        <v>3656.6354430379802</v>
      </c>
      <c r="AH713" s="31">
        <f t="shared" si="177"/>
        <v>0.72572178477690286</v>
      </c>
      <c r="AI713" s="31">
        <f t="shared" si="178"/>
        <v>7.2332730560578665E-2</v>
      </c>
      <c r="AJ713" s="31">
        <f t="shared" si="179"/>
        <v>1.9891500904159132E-2</v>
      </c>
      <c r="AK713" s="31">
        <f t="shared" si="180"/>
        <v>0.92766726943942135</v>
      </c>
      <c r="AL713" s="29">
        <f t="shared" si="181"/>
        <v>0.95</v>
      </c>
      <c r="AM713" s="29">
        <f t="shared" si="182"/>
        <v>565.29999999999995</v>
      </c>
      <c r="AN713" s="29">
        <f t="shared" si="183"/>
        <v>0.97824164160622684</v>
      </c>
      <c r="AO713" s="29">
        <f t="shared" si="184"/>
        <v>1.2244897959183674</v>
      </c>
      <c r="AP713" s="31">
        <f t="shared" si="185"/>
        <v>0.79889734064508522</v>
      </c>
      <c r="AQ713" s="31">
        <f t="shared" si="186"/>
        <v>0.92766726943942135</v>
      </c>
      <c r="AR713" s="31">
        <f t="shared" si="187"/>
        <v>0.67322834645669316</v>
      </c>
      <c r="AS713" s="29">
        <f t="shared" si="188"/>
        <v>27.191609403254972</v>
      </c>
      <c r="AT713" s="29">
        <f t="shared" si="189"/>
        <v>6.6123606564882103</v>
      </c>
      <c r="AU713" s="27" t="str">
        <f t="shared" si="190"/>
        <v>High</v>
      </c>
      <c r="AV713" s="27" t="str">
        <f t="shared" si="191"/>
        <v>Critical</v>
      </c>
      <c r="AW713" s="27"/>
    </row>
    <row r="714" spans="1:49" x14ac:dyDescent="0.25">
      <c r="A714" s="27">
        <v>713</v>
      </c>
      <c r="B714" s="28">
        <v>46198</v>
      </c>
      <c r="C714" s="28" t="str">
        <f t="shared" si="176"/>
        <v>June</v>
      </c>
      <c r="D714" s="27" t="s">
        <v>67</v>
      </c>
      <c r="E714" s="27" t="s">
        <v>98</v>
      </c>
      <c r="F714" s="27" t="s">
        <v>126</v>
      </c>
      <c r="G714" s="27" t="s">
        <v>63</v>
      </c>
      <c r="H714" s="27" t="s">
        <v>51</v>
      </c>
      <c r="I714" s="27" t="s">
        <v>837</v>
      </c>
      <c r="J714" s="27" t="s">
        <v>117</v>
      </c>
      <c r="K714" s="27">
        <v>977</v>
      </c>
      <c r="L714" s="27">
        <v>904</v>
      </c>
      <c r="M714" s="27">
        <v>832</v>
      </c>
      <c r="N714" s="27">
        <v>72</v>
      </c>
      <c r="O714" s="27">
        <v>23</v>
      </c>
      <c r="P714" s="27">
        <v>43</v>
      </c>
      <c r="Q714" s="27" t="s">
        <v>102</v>
      </c>
      <c r="R714" s="27">
        <v>42</v>
      </c>
      <c r="S714" s="27">
        <v>44</v>
      </c>
      <c r="T714" s="29">
        <v>71.5</v>
      </c>
      <c r="U714" s="29">
        <v>2.2599999999999998</v>
      </c>
      <c r="V714" s="29">
        <v>32.11</v>
      </c>
      <c r="W714" s="30">
        <v>16686.349999999999</v>
      </c>
      <c r="X714" s="27">
        <v>8.81</v>
      </c>
      <c r="Y714" s="27" t="s">
        <v>110</v>
      </c>
      <c r="Z714" s="29">
        <v>23</v>
      </c>
      <c r="AA714" s="30">
        <v>25992.46</v>
      </c>
      <c r="AB714" s="29">
        <v>0.92035398230088505</v>
      </c>
      <c r="AC714" s="30">
        <v>20939.84</v>
      </c>
      <c r="AD714" s="30">
        <v>424.54209070796497</v>
      </c>
      <c r="AE714" s="27">
        <v>683.9</v>
      </c>
      <c r="AF714" s="29">
        <v>0.93712531071794103</v>
      </c>
      <c r="AG714" s="30">
        <v>4628.0779092920402</v>
      </c>
      <c r="AH714" s="31">
        <f t="shared" si="177"/>
        <v>0.92528147389969295</v>
      </c>
      <c r="AI714" s="31">
        <f t="shared" si="178"/>
        <v>7.9646017699115043E-2</v>
      </c>
      <c r="AJ714" s="31">
        <f t="shared" si="179"/>
        <v>2.5442477876106196E-2</v>
      </c>
      <c r="AK714" s="31">
        <f t="shared" si="180"/>
        <v>0.92035398230088494</v>
      </c>
      <c r="AL714" s="29">
        <f t="shared" si="181"/>
        <v>0.71666666666666667</v>
      </c>
      <c r="AM714" s="29">
        <f t="shared" si="182"/>
        <v>640.9</v>
      </c>
      <c r="AN714" s="29">
        <f t="shared" si="183"/>
        <v>1.4105164612264005</v>
      </c>
      <c r="AO714" s="29">
        <f t="shared" si="184"/>
        <v>1.4285714285714286</v>
      </c>
      <c r="AP714" s="31">
        <f t="shared" si="185"/>
        <v>0.98736152285848033</v>
      </c>
      <c r="AQ714" s="31">
        <f t="shared" si="186"/>
        <v>0.92035398230088494</v>
      </c>
      <c r="AR714" s="31">
        <f t="shared" si="187"/>
        <v>0.85158648925281466</v>
      </c>
      <c r="AS714" s="29">
        <f t="shared" si="188"/>
        <v>23.163539823008851</v>
      </c>
      <c r="AT714" s="29">
        <f t="shared" si="189"/>
        <v>5.1195552093938499</v>
      </c>
      <c r="AU714" s="27" t="str">
        <f t="shared" si="190"/>
        <v>Medium</v>
      </c>
      <c r="AV714" s="27" t="str">
        <f t="shared" si="191"/>
        <v>Normal</v>
      </c>
      <c r="AW714" s="27"/>
    </row>
    <row r="715" spans="1:49" x14ac:dyDescent="0.25">
      <c r="A715" s="27">
        <v>714</v>
      </c>
      <c r="B715" s="28">
        <v>46138</v>
      </c>
      <c r="C715" s="28" t="str">
        <f t="shared" si="176"/>
        <v>April</v>
      </c>
      <c r="D715" s="27" t="s">
        <v>47</v>
      </c>
      <c r="E715" s="27" t="s">
        <v>129</v>
      </c>
      <c r="F715" s="27" t="s">
        <v>151</v>
      </c>
      <c r="G715" s="27" t="s">
        <v>50</v>
      </c>
      <c r="H715" s="27" t="s">
        <v>57</v>
      </c>
      <c r="I715" s="27" t="s">
        <v>838</v>
      </c>
      <c r="J715" s="27" t="s">
        <v>128</v>
      </c>
      <c r="K715" s="27">
        <v>875</v>
      </c>
      <c r="L715" s="27">
        <v>852</v>
      </c>
      <c r="M715" s="27">
        <v>805</v>
      </c>
      <c r="N715" s="27">
        <v>47</v>
      </c>
      <c r="O715" s="27">
        <v>11</v>
      </c>
      <c r="P715" s="27">
        <v>25</v>
      </c>
      <c r="Q715" s="27" t="s">
        <v>54</v>
      </c>
      <c r="R715" s="27">
        <v>45</v>
      </c>
      <c r="S715" s="27">
        <v>47</v>
      </c>
      <c r="T715" s="29">
        <v>72.8</v>
      </c>
      <c r="U715" s="29">
        <v>2.56</v>
      </c>
      <c r="V715" s="29">
        <v>33.659999999999997</v>
      </c>
      <c r="W715" s="30">
        <v>16654.310000000001</v>
      </c>
      <c r="X715" s="27">
        <v>9.09</v>
      </c>
      <c r="Y715" s="27" t="s">
        <v>55</v>
      </c>
      <c r="Z715" s="29">
        <v>1</v>
      </c>
      <c r="AA715" s="30">
        <v>27380.61</v>
      </c>
      <c r="AB715" s="29">
        <v>0.94483568075117397</v>
      </c>
      <c r="AC715" s="30">
        <v>21047.75</v>
      </c>
      <c r="AD715" s="30">
        <v>215.020434272301</v>
      </c>
      <c r="AE715" s="27">
        <v>656.25</v>
      </c>
      <c r="AF715" s="29">
        <v>0.96190476190476204</v>
      </c>
      <c r="AG715" s="30">
        <v>6117.8395657276997</v>
      </c>
      <c r="AH715" s="31">
        <f t="shared" si="177"/>
        <v>0.97371428571428575</v>
      </c>
      <c r="AI715" s="31">
        <f t="shared" si="178"/>
        <v>5.5164319248826289E-2</v>
      </c>
      <c r="AJ715" s="31">
        <f t="shared" si="179"/>
        <v>1.2910798122065728E-2</v>
      </c>
      <c r="AK715" s="31">
        <f t="shared" si="180"/>
        <v>0.94483568075117375</v>
      </c>
      <c r="AL715" s="29">
        <f t="shared" si="181"/>
        <v>0.41666666666666669</v>
      </c>
      <c r="AM715" s="29">
        <f t="shared" si="182"/>
        <v>631.25</v>
      </c>
      <c r="AN715" s="29">
        <f t="shared" si="183"/>
        <v>1.3497029702970298</v>
      </c>
      <c r="AO715" s="29">
        <f t="shared" si="184"/>
        <v>1.3333333333333333</v>
      </c>
      <c r="AP715" s="31">
        <f t="shared" si="185"/>
        <v>1.0122772277227725</v>
      </c>
      <c r="AQ715" s="31">
        <f t="shared" si="186"/>
        <v>0.94483568075117375</v>
      </c>
      <c r="AR715" s="31">
        <f t="shared" si="187"/>
        <v>0.92000000000000037</v>
      </c>
      <c r="AS715" s="29">
        <f t="shared" si="188"/>
        <v>24.703931924882628</v>
      </c>
      <c r="AT715" s="29">
        <f t="shared" si="189"/>
        <v>7.1805628705724178</v>
      </c>
      <c r="AU715" s="27" t="str">
        <f t="shared" si="190"/>
        <v>Low</v>
      </c>
      <c r="AV715" s="27" t="str">
        <f t="shared" si="191"/>
        <v>Normal</v>
      </c>
      <c r="AW715" s="27"/>
    </row>
    <row r="716" spans="1:49" x14ac:dyDescent="0.25">
      <c r="A716" s="27">
        <v>715</v>
      </c>
      <c r="B716" s="28">
        <v>46063</v>
      </c>
      <c r="C716" s="28" t="str">
        <f t="shared" si="176"/>
        <v>February</v>
      </c>
      <c r="D716" s="27" t="s">
        <v>47</v>
      </c>
      <c r="E716" s="27" t="s">
        <v>98</v>
      </c>
      <c r="F716" s="27" t="s">
        <v>126</v>
      </c>
      <c r="G716" s="27" t="s">
        <v>78</v>
      </c>
      <c r="H716" s="27" t="s">
        <v>68</v>
      </c>
      <c r="I716" s="27" t="s">
        <v>839</v>
      </c>
      <c r="J716" s="27" t="s">
        <v>161</v>
      </c>
      <c r="K716" s="27">
        <v>492</v>
      </c>
      <c r="L716" s="27">
        <v>421</v>
      </c>
      <c r="M716" s="27">
        <v>387</v>
      </c>
      <c r="N716" s="27">
        <v>34</v>
      </c>
      <c r="O716" s="27">
        <v>6</v>
      </c>
      <c r="P716" s="27">
        <v>25</v>
      </c>
      <c r="Q716" s="27" t="s">
        <v>54</v>
      </c>
      <c r="R716" s="27">
        <v>64</v>
      </c>
      <c r="S716" s="27">
        <v>63</v>
      </c>
      <c r="T716" s="29">
        <v>74.3</v>
      </c>
      <c r="U716" s="29">
        <v>1.68</v>
      </c>
      <c r="V716" s="29">
        <v>17.86</v>
      </c>
      <c r="W716" s="30">
        <v>13627.07</v>
      </c>
      <c r="X716" s="27">
        <v>8.76</v>
      </c>
      <c r="Y716" s="27" t="s">
        <v>110</v>
      </c>
      <c r="Z716" s="29">
        <v>29</v>
      </c>
      <c r="AA716" s="30">
        <v>20383.439999999999</v>
      </c>
      <c r="AB716" s="29">
        <v>0.91923990498812402</v>
      </c>
      <c r="AC716" s="30">
        <v>17729.810000000001</v>
      </c>
      <c r="AD716" s="30">
        <v>194.21002375296899</v>
      </c>
      <c r="AE716" s="27">
        <v>524.79999999999995</v>
      </c>
      <c r="AF716" s="29">
        <v>0.95236280487804903</v>
      </c>
      <c r="AG716" s="30">
        <v>2459.4199762470298</v>
      </c>
      <c r="AH716" s="31">
        <f t="shared" si="177"/>
        <v>0.85569105691056913</v>
      </c>
      <c r="AI716" s="31">
        <f t="shared" si="178"/>
        <v>8.076009501187649E-2</v>
      </c>
      <c r="AJ716" s="31">
        <f t="shared" si="179"/>
        <v>1.4251781472684086E-2</v>
      </c>
      <c r="AK716" s="31">
        <f t="shared" si="180"/>
        <v>0.91923990498812347</v>
      </c>
      <c r="AL716" s="29">
        <f t="shared" si="181"/>
        <v>0.41666666666666669</v>
      </c>
      <c r="AM716" s="29">
        <f t="shared" si="182"/>
        <v>499.79999999999995</v>
      </c>
      <c r="AN716" s="29">
        <f t="shared" si="183"/>
        <v>0.8423369347739097</v>
      </c>
      <c r="AO716" s="29">
        <f t="shared" si="184"/>
        <v>0.9375</v>
      </c>
      <c r="AP716" s="31">
        <f t="shared" si="185"/>
        <v>0.89849273042550371</v>
      </c>
      <c r="AQ716" s="31">
        <f t="shared" si="186"/>
        <v>0.91923990498812347</v>
      </c>
      <c r="AR716" s="31">
        <f t="shared" si="187"/>
        <v>0.78658536585365879</v>
      </c>
      <c r="AS716" s="29">
        <f t="shared" si="188"/>
        <v>42.113562945368173</v>
      </c>
      <c r="AT716" s="29">
        <f t="shared" si="189"/>
        <v>5.8418526751710917</v>
      </c>
      <c r="AU716" s="27" t="str">
        <f t="shared" si="190"/>
        <v>High</v>
      </c>
      <c r="AV716" s="27" t="str">
        <f t="shared" si="191"/>
        <v>Warning</v>
      </c>
      <c r="AW716" s="27"/>
    </row>
    <row r="717" spans="1:49" x14ac:dyDescent="0.25">
      <c r="A717" s="27">
        <v>716</v>
      </c>
      <c r="B717" s="28">
        <v>46054</v>
      </c>
      <c r="C717" s="28" t="str">
        <f t="shared" si="176"/>
        <v>February</v>
      </c>
      <c r="D717" s="27" t="s">
        <v>47</v>
      </c>
      <c r="E717" s="27" t="s">
        <v>76</v>
      </c>
      <c r="F717" s="27" t="s">
        <v>77</v>
      </c>
      <c r="G717" s="27" t="s">
        <v>78</v>
      </c>
      <c r="H717" s="27" t="s">
        <v>51</v>
      </c>
      <c r="I717" s="27" t="s">
        <v>840</v>
      </c>
      <c r="J717" s="27" t="s">
        <v>90</v>
      </c>
      <c r="K717" s="27">
        <v>767</v>
      </c>
      <c r="L717" s="27">
        <v>617</v>
      </c>
      <c r="M717" s="27">
        <v>577</v>
      </c>
      <c r="N717" s="27">
        <v>40</v>
      </c>
      <c r="O717" s="27">
        <v>12</v>
      </c>
      <c r="P717" s="27">
        <v>32</v>
      </c>
      <c r="Q717" s="27" t="s">
        <v>94</v>
      </c>
      <c r="R717" s="27">
        <v>42</v>
      </c>
      <c r="S717" s="27">
        <v>47</v>
      </c>
      <c r="T717" s="29">
        <v>67.8</v>
      </c>
      <c r="U717" s="29">
        <v>1.57</v>
      </c>
      <c r="V717" s="29">
        <v>19.39</v>
      </c>
      <c r="W717" s="30">
        <v>11306.48</v>
      </c>
      <c r="X717" s="27">
        <v>7.79</v>
      </c>
      <c r="Y717" s="27" t="s">
        <v>71</v>
      </c>
      <c r="Z717" s="29">
        <v>26</v>
      </c>
      <c r="AA717" s="30">
        <v>18620.78</v>
      </c>
      <c r="AB717" s="29">
        <v>0.93517017828200999</v>
      </c>
      <c r="AC717" s="30">
        <v>14986.49</v>
      </c>
      <c r="AD717" s="30">
        <v>219.89912479740701</v>
      </c>
      <c r="AE717" s="27">
        <v>536.9</v>
      </c>
      <c r="AF717" s="29">
        <v>0.94039858446638103</v>
      </c>
      <c r="AG717" s="30">
        <v>3414.39087520259</v>
      </c>
      <c r="AH717" s="31">
        <f t="shared" si="177"/>
        <v>0.80443285528031294</v>
      </c>
      <c r="AI717" s="31">
        <f t="shared" si="178"/>
        <v>6.4829821717990274E-2</v>
      </c>
      <c r="AJ717" s="31">
        <f t="shared" si="179"/>
        <v>1.9448946515397084E-2</v>
      </c>
      <c r="AK717" s="31">
        <f t="shared" si="180"/>
        <v>0.93517017828200977</v>
      </c>
      <c r="AL717" s="29">
        <f t="shared" si="181"/>
        <v>0.53333333333333333</v>
      </c>
      <c r="AM717" s="29">
        <f t="shared" si="182"/>
        <v>504.9</v>
      </c>
      <c r="AN717" s="29">
        <f t="shared" si="183"/>
        <v>1.2220241632006339</v>
      </c>
      <c r="AO717" s="29">
        <f t="shared" si="184"/>
        <v>1.4285714285714286</v>
      </c>
      <c r="AP717" s="31">
        <f t="shared" si="185"/>
        <v>0.85541691424044375</v>
      </c>
      <c r="AQ717" s="31">
        <f t="shared" si="186"/>
        <v>0.93517017828200977</v>
      </c>
      <c r="AR717" s="31">
        <f t="shared" si="187"/>
        <v>0.75228161668839644</v>
      </c>
      <c r="AS717" s="29">
        <f t="shared" si="188"/>
        <v>24.289286871961103</v>
      </c>
      <c r="AT717" s="29">
        <f t="shared" si="189"/>
        <v>5.533858792872917</v>
      </c>
      <c r="AU717" s="27" t="str">
        <f t="shared" si="190"/>
        <v>High</v>
      </c>
      <c r="AV717" s="27" t="str">
        <f t="shared" si="191"/>
        <v>Warning</v>
      </c>
      <c r="AW717" s="27"/>
    </row>
    <row r="718" spans="1:49" x14ac:dyDescent="0.25">
      <c r="A718" s="27">
        <v>717</v>
      </c>
      <c r="B718" s="28">
        <v>46072</v>
      </c>
      <c r="C718" s="28" t="str">
        <f t="shared" si="176"/>
        <v>February</v>
      </c>
      <c r="D718" s="27" t="s">
        <v>67</v>
      </c>
      <c r="E718" s="27" t="s">
        <v>129</v>
      </c>
      <c r="F718" s="27" t="s">
        <v>151</v>
      </c>
      <c r="G718" s="27" t="s">
        <v>78</v>
      </c>
      <c r="H718" s="27" t="s">
        <v>124</v>
      </c>
      <c r="I718" s="27" t="s">
        <v>841</v>
      </c>
      <c r="J718" s="27" t="s">
        <v>53</v>
      </c>
      <c r="K718" s="27">
        <v>528</v>
      </c>
      <c r="L718" s="27">
        <v>417</v>
      </c>
      <c r="M718" s="27">
        <v>392</v>
      </c>
      <c r="N718" s="27">
        <v>25</v>
      </c>
      <c r="O718" s="27">
        <v>6</v>
      </c>
      <c r="P718" s="27">
        <v>0</v>
      </c>
      <c r="Q718" s="27" t="s">
        <v>60</v>
      </c>
      <c r="R718" s="27">
        <v>57</v>
      </c>
      <c r="S718" s="27">
        <v>60</v>
      </c>
      <c r="T718" s="29">
        <v>60.9</v>
      </c>
      <c r="U718" s="29">
        <v>2.9</v>
      </c>
      <c r="V718" s="29">
        <v>15.7</v>
      </c>
      <c r="W718" s="30">
        <v>11927.24</v>
      </c>
      <c r="X718" s="27">
        <v>6.55</v>
      </c>
      <c r="Y718" s="27" t="s">
        <v>110</v>
      </c>
      <c r="Z718" s="29">
        <v>19</v>
      </c>
      <c r="AA718" s="30">
        <v>17540.89</v>
      </c>
      <c r="AB718" s="29">
        <v>0.94004796163069604</v>
      </c>
      <c r="AC718" s="30">
        <v>15016.04</v>
      </c>
      <c r="AD718" s="30">
        <v>171.614964028777</v>
      </c>
      <c r="AE718" s="27">
        <v>501.6</v>
      </c>
      <c r="AF718" s="29">
        <v>1</v>
      </c>
      <c r="AG718" s="30">
        <v>2353.23503597122</v>
      </c>
      <c r="AH718" s="31">
        <f t="shared" si="177"/>
        <v>0.78977272727272729</v>
      </c>
      <c r="AI718" s="31">
        <f t="shared" si="178"/>
        <v>5.9952038369304558E-2</v>
      </c>
      <c r="AJ718" s="31">
        <f t="shared" si="179"/>
        <v>1.4388489208633094E-2</v>
      </c>
      <c r="AK718" s="31">
        <f t="shared" si="180"/>
        <v>0.94004796163069548</v>
      </c>
      <c r="AL718" s="29">
        <f t="shared" si="181"/>
        <v>0</v>
      </c>
      <c r="AM718" s="29">
        <f t="shared" si="182"/>
        <v>501.6</v>
      </c>
      <c r="AN718" s="29">
        <f t="shared" si="183"/>
        <v>0.83133971291866027</v>
      </c>
      <c r="AO718" s="29">
        <f t="shared" si="184"/>
        <v>1.0526315789473684</v>
      </c>
      <c r="AP718" s="31">
        <f t="shared" si="185"/>
        <v>0.78977272727272729</v>
      </c>
      <c r="AQ718" s="31">
        <f t="shared" si="186"/>
        <v>0.94004796163069548</v>
      </c>
      <c r="AR718" s="31">
        <f t="shared" si="187"/>
        <v>0.74242424242424243</v>
      </c>
      <c r="AS718" s="29">
        <f t="shared" si="188"/>
        <v>36.009688249400483</v>
      </c>
      <c r="AT718" s="29">
        <f t="shared" si="189"/>
        <v>5.643249486741535</v>
      </c>
      <c r="AU718" s="27" t="str">
        <f t="shared" si="190"/>
        <v>High</v>
      </c>
      <c r="AV718" s="27" t="str">
        <f t="shared" si="191"/>
        <v>Critical</v>
      </c>
      <c r="AW718" s="27"/>
    </row>
    <row r="719" spans="1:49" x14ac:dyDescent="0.25">
      <c r="A719" s="27">
        <v>718</v>
      </c>
      <c r="B719" s="28">
        <v>46133</v>
      </c>
      <c r="C719" s="28" t="str">
        <f t="shared" si="176"/>
        <v>April</v>
      </c>
      <c r="D719" s="27" t="s">
        <v>67</v>
      </c>
      <c r="E719" s="27" t="s">
        <v>61</v>
      </c>
      <c r="F719" s="27" t="s">
        <v>62</v>
      </c>
      <c r="G719" s="27" t="s">
        <v>50</v>
      </c>
      <c r="H719" s="27" t="s">
        <v>51</v>
      </c>
      <c r="I719" s="27" t="s">
        <v>842</v>
      </c>
      <c r="J719" s="27" t="s">
        <v>191</v>
      </c>
      <c r="K719" s="27">
        <v>909</v>
      </c>
      <c r="L719" s="27">
        <v>909</v>
      </c>
      <c r="M719" s="27">
        <v>863</v>
      </c>
      <c r="N719" s="27">
        <v>46</v>
      </c>
      <c r="O719" s="27">
        <v>14</v>
      </c>
      <c r="P719" s="27">
        <v>26</v>
      </c>
      <c r="Q719" s="27" t="s">
        <v>82</v>
      </c>
      <c r="R719" s="27">
        <v>42</v>
      </c>
      <c r="S719" s="27">
        <v>46</v>
      </c>
      <c r="T719" s="29">
        <v>72.599999999999994</v>
      </c>
      <c r="U719" s="29">
        <v>2.42</v>
      </c>
      <c r="V719" s="29">
        <v>28.19</v>
      </c>
      <c r="W719" s="30">
        <v>17668.88</v>
      </c>
      <c r="X719" s="27">
        <v>9.15</v>
      </c>
      <c r="Y719" s="27" t="s">
        <v>110</v>
      </c>
      <c r="Z719" s="29">
        <v>24</v>
      </c>
      <c r="AA719" s="30">
        <v>27565.35</v>
      </c>
      <c r="AB719" s="29">
        <v>0.94939493949394904</v>
      </c>
      <c r="AC719" s="30">
        <v>22040.09</v>
      </c>
      <c r="AD719" s="30">
        <v>272.12796479648</v>
      </c>
      <c r="AE719" s="27">
        <v>636.29999999999995</v>
      </c>
      <c r="AF719" s="29">
        <v>0.95913877101995904</v>
      </c>
      <c r="AG719" s="30">
        <v>5253.13203520352</v>
      </c>
      <c r="AH719" s="31">
        <f t="shared" si="177"/>
        <v>1</v>
      </c>
      <c r="AI719" s="31">
        <f t="shared" si="178"/>
        <v>5.0605060506050605E-2</v>
      </c>
      <c r="AJ719" s="31">
        <f t="shared" si="179"/>
        <v>1.5401540154015401E-2</v>
      </c>
      <c r="AK719" s="31">
        <f t="shared" si="180"/>
        <v>0.94939493949394937</v>
      </c>
      <c r="AL719" s="29">
        <f t="shared" si="181"/>
        <v>0.43333333333333335</v>
      </c>
      <c r="AM719" s="29">
        <f t="shared" si="182"/>
        <v>610.29999999999995</v>
      </c>
      <c r="AN719" s="29">
        <f t="shared" si="183"/>
        <v>1.4894314271669671</v>
      </c>
      <c r="AO719" s="29">
        <f t="shared" si="184"/>
        <v>1.4285714285714286</v>
      </c>
      <c r="AP719" s="31">
        <f t="shared" si="185"/>
        <v>1.0426019990168769</v>
      </c>
      <c r="AQ719" s="31">
        <f t="shared" si="186"/>
        <v>0.94939493949394937</v>
      </c>
      <c r="AR719" s="31">
        <f t="shared" si="187"/>
        <v>0.94939493949394926</v>
      </c>
      <c r="AS719" s="29">
        <f t="shared" si="188"/>
        <v>24.246523652365237</v>
      </c>
      <c r="AT719" s="29">
        <f t="shared" si="189"/>
        <v>5.7790231410379755</v>
      </c>
      <c r="AU719" s="27" t="str">
        <f t="shared" si="190"/>
        <v>Medium</v>
      </c>
      <c r="AV719" s="27" t="str">
        <f t="shared" si="191"/>
        <v>Normal</v>
      </c>
      <c r="AW719" s="27"/>
    </row>
    <row r="720" spans="1:49" x14ac:dyDescent="0.25">
      <c r="A720" s="27">
        <v>719</v>
      </c>
      <c r="B720" s="28">
        <v>46156</v>
      </c>
      <c r="C720" s="28" t="str">
        <f t="shared" si="176"/>
        <v>May</v>
      </c>
      <c r="D720" s="27" t="s">
        <v>47</v>
      </c>
      <c r="E720" s="27" t="s">
        <v>129</v>
      </c>
      <c r="F720" s="27" t="s">
        <v>130</v>
      </c>
      <c r="G720" s="27" t="s">
        <v>63</v>
      </c>
      <c r="H720" s="27" t="s">
        <v>79</v>
      </c>
      <c r="I720" s="27" t="s">
        <v>843</v>
      </c>
      <c r="J720" s="27" t="s">
        <v>138</v>
      </c>
      <c r="K720" s="27">
        <v>770</v>
      </c>
      <c r="L720" s="27">
        <v>669</v>
      </c>
      <c r="M720" s="27">
        <v>597</v>
      </c>
      <c r="N720" s="27">
        <v>72</v>
      </c>
      <c r="O720" s="27">
        <v>22</v>
      </c>
      <c r="P720" s="27">
        <v>47</v>
      </c>
      <c r="Q720" s="27" t="s">
        <v>54</v>
      </c>
      <c r="R720" s="27">
        <v>49</v>
      </c>
      <c r="S720" s="27">
        <v>53</v>
      </c>
      <c r="T720" s="29">
        <v>71.599999999999994</v>
      </c>
      <c r="U720" s="29">
        <v>2.69</v>
      </c>
      <c r="V720" s="29">
        <v>27.51</v>
      </c>
      <c r="W720" s="30">
        <v>15215.33</v>
      </c>
      <c r="X720" s="27">
        <v>6.46</v>
      </c>
      <c r="Y720" s="27" t="s">
        <v>55</v>
      </c>
      <c r="Z720" s="29">
        <v>33</v>
      </c>
      <c r="AA720" s="30">
        <v>23098.23</v>
      </c>
      <c r="AB720" s="29">
        <v>0.89237668161435002</v>
      </c>
      <c r="AC720" s="30">
        <v>18369.919999999998</v>
      </c>
      <c r="AD720" s="30">
        <v>500.35464872944698</v>
      </c>
      <c r="AE720" s="27">
        <v>628.83333333333303</v>
      </c>
      <c r="AF720" s="29">
        <v>0.92525841505433304</v>
      </c>
      <c r="AG720" s="30">
        <v>4227.9553512705497</v>
      </c>
      <c r="AH720" s="31">
        <f t="shared" si="177"/>
        <v>0.86883116883116884</v>
      </c>
      <c r="AI720" s="31">
        <f t="shared" si="178"/>
        <v>0.10762331838565023</v>
      </c>
      <c r="AJ720" s="31">
        <f t="shared" si="179"/>
        <v>3.2884902840059793E-2</v>
      </c>
      <c r="AK720" s="31">
        <f t="shared" si="180"/>
        <v>0.8923766816143498</v>
      </c>
      <c r="AL720" s="29">
        <f t="shared" si="181"/>
        <v>0.78333333333333333</v>
      </c>
      <c r="AM720" s="29">
        <f t="shared" si="182"/>
        <v>581.83333333333303</v>
      </c>
      <c r="AN720" s="29">
        <f t="shared" si="183"/>
        <v>1.1498138069321118</v>
      </c>
      <c r="AO720" s="29">
        <f t="shared" si="184"/>
        <v>1.2244897959183674</v>
      </c>
      <c r="AP720" s="31">
        <f t="shared" si="185"/>
        <v>0.93901460899455791</v>
      </c>
      <c r="AQ720" s="31">
        <f t="shared" si="186"/>
        <v>0.8923766816143498</v>
      </c>
      <c r="AR720" s="31">
        <f t="shared" si="187"/>
        <v>0.77532467532467542</v>
      </c>
      <c r="AS720" s="29">
        <f t="shared" si="188"/>
        <v>27.458774289985051</v>
      </c>
      <c r="AT720" s="29">
        <f t="shared" si="189"/>
        <v>6.3198136790292221</v>
      </c>
      <c r="AU720" s="27" t="str">
        <f t="shared" si="190"/>
        <v>High</v>
      </c>
      <c r="AV720" s="27" t="str">
        <f t="shared" si="191"/>
        <v>Warning</v>
      </c>
      <c r="AW720" s="27"/>
    </row>
    <row r="721" spans="1:49" x14ac:dyDescent="0.25">
      <c r="A721" s="27">
        <v>720</v>
      </c>
      <c r="B721" s="28">
        <v>46132</v>
      </c>
      <c r="C721" s="28" t="str">
        <f t="shared" si="176"/>
        <v>April</v>
      </c>
      <c r="D721" s="27" t="s">
        <v>47</v>
      </c>
      <c r="E721" s="27" t="s">
        <v>129</v>
      </c>
      <c r="F721" s="27" t="s">
        <v>151</v>
      </c>
      <c r="G721" s="27" t="s">
        <v>78</v>
      </c>
      <c r="H721" s="27" t="s">
        <v>124</v>
      </c>
      <c r="I721" s="27" t="s">
        <v>844</v>
      </c>
      <c r="J721" s="27" t="s">
        <v>90</v>
      </c>
      <c r="K721" s="27">
        <v>525</v>
      </c>
      <c r="L721" s="27">
        <v>450</v>
      </c>
      <c r="M721" s="27">
        <v>422</v>
      </c>
      <c r="N721" s="27">
        <v>28</v>
      </c>
      <c r="O721" s="27">
        <v>12</v>
      </c>
      <c r="P721" s="27">
        <v>22</v>
      </c>
      <c r="Q721" s="27" t="s">
        <v>54</v>
      </c>
      <c r="R721" s="27">
        <v>57</v>
      </c>
      <c r="S721" s="27">
        <v>60</v>
      </c>
      <c r="T721" s="29">
        <v>67.5</v>
      </c>
      <c r="U721" s="29">
        <v>0.79</v>
      </c>
      <c r="V721" s="29">
        <v>16.920000000000002</v>
      </c>
      <c r="W721" s="30">
        <v>12928.43</v>
      </c>
      <c r="X721" s="27">
        <v>7.25</v>
      </c>
      <c r="Y721" s="27" t="s">
        <v>55</v>
      </c>
      <c r="Z721" s="29">
        <v>20</v>
      </c>
      <c r="AA721" s="30">
        <v>18921.259999999998</v>
      </c>
      <c r="AB721" s="29">
        <v>0.93777777777777804</v>
      </c>
      <c r="AC721" s="30">
        <v>16343.21</v>
      </c>
      <c r="AD721" s="30">
        <v>344.75813333333298</v>
      </c>
      <c r="AE721" s="27">
        <v>498.75</v>
      </c>
      <c r="AF721" s="29">
        <v>0.95588972431077701</v>
      </c>
      <c r="AG721" s="30">
        <v>2233.2918666666601</v>
      </c>
      <c r="AH721" s="31">
        <f t="shared" si="177"/>
        <v>0.8571428571428571</v>
      </c>
      <c r="AI721" s="31">
        <f t="shared" si="178"/>
        <v>6.222222222222222E-2</v>
      </c>
      <c r="AJ721" s="31">
        <f t="shared" si="179"/>
        <v>2.6666666666666668E-2</v>
      </c>
      <c r="AK721" s="31">
        <f t="shared" si="180"/>
        <v>0.93777777777777782</v>
      </c>
      <c r="AL721" s="29">
        <f t="shared" si="181"/>
        <v>0.36666666666666664</v>
      </c>
      <c r="AM721" s="29">
        <f t="shared" si="182"/>
        <v>476.75</v>
      </c>
      <c r="AN721" s="29">
        <f t="shared" si="183"/>
        <v>0.94389092815941267</v>
      </c>
      <c r="AO721" s="29">
        <f t="shared" si="184"/>
        <v>1.0526315789473684</v>
      </c>
      <c r="AP721" s="31">
        <f t="shared" si="185"/>
        <v>0.89669638175144206</v>
      </c>
      <c r="AQ721" s="31">
        <f t="shared" si="186"/>
        <v>0.93777777777777782</v>
      </c>
      <c r="AR721" s="31">
        <f t="shared" si="187"/>
        <v>0.80380952380952386</v>
      </c>
      <c r="AS721" s="29">
        <f t="shared" si="188"/>
        <v>36.318244444444446</v>
      </c>
      <c r="AT721" s="29">
        <f t="shared" si="189"/>
        <v>4.9628708148148002</v>
      </c>
      <c r="AU721" s="27" t="str">
        <f t="shared" si="190"/>
        <v>Medium</v>
      </c>
      <c r="AV721" s="27" t="str">
        <f t="shared" si="191"/>
        <v>Warning</v>
      </c>
      <c r="AW721" s="27"/>
    </row>
    <row r="722" spans="1:49" x14ac:dyDescent="0.25">
      <c r="A722" s="27">
        <v>721</v>
      </c>
      <c r="B722" s="28">
        <v>46024</v>
      </c>
      <c r="C722" s="28" t="str">
        <f t="shared" si="176"/>
        <v>January</v>
      </c>
      <c r="D722" s="27" t="s">
        <v>67</v>
      </c>
      <c r="E722" s="27" t="s">
        <v>98</v>
      </c>
      <c r="F722" s="27" t="s">
        <v>105</v>
      </c>
      <c r="G722" s="27" t="s">
        <v>78</v>
      </c>
      <c r="H722" s="27" t="s">
        <v>79</v>
      </c>
      <c r="I722" s="27" t="s">
        <v>845</v>
      </c>
      <c r="J722" s="27" t="s">
        <v>81</v>
      </c>
      <c r="K722" s="27">
        <v>780</v>
      </c>
      <c r="L722" s="27">
        <v>691</v>
      </c>
      <c r="M722" s="27">
        <v>646</v>
      </c>
      <c r="N722" s="27">
        <v>45</v>
      </c>
      <c r="O722" s="27">
        <v>14</v>
      </c>
      <c r="P722" s="27">
        <v>38</v>
      </c>
      <c r="Q722" s="27" t="s">
        <v>75</v>
      </c>
      <c r="R722" s="27">
        <v>49</v>
      </c>
      <c r="S722" s="27">
        <v>49</v>
      </c>
      <c r="T722" s="29">
        <v>66.2</v>
      </c>
      <c r="U722" s="29">
        <v>1.87</v>
      </c>
      <c r="V722" s="29">
        <v>28.82</v>
      </c>
      <c r="W722" s="30">
        <v>14553.76</v>
      </c>
      <c r="X722" s="27">
        <v>6.65</v>
      </c>
      <c r="Y722" s="27" t="s">
        <v>110</v>
      </c>
      <c r="Z722" s="29">
        <v>34</v>
      </c>
      <c r="AA722" s="30">
        <v>24404.86</v>
      </c>
      <c r="AB722" s="29">
        <v>0.93487698986975398</v>
      </c>
      <c r="AC722" s="30">
        <v>17805.64</v>
      </c>
      <c r="AD722" s="30">
        <v>294.86633863965301</v>
      </c>
      <c r="AE722" s="27">
        <v>637</v>
      </c>
      <c r="AF722" s="29">
        <v>0.94034536891679799</v>
      </c>
      <c r="AG722" s="30">
        <v>6304.3536613603501</v>
      </c>
      <c r="AH722" s="31">
        <f t="shared" si="177"/>
        <v>0.88589743589743586</v>
      </c>
      <c r="AI722" s="31">
        <f t="shared" si="178"/>
        <v>6.5123010130246017E-2</v>
      </c>
      <c r="AJ722" s="31">
        <f t="shared" si="179"/>
        <v>2.0260492040520984E-2</v>
      </c>
      <c r="AK722" s="31">
        <f t="shared" si="180"/>
        <v>0.93487698986975398</v>
      </c>
      <c r="AL722" s="29">
        <f t="shared" si="181"/>
        <v>0.6333333333333333</v>
      </c>
      <c r="AM722" s="29">
        <f t="shared" si="182"/>
        <v>599</v>
      </c>
      <c r="AN722" s="29">
        <f t="shared" si="183"/>
        <v>1.1535893155258765</v>
      </c>
      <c r="AO722" s="29">
        <f t="shared" si="184"/>
        <v>1.2244897959183674</v>
      </c>
      <c r="AP722" s="31">
        <f t="shared" si="185"/>
        <v>0.94209794101279909</v>
      </c>
      <c r="AQ722" s="31">
        <f t="shared" si="186"/>
        <v>0.93487698986975398</v>
      </c>
      <c r="AR722" s="31">
        <f t="shared" si="187"/>
        <v>0.82820512820512859</v>
      </c>
      <c r="AS722" s="29">
        <f t="shared" si="188"/>
        <v>25.767930535455861</v>
      </c>
      <c r="AT722" s="29">
        <f t="shared" si="189"/>
        <v>9.1235219411871924</v>
      </c>
      <c r="AU722" s="27" t="str">
        <f t="shared" si="190"/>
        <v>Medium</v>
      </c>
      <c r="AV722" s="27" t="str">
        <f t="shared" si="191"/>
        <v>Warning</v>
      </c>
      <c r="AW722" s="27"/>
    </row>
    <row r="723" spans="1:49" x14ac:dyDescent="0.25">
      <c r="A723" s="27">
        <v>722</v>
      </c>
      <c r="B723" s="28">
        <v>46058</v>
      </c>
      <c r="C723" s="28" t="str">
        <f t="shared" si="176"/>
        <v>February</v>
      </c>
      <c r="D723" s="27" t="s">
        <v>67</v>
      </c>
      <c r="E723" s="27" t="s">
        <v>129</v>
      </c>
      <c r="F723" s="27" t="s">
        <v>167</v>
      </c>
      <c r="G723" s="27" t="s">
        <v>50</v>
      </c>
      <c r="H723" s="27" t="s">
        <v>124</v>
      </c>
      <c r="I723" s="27" t="s">
        <v>846</v>
      </c>
      <c r="J723" s="27" t="s">
        <v>84</v>
      </c>
      <c r="K723" s="27">
        <v>605</v>
      </c>
      <c r="L723" s="27">
        <v>561</v>
      </c>
      <c r="M723" s="27">
        <v>515</v>
      </c>
      <c r="N723" s="27">
        <v>46</v>
      </c>
      <c r="O723" s="27">
        <v>18</v>
      </c>
      <c r="P723" s="27">
        <v>29</v>
      </c>
      <c r="Q723" s="27" t="s">
        <v>91</v>
      </c>
      <c r="R723" s="27">
        <v>57</v>
      </c>
      <c r="S723" s="27">
        <v>63</v>
      </c>
      <c r="T723" s="29">
        <v>78</v>
      </c>
      <c r="U723" s="29">
        <v>1.65</v>
      </c>
      <c r="V723" s="29">
        <v>18.13</v>
      </c>
      <c r="W723" s="30">
        <v>15762.61</v>
      </c>
      <c r="X723" s="27">
        <v>7.82</v>
      </c>
      <c r="Y723" s="27" t="s">
        <v>110</v>
      </c>
      <c r="Z723" s="29">
        <v>29</v>
      </c>
      <c r="AA723" s="30">
        <v>23043.79</v>
      </c>
      <c r="AB723" s="29">
        <v>0.918003565062389</v>
      </c>
      <c r="AC723" s="30">
        <v>19444.78</v>
      </c>
      <c r="AD723" s="30">
        <v>505.75219251336898</v>
      </c>
      <c r="AE723" s="27">
        <v>574.75</v>
      </c>
      <c r="AF723" s="29">
        <v>0.94954327968681995</v>
      </c>
      <c r="AG723" s="30">
        <v>3093.2578074866301</v>
      </c>
      <c r="AH723" s="31">
        <f t="shared" si="177"/>
        <v>0.92727272727272725</v>
      </c>
      <c r="AI723" s="31">
        <f t="shared" si="178"/>
        <v>8.1996434937611412E-2</v>
      </c>
      <c r="AJ723" s="31">
        <f t="shared" si="179"/>
        <v>3.2085561497326207E-2</v>
      </c>
      <c r="AK723" s="31">
        <f t="shared" si="180"/>
        <v>0.91800356506238856</v>
      </c>
      <c r="AL723" s="29">
        <f t="shared" si="181"/>
        <v>0.48333333333333334</v>
      </c>
      <c r="AM723" s="29">
        <f t="shared" si="182"/>
        <v>545.75</v>
      </c>
      <c r="AN723" s="29">
        <f t="shared" si="183"/>
        <v>1.0279431974347228</v>
      </c>
      <c r="AO723" s="29">
        <f t="shared" si="184"/>
        <v>1.0526315789473684</v>
      </c>
      <c r="AP723" s="31">
        <f t="shared" si="185"/>
        <v>0.97654603756298675</v>
      </c>
      <c r="AQ723" s="31">
        <f t="shared" si="186"/>
        <v>0.91800356506238856</v>
      </c>
      <c r="AR723" s="31">
        <f t="shared" si="187"/>
        <v>0.85123966942148721</v>
      </c>
      <c r="AS723" s="29">
        <f t="shared" si="188"/>
        <v>34.66092691622103</v>
      </c>
      <c r="AT723" s="29">
        <f t="shared" si="189"/>
        <v>5.5138285338442605</v>
      </c>
      <c r="AU723" s="27" t="str">
        <f t="shared" si="190"/>
        <v>Medium</v>
      </c>
      <c r="AV723" s="27" t="str">
        <f t="shared" si="191"/>
        <v>Warning</v>
      </c>
      <c r="AW723" s="27"/>
    </row>
    <row r="724" spans="1:49" x14ac:dyDescent="0.25">
      <c r="A724" s="27">
        <v>723</v>
      </c>
      <c r="B724" s="28">
        <v>46134</v>
      </c>
      <c r="C724" s="28" t="str">
        <f t="shared" si="176"/>
        <v>April</v>
      </c>
      <c r="D724" s="27" t="s">
        <v>47</v>
      </c>
      <c r="E724" s="27" t="s">
        <v>48</v>
      </c>
      <c r="F724" s="27" t="s">
        <v>49</v>
      </c>
      <c r="G724" s="27" t="s">
        <v>50</v>
      </c>
      <c r="H724" s="27" t="s">
        <v>57</v>
      </c>
      <c r="I724" s="27" t="s">
        <v>847</v>
      </c>
      <c r="J724" s="27" t="s">
        <v>155</v>
      </c>
      <c r="K724" s="27">
        <v>934</v>
      </c>
      <c r="L724" s="27">
        <v>945</v>
      </c>
      <c r="M724" s="27">
        <v>895</v>
      </c>
      <c r="N724" s="27">
        <v>50</v>
      </c>
      <c r="O724" s="27">
        <v>15</v>
      </c>
      <c r="P724" s="27">
        <v>17</v>
      </c>
      <c r="Q724" s="27" t="s">
        <v>91</v>
      </c>
      <c r="R724" s="27">
        <v>45</v>
      </c>
      <c r="S724" s="27">
        <v>44</v>
      </c>
      <c r="T724" s="29">
        <v>78.7</v>
      </c>
      <c r="U724" s="29">
        <v>2.4300000000000002</v>
      </c>
      <c r="V724" s="29">
        <v>29.74</v>
      </c>
      <c r="W724" s="30">
        <v>20180.61</v>
      </c>
      <c r="X724" s="27">
        <v>8.85</v>
      </c>
      <c r="Y724" s="27" t="s">
        <v>55</v>
      </c>
      <c r="Z724" s="29">
        <v>23</v>
      </c>
      <c r="AA724" s="30">
        <v>30691.52</v>
      </c>
      <c r="AB724" s="29">
        <v>0.94708994708994698</v>
      </c>
      <c r="AC724" s="30">
        <v>24430.77</v>
      </c>
      <c r="AD724" s="30">
        <v>320.32714285714297</v>
      </c>
      <c r="AE724" s="27">
        <v>700.5</v>
      </c>
      <c r="AF724" s="29">
        <v>0.97573162027123495</v>
      </c>
      <c r="AG724" s="30">
        <v>5940.4228571428603</v>
      </c>
      <c r="AH724" s="31">
        <f t="shared" si="177"/>
        <v>1.0117773019271949</v>
      </c>
      <c r="AI724" s="31">
        <f t="shared" si="178"/>
        <v>5.2910052910052907E-2</v>
      </c>
      <c r="AJ724" s="31">
        <f t="shared" si="179"/>
        <v>1.5873015873015872E-2</v>
      </c>
      <c r="AK724" s="31">
        <f t="shared" si="180"/>
        <v>0.94708994708994709</v>
      </c>
      <c r="AL724" s="29">
        <f t="shared" si="181"/>
        <v>0.28333333333333333</v>
      </c>
      <c r="AM724" s="29">
        <f t="shared" si="182"/>
        <v>683.5</v>
      </c>
      <c r="AN724" s="29">
        <f t="shared" si="183"/>
        <v>1.3825896122896855</v>
      </c>
      <c r="AO724" s="29">
        <f t="shared" si="184"/>
        <v>1.3333333333333333</v>
      </c>
      <c r="AP724" s="31">
        <f t="shared" si="185"/>
        <v>1.0369422092172642</v>
      </c>
      <c r="AQ724" s="31">
        <f t="shared" si="186"/>
        <v>0.94708994708994709</v>
      </c>
      <c r="AR724" s="31">
        <f t="shared" si="187"/>
        <v>0.95824411134903675</v>
      </c>
      <c r="AS724" s="29">
        <f t="shared" si="188"/>
        <v>25.852666666666668</v>
      </c>
      <c r="AT724" s="29">
        <f t="shared" si="189"/>
        <v>6.2861617535903287</v>
      </c>
      <c r="AU724" s="27" t="str">
        <f t="shared" si="190"/>
        <v>Low</v>
      </c>
      <c r="AV724" s="27" t="str">
        <f t="shared" si="191"/>
        <v>Normal</v>
      </c>
      <c r="AW724" s="27"/>
    </row>
    <row r="725" spans="1:49" x14ac:dyDescent="0.25">
      <c r="A725" s="27">
        <v>724</v>
      </c>
      <c r="B725" s="28">
        <v>46166</v>
      </c>
      <c r="C725" s="28" t="str">
        <f t="shared" si="176"/>
        <v>May</v>
      </c>
      <c r="D725" s="27" t="s">
        <v>67</v>
      </c>
      <c r="E725" s="27" t="s">
        <v>129</v>
      </c>
      <c r="F725" s="27" t="s">
        <v>167</v>
      </c>
      <c r="G725" s="27" t="s">
        <v>50</v>
      </c>
      <c r="H725" s="27" t="s">
        <v>124</v>
      </c>
      <c r="I725" s="27" t="s">
        <v>848</v>
      </c>
      <c r="J725" s="27" t="s">
        <v>175</v>
      </c>
      <c r="K725" s="27">
        <v>566</v>
      </c>
      <c r="L725" s="27">
        <v>527</v>
      </c>
      <c r="M725" s="27">
        <v>481</v>
      </c>
      <c r="N725" s="27">
        <v>46</v>
      </c>
      <c r="O725" s="27">
        <v>19</v>
      </c>
      <c r="P725" s="27">
        <v>23</v>
      </c>
      <c r="Q725" s="27" t="s">
        <v>54</v>
      </c>
      <c r="R725" s="27">
        <v>57</v>
      </c>
      <c r="S725" s="27">
        <v>63</v>
      </c>
      <c r="T725" s="29">
        <v>82.7</v>
      </c>
      <c r="U725" s="29">
        <v>2.6</v>
      </c>
      <c r="V725" s="29">
        <v>20.86</v>
      </c>
      <c r="W725" s="30">
        <v>13737.58</v>
      </c>
      <c r="X725" s="27">
        <v>9.1199999999999992</v>
      </c>
      <c r="Y725" s="27" t="s">
        <v>110</v>
      </c>
      <c r="Z725" s="29">
        <v>16</v>
      </c>
      <c r="AA725" s="30">
        <v>22313.82</v>
      </c>
      <c r="AB725" s="29">
        <v>0.91271347248576895</v>
      </c>
      <c r="AC725" s="30">
        <v>18029.32</v>
      </c>
      <c r="AD725" s="30">
        <v>495.282770398482</v>
      </c>
      <c r="AE725" s="27">
        <v>537.70000000000005</v>
      </c>
      <c r="AF725" s="29">
        <v>0.95722521852333997</v>
      </c>
      <c r="AG725" s="30">
        <v>3789.2172296015101</v>
      </c>
      <c r="AH725" s="31">
        <f t="shared" si="177"/>
        <v>0.93109540636042398</v>
      </c>
      <c r="AI725" s="31">
        <f t="shared" si="178"/>
        <v>8.7286527514231493E-2</v>
      </c>
      <c r="AJ725" s="31">
        <f t="shared" si="179"/>
        <v>3.6053130929791274E-2</v>
      </c>
      <c r="AK725" s="31">
        <f t="shared" si="180"/>
        <v>0.91271347248576851</v>
      </c>
      <c r="AL725" s="29">
        <f t="shared" si="181"/>
        <v>0.38333333333333336</v>
      </c>
      <c r="AM725" s="29">
        <f t="shared" si="182"/>
        <v>514.70000000000005</v>
      </c>
      <c r="AN725" s="29">
        <f t="shared" si="183"/>
        <v>1.0238974159704681</v>
      </c>
      <c r="AO725" s="29">
        <f t="shared" si="184"/>
        <v>1.0526315789473684</v>
      </c>
      <c r="AP725" s="31">
        <f t="shared" si="185"/>
        <v>0.97270254517194477</v>
      </c>
      <c r="AQ725" s="31">
        <f t="shared" si="186"/>
        <v>0.91271347248576851</v>
      </c>
      <c r="AR725" s="31">
        <f t="shared" si="187"/>
        <v>0.84982332155477003</v>
      </c>
      <c r="AS725" s="29">
        <f t="shared" si="188"/>
        <v>34.21123339658444</v>
      </c>
      <c r="AT725" s="29">
        <f t="shared" si="189"/>
        <v>7.1901655210654845</v>
      </c>
      <c r="AU725" s="27" t="str">
        <f t="shared" si="190"/>
        <v>Medium</v>
      </c>
      <c r="AV725" s="27" t="str">
        <f t="shared" si="191"/>
        <v>Warning</v>
      </c>
      <c r="AW725" s="27"/>
    </row>
    <row r="726" spans="1:49" x14ac:dyDescent="0.25">
      <c r="A726" s="27">
        <v>725</v>
      </c>
      <c r="B726" s="28">
        <v>46038</v>
      </c>
      <c r="C726" s="28" t="str">
        <f t="shared" si="176"/>
        <v>January</v>
      </c>
      <c r="D726" s="27" t="s">
        <v>47</v>
      </c>
      <c r="E726" s="27" t="s">
        <v>48</v>
      </c>
      <c r="F726" s="27" t="s">
        <v>49</v>
      </c>
      <c r="G726" s="27" t="s">
        <v>50</v>
      </c>
      <c r="H726" s="27" t="s">
        <v>51</v>
      </c>
      <c r="I726" s="27" t="s">
        <v>849</v>
      </c>
      <c r="J726" s="27" t="s">
        <v>134</v>
      </c>
      <c r="K726" s="27">
        <v>957</v>
      </c>
      <c r="L726" s="27">
        <v>1032</v>
      </c>
      <c r="M726" s="27">
        <v>980</v>
      </c>
      <c r="N726" s="27">
        <v>52</v>
      </c>
      <c r="O726" s="27">
        <v>19</v>
      </c>
      <c r="P726" s="27">
        <v>47</v>
      </c>
      <c r="Q726" s="27" t="s">
        <v>54</v>
      </c>
      <c r="R726" s="27">
        <v>42</v>
      </c>
      <c r="S726" s="27">
        <v>41</v>
      </c>
      <c r="T726" s="29">
        <v>77</v>
      </c>
      <c r="U726" s="29">
        <v>2.04</v>
      </c>
      <c r="V726" s="29">
        <v>32.33</v>
      </c>
      <c r="W726" s="30">
        <v>18403.79</v>
      </c>
      <c r="X726" s="27">
        <v>7.88</v>
      </c>
      <c r="Y726" s="27" t="s">
        <v>55</v>
      </c>
      <c r="Z726" s="29">
        <v>41</v>
      </c>
      <c r="AA726" s="30">
        <v>31228.639999999999</v>
      </c>
      <c r="AB726" s="29">
        <v>0.94961240310077499</v>
      </c>
      <c r="AC726" s="30">
        <v>22240.76</v>
      </c>
      <c r="AD726" s="30">
        <v>338.829467054264</v>
      </c>
      <c r="AE726" s="27">
        <v>669.9</v>
      </c>
      <c r="AF726" s="29">
        <v>0.92984027466786101</v>
      </c>
      <c r="AG726" s="30">
        <v>8649.0505329457301</v>
      </c>
      <c r="AH726" s="31">
        <f t="shared" si="177"/>
        <v>1.0783699059561129</v>
      </c>
      <c r="AI726" s="31">
        <f t="shared" si="178"/>
        <v>5.0387596899224806E-2</v>
      </c>
      <c r="AJ726" s="31">
        <f t="shared" si="179"/>
        <v>1.8410852713178296E-2</v>
      </c>
      <c r="AK726" s="31">
        <f t="shared" si="180"/>
        <v>0.94961240310077522</v>
      </c>
      <c r="AL726" s="29">
        <f t="shared" si="181"/>
        <v>0.78333333333333333</v>
      </c>
      <c r="AM726" s="29">
        <f t="shared" si="182"/>
        <v>622.9</v>
      </c>
      <c r="AN726" s="29">
        <f t="shared" si="183"/>
        <v>1.6567667362337455</v>
      </c>
      <c r="AO726" s="29">
        <f t="shared" si="184"/>
        <v>1.4285714285714286</v>
      </c>
      <c r="AP726" s="31">
        <f t="shared" si="185"/>
        <v>1.1597367153636218</v>
      </c>
      <c r="AQ726" s="31">
        <f t="shared" si="186"/>
        <v>0.94961240310077522</v>
      </c>
      <c r="AR726" s="31">
        <f t="shared" si="187"/>
        <v>1.0240334378265414</v>
      </c>
      <c r="AS726" s="29">
        <f t="shared" si="188"/>
        <v>21.551124031007749</v>
      </c>
      <c r="AT726" s="29">
        <f t="shared" si="189"/>
        <v>8.3808629195210571</v>
      </c>
      <c r="AU726" s="27" t="str">
        <f t="shared" si="190"/>
        <v>Medium</v>
      </c>
      <c r="AV726" s="27" t="str">
        <f t="shared" si="191"/>
        <v>Normal</v>
      </c>
      <c r="AW726" s="27"/>
    </row>
    <row r="727" spans="1:49" x14ac:dyDescent="0.25">
      <c r="A727" s="27">
        <v>726</v>
      </c>
      <c r="B727" s="28">
        <v>46103</v>
      </c>
      <c r="C727" s="28" t="str">
        <f t="shared" si="176"/>
        <v>March</v>
      </c>
      <c r="D727" s="27" t="s">
        <v>47</v>
      </c>
      <c r="E727" s="27" t="s">
        <v>48</v>
      </c>
      <c r="F727" s="27" t="s">
        <v>56</v>
      </c>
      <c r="G727" s="27" t="s">
        <v>50</v>
      </c>
      <c r="H727" s="27" t="s">
        <v>57</v>
      </c>
      <c r="I727" s="27" t="s">
        <v>850</v>
      </c>
      <c r="J727" s="27" t="s">
        <v>140</v>
      </c>
      <c r="K727" s="27">
        <v>938</v>
      </c>
      <c r="L727" s="27">
        <v>1009</v>
      </c>
      <c r="M727" s="27">
        <v>954</v>
      </c>
      <c r="N727" s="27">
        <v>55</v>
      </c>
      <c r="O727" s="27">
        <v>15</v>
      </c>
      <c r="P727" s="27">
        <v>12</v>
      </c>
      <c r="Q727" s="27" t="s">
        <v>91</v>
      </c>
      <c r="R727" s="27">
        <v>45</v>
      </c>
      <c r="S727" s="27">
        <v>45</v>
      </c>
      <c r="T727" s="29">
        <v>66.599999999999994</v>
      </c>
      <c r="U727" s="29">
        <v>1.43</v>
      </c>
      <c r="V727" s="29">
        <v>36.06</v>
      </c>
      <c r="W727" s="30">
        <v>21571.77</v>
      </c>
      <c r="X727" s="27">
        <v>8.9700000000000006</v>
      </c>
      <c r="Y727" s="27" t="s">
        <v>66</v>
      </c>
      <c r="Z727" s="29">
        <v>15</v>
      </c>
      <c r="AA727" s="30">
        <v>32947.31</v>
      </c>
      <c r="AB727" s="29">
        <v>0.94549058473736403</v>
      </c>
      <c r="AC727" s="30">
        <v>25932.81</v>
      </c>
      <c r="AD727" s="30">
        <v>320.690336967294</v>
      </c>
      <c r="AE727" s="27">
        <v>703.5</v>
      </c>
      <c r="AF727" s="29">
        <v>0.98294243070362497</v>
      </c>
      <c r="AG727" s="30">
        <v>6693.8096630327</v>
      </c>
      <c r="AH727" s="31">
        <f t="shared" si="177"/>
        <v>1.0756929637526653</v>
      </c>
      <c r="AI727" s="31">
        <f t="shared" si="178"/>
        <v>5.4509415262636272E-2</v>
      </c>
      <c r="AJ727" s="31">
        <f t="shared" si="179"/>
        <v>1.4866204162537165E-2</v>
      </c>
      <c r="AK727" s="31">
        <f t="shared" si="180"/>
        <v>0.94549058473736369</v>
      </c>
      <c r="AL727" s="29">
        <f t="shared" si="181"/>
        <v>0.2</v>
      </c>
      <c r="AM727" s="29">
        <f t="shared" si="182"/>
        <v>691.5</v>
      </c>
      <c r="AN727" s="29">
        <f t="shared" si="183"/>
        <v>1.4591467823571944</v>
      </c>
      <c r="AO727" s="29">
        <f t="shared" si="184"/>
        <v>1.3333333333333333</v>
      </c>
      <c r="AP727" s="31">
        <f t="shared" si="185"/>
        <v>1.094360086767896</v>
      </c>
      <c r="AQ727" s="31">
        <f t="shared" si="186"/>
        <v>0.94549058473736369</v>
      </c>
      <c r="AR727" s="31">
        <f t="shared" si="187"/>
        <v>1.0170575692963755</v>
      </c>
      <c r="AS727" s="29">
        <f t="shared" si="188"/>
        <v>25.701496531219028</v>
      </c>
      <c r="AT727" s="29">
        <f t="shared" si="189"/>
        <v>6.6341027383872149</v>
      </c>
      <c r="AU727" s="27" t="str">
        <f t="shared" si="190"/>
        <v>Low</v>
      </c>
      <c r="AV727" s="27" t="str">
        <f t="shared" si="191"/>
        <v>Normal</v>
      </c>
      <c r="AW727" s="27"/>
    </row>
    <row r="728" spans="1:49" x14ac:dyDescent="0.25">
      <c r="A728" s="27">
        <v>727</v>
      </c>
      <c r="B728" s="28">
        <v>46143</v>
      </c>
      <c r="C728" s="28" t="str">
        <f t="shared" si="176"/>
        <v>May</v>
      </c>
      <c r="D728" s="27" t="s">
        <v>47</v>
      </c>
      <c r="E728" s="27" t="s">
        <v>61</v>
      </c>
      <c r="F728" s="27" t="s">
        <v>95</v>
      </c>
      <c r="G728" s="27" t="s">
        <v>50</v>
      </c>
      <c r="H728" s="27" t="s">
        <v>124</v>
      </c>
      <c r="I728" s="27" t="s">
        <v>851</v>
      </c>
      <c r="J728" s="27" t="s">
        <v>81</v>
      </c>
      <c r="K728" s="27">
        <v>756</v>
      </c>
      <c r="L728" s="27">
        <v>767</v>
      </c>
      <c r="M728" s="27">
        <v>732</v>
      </c>
      <c r="N728" s="27">
        <v>35</v>
      </c>
      <c r="O728" s="27">
        <v>9</v>
      </c>
      <c r="P728" s="27">
        <v>26</v>
      </c>
      <c r="Q728" s="27" t="s">
        <v>82</v>
      </c>
      <c r="R728" s="27">
        <v>57</v>
      </c>
      <c r="S728" s="27">
        <v>55</v>
      </c>
      <c r="T728" s="29">
        <v>67.3</v>
      </c>
      <c r="U728" s="29">
        <v>2.39</v>
      </c>
      <c r="V728" s="29">
        <v>28.62</v>
      </c>
      <c r="W728" s="30">
        <v>20388.29</v>
      </c>
      <c r="X728" s="27">
        <v>7.92</v>
      </c>
      <c r="Y728" s="27" t="s">
        <v>55</v>
      </c>
      <c r="Z728" s="29">
        <v>2</v>
      </c>
      <c r="AA728" s="30">
        <v>33261.410000000003</v>
      </c>
      <c r="AB728" s="29">
        <v>0.95436766623207303</v>
      </c>
      <c r="AC728" s="30">
        <v>24209.87</v>
      </c>
      <c r="AD728" s="30">
        <v>239.23677966101701</v>
      </c>
      <c r="AE728" s="27">
        <v>718.2</v>
      </c>
      <c r="AF728" s="29">
        <v>0.96379838485101599</v>
      </c>
      <c r="AG728" s="30">
        <v>8812.3032203389903</v>
      </c>
      <c r="AH728" s="31">
        <f t="shared" si="177"/>
        <v>1.0145502645502646</v>
      </c>
      <c r="AI728" s="31">
        <f t="shared" si="178"/>
        <v>4.563233376792699E-2</v>
      </c>
      <c r="AJ728" s="31">
        <f t="shared" si="179"/>
        <v>1.1734028683181226E-2</v>
      </c>
      <c r="AK728" s="31">
        <f t="shared" si="180"/>
        <v>0.95436766623207303</v>
      </c>
      <c r="AL728" s="29">
        <f t="shared" si="181"/>
        <v>0.43333333333333335</v>
      </c>
      <c r="AM728" s="29">
        <f t="shared" si="182"/>
        <v>692.2</v>
      </c>
      <c r="AN728" s="29">
        <f t="shared" si="183"/>
        <v>1.1080612539728401</v>
      </c>
      <c r="AO728" s="29">
        <f t="shared" si="184"/>
        <v>1.0526315789473684</v>
      </c>
      <c r="AP728" s="31">
        <f t="shared" si="185"/>
        <v>1.0526581912741981</v>
      </c>
      <c r="AQ728" s="31">
        <f t="shared" si="186"/>
        <v>0.95436766623207303</v>
      </c>
      <c r="AR728" s="31">
        <f t="shared" si="187"/>
        <v>0.9682539682539677</v>
      </c>
      <c r="AS728" s="29">
        <f t="shared" si="188"/>
        <v>31.564367666232073</v>
      </c>
      <c r="AT728" s="29">
        <f t="shared" si="189"/>
        <v>11.489313194705332</v>
      </c>
      <c r="AU728" s="27" t="str">
        <f t="shared" si="190"/>
        <v>Low</v>
      </c>
      <c r="AV728" s="27" t="str">
        <f t="shared" si="191"/>
        <v>Normal</v>
      </c>
      <c r="AW728" s="27"/>
    </row>
    <row r="729" spans="1:49" x14ac:dyDescent="0.25">
      <c r="A729" s="27">
        <v>728</v>
      </c>
      <c r="B729" s="28">
        <v>46115</v>
      </c>
      <c r="C729" s="28" t="str">
        <f t="shared" si="176"/>
        <v>April</v>
      </c>
      <c r="D729" s="27" t="s">
        <v>67</v>
      </c>
      <c r="E729" s="27" t="s">
        <v>129</v>
      </c>
      <c r="F729" s="27" t="s">
        <v>130</v>
      </c>
      <c r="G729" s="27" t="s">
        <v>63</v>
      </c>
      <c r="H729" s="27" t="s">
        <v>57</v>
      </c>
      <c r="I729" s="27" t="s">
        <v>852</v>
      </c>
      <c r="J729" s="27" t="s">
        <v>226</v>
      </c>
      <c r="K729" s="27">
        <v>757</v>
      </c>
      <c r="L729" s="27">
        <v>684</v>
      </c>
      <c r="M729" s="27">
        <v>584</v>
      </c>
      <c r="N729" s="27">
        <v>100</v>
      </c>
      <c r="O729" s="27">
        <v>40</v>
      </c>
      <c r="P729" s="27">
        <v>19</v>
      </c>
      <c r="Q729" s="27" t="s">
        <v>54</v>
      </c>
      <c r="R729" s="27">
        <v>45</v>
      </c>
      <c r="S729" s="27">
        <v>48</v>
      </c>
      <c r="T729" s="29">
        <v>82.1</v>
      </c>
      <c r="U729" s="29">
        <v>4.1100000000000003</v>
      </c>
      <c r="V729" s="29">
        <v>24.71</v>
      </c>
      <c r="W729" s="30">
        <v>14808.93</v>
      </c>
      <c r="X729" s="27">
        <v>7.45</v>
      </c>
      <c r="Y729" s="27" t="s">
        <v>55</v>
      </c>
      <c r="Z729" s="29">
        <v>33</v>
      </c>
      <c r="AA729" s="30">
        <v>20956.48</v>
      </c>
      <c r="AB729" s="29">
        <v>0.85380116959064301</v>
      </c>
      <c r="AC729" s="30">
        <v>18383.82</v>
      </c>
      <c r="AD729" s="30">
        <v>866.01929824561398</v>
      </c>
      <c r="AE729" s="27">
        <v>567.75</v>
      </c>
      <c r="AF729" s="29">
        <v>0.96653456627036605</v>
      </c>
      <c r="AG729" s="30">
        <v>1706.64070175439</v>
      </c>
      <c r="AH729" s="31">
        <f t="shared" si="177"/>
        <v>0.90356671070013206</v>
      </c>
      <c r="AI729" s="31">
        <f t="shared" si="178"/>
        <v>0.14619883040935672</v>
      </c>
      <c r="AJ729" s="31">
        <f t="shared" si="179"/>
        <v>5.8479532163742687E-2</v>
      </c>
      <c r="AK729" s="31">
        <f t="shared" si="180"/>
        <v>0.85380116959064323</v>
      </c>
      <c r="AL729" s="29">
        <f t="shared" si="181"/>
        <v>0.31666666666666665</v>
      </c>
      <c r="AM729" s="29">
        <f t="shared" si="182"/>
        <v>548.75</v>
      </c>
      <c r="AN729" s="29">
        <f t="shared" si="183"/>
        <v>1.2464692482915718</v>
      </c>
      <c r="AO729" s="29">
        <f t="shared" si="184"/>
        <v>1.3333333333333333</v>
      </c>
      <c r="AP729" s="31">
        <f t="shared" si="185"/>
        <v>0.9348519362186789</v>
      </c>
      <c r="AQ729" s="31">
        <f t="shared" si="186"/>
        <v>0.85380116959064323</v>
      </c>
      <c r="AR729" s="31">
        <f t="shared" si="187"/>
        <v>0.77146631439894364</v>
      </c>
      <c r="AS729" s="29">
        <f t="shared" si="188"/>
        <v>26.876929824561405</v>
      </c>
      <c r="AT729" s="29">
        <f t="shared" si="189"/>
        <v>2.4950887452549559</v>
      </c>
      <c r="AU729" s="27" t="str">
        <f t="shared" si="190"/>
        <v>High</v>
      </c>
      <c r="AV729" s="27" t="str">
        <f t="shared" si="191"/>
        <v>Warning</v>
      </c>
      <c r="AW729" s="27"/>
    </row>
    <row r="730" spans="1:49" x14ac:dyDescent="0.25">
      <c r="A730" s="27">
        <v>729</v>
      </c>
      <c r="B730" s="28">
        <v>46184</v>
      </c>
      <c r="C730" s="28" t="str">
        <f t="shared" si="176"/>
        <v>June</v>
      </c>
      <c r="D730" s="27" t="s">
        <v>67</v>
      </c>
      <c r="E730" s="27" t="s">
        <v>61</v>
      </c>
      <c r="F730" s="27" t="s">
        <v>88</v>
      </c>
      <c r="G730" s="27" t="s">
        <v>63</v>
      </c>
      <c r="H730" s="27" t="s">
        <v>79</v>
      </c>
      <c r="I730" s="27" t="s">
        <v>853</v>
      </c>
      <c r="J730" s="27" t="s">
        <v>150</v>
      </c>
      <c r="K730" s="27">
        <v>848</v>
      </c>
      <c r="L730" s="27">
        <v>891</v>
      </c>
      <c r="M730" s="27">
        <v>859</v>
      </c>
      <c r="N730" s="27">
        <v>32</v>
      </c>
      <c r="O730" s="27">
        <v>11</v>
      </c>
      <c r="P730" s="27">
        <v>15</v>
      </c>
      <c r="Q730" s="27" t="s">
        <v>75</v>
      </c>
      <c r="R730" s="27">
        <v>49</v>
      </c>
      <c r="S730" s="27">
        <v>50</v>
      </c>
      <c r="T730" s="29">
        <v>73.8</v>
      </c>
      <c r="U730" s="29">
        <v>2.29</v>
      </c>
      <c r="V730" s="29">
        <v>25.61</v>
      </c>
      <c r="W730" s="30">
        <v>20629.73</v>
      </c>
      <c r="X730" s="27">
        <v>10.69</v>
      </c>
      <c r="Y730" s="27" t="s">
        <v>55</v>
      </c>
      <c r="Z730" s="29">
        <v>40</v>
      </c>
      <c r="AA730" s="30">
        <v>31745.99</v>
      </c>
      <c r="AB730" s="29">
        <v>0.96408529741863103</v>
      </c>
      <c r="AC730" s="30">
        <v>25670.720000000001</v>
      </c>
      <c r="AD730" s="30">
        <v>254.68802469135801</v>
      </c>
      <c r="AE730" s="27">
        <v>692.53333333333296</v>
      </c>
      <c r="AF730" s="29">
        <v>0.97834039276087803</v>
      </c>
      <c r="AG730" s="30">
        <v>5820.5819753086398</v>
      </c>
      <c r="AH730" s="31">
        <f t="shared" si="177"/>
        <v>1.0507075471698113</v>
      </c>
      <c r="AI730" s="31">
        <f t="shared" si="178"/>
        <v>3.5914702581369251E-2</v>
      </c>
      <c r="AJ730" s="31">
        <f t="shared" si="179"/>
        <v>1.2345679012345678E-2</v>
      </c>
      <c r="AK730" s="31">
        <f t="shared" si="180"/>
        <v>0.9640852974186308</v>
      </c>
      <c r="AL730" s="29">
        <f t="shared" si="181"/>
        <v>0.25</v>
      </c>
      <c r="AM730" s="29">
        <f t="shared" si="182"/>
        <v>677.53333333333296</v>
      </c>
      <c r="AN730" s="29">
        <f t="shared" si="183"/>
        <v>1.3150644494735813</v>
      </c>
      <c r="AO730" s="29">
        <f t="shared" si="184"/>
        <v>1.2244897959183674</v>
      </c>
      <c r="AP730" s="31">
        <f t="shared" si="185"/>
        <v>1.0739693004034248</v>
      </c>
      <c r="AQ730" s="31">
        <f t="shared" si="186"/>
        <v>0.9640852974186308</v>
      </c>
      <c r="AR730" s="31">
        <f t="shared" si="187"/>
        <v>1.0129716981132082</v>
      </c>
      <c r="AS730" s="29">
        <f t="shared" si="188"/>
        <v>28.811133557800225</v>
      </c>
      <c r="AT730" s="29">
        <f t="shared" si="189"/>
        <v>6.5326397029277663</v>
      </c>
      <c r="AU730" s="27" t="str">
        <f t="shared" si="190"/>
        <v>Medium</v>
      </c>
      <c r="AV730" s="27" t="str">
        <f t="shared" si="191"/>
        <v>Normal</v>
      </c>
      <c r="AW730" s="27"/>
    </row>
    <row r="731" spans="1:49" x14ac:dyDescent="0.25">
      <c r="A731" s="27">
        <v>730</v>
      </c>
      <c r="B731" s="28">
        <v>46184</v>
      </c>
      <c r="C731" s="28" t="str">
        <f t="shared" si="176"/>
        <v>June</v>
      </c>
      <c r="D731" s="27" t="s">
        <v>67</v>
      </c>
      <c r="E731" s="27" t="s">
        <v>48</v>
      </c>
      <c r="F731" s="27" t="s">
        <v>49</v>
      </c>
      <c r="G731" s="27" t="s">
        <v>78</v>
      </c>
      <c r="H731" s="27" t="s">
        <v>51</v>
      </c>
      <c r="I731" s="27" t="s">
        <v>854</v>
      </c>
      <c r="J731" s="27" t="s">
        <v>286</v>
      </c>
      <c r="K731" s="27">
        <v>771</v>
      </c>
      <c r="L731" s="27">
        <v>711</v>
      </c>
      <c r="M731" s="27">
        <v>679</v>
      </c>
      <c r="N731" s="27">
        <v>32</v>
      </c>
      <c r="O731" s="27">
        <v>12</v>
      </c>
      <c r="P731" s="27">
        <v>38</v>
      </c>
      <c r="Q731" s="27" t="s">
        <v>94</v>
      </c>
      <c r="R731" s="27">
        <v>42</v>
      </c>
      <c r="S731" s="27">
        <v>44</v>
      </c>
      <c r="T731" s="29">
        <v>65.900000000000006</v>
      </c>
      <c r="U731" s="29">
        <v>1.65</v>
      </c>
      <c r="V731" s="29">
        <v>28.42</v>
      </c>
      <c r="W731" s="30">
        <v>12978.4</v>
      </c>
      <c r="X731" s="27">
        <v>8.73</v>
      </c>
      <c r="Y731" s="27" t="s">
        <v>55</v>
      </c>
      <c r="Z731" s="29">
        <v>22</v>
      </c>
      <c r="AA731" s="30">
        <v>21902.49</v>
      </c>
      <c r="AB731" s="29">
        <v>0.95499296765119601</v>
      </c>
      <c r="AC731" s="30">
        <v>17162.68</v>
      </c>
      <c r="AD731" s="30">
        <v>219.04472573839701</v>
      </c>
      <c r="AE731" s="27">
        <v>539.70000000000005</v>
      </c>
      <c r="AF731" s="29">
        <v>0.92959051324810105</v>
      </c>
      <c r="AG731" s="30">
        <v>4520.7652742616101</v>
      </c>
      <c r="AH731" s="31">
        <f t="shared" si="177"/>
        <v>0.9221789883268483</v>
      </c>
      <c r="AI731" s="31">
        <f t="shared" si="178"/>
        <v>4.5007032348804502E-2</v>
      </c>
      <c r="AJ731" s="31">
        <f t="shared" si="179"/>
        <v>1.6877637130801686E-2</v>
      </c>
      <c r="AK731" s="31">
        <f t="shared" si="180"/>
        <v>0.95499296765119546</v>
      </c>
      <c r="AL731" s="29">
        <f t="shared" si="181"/>
        <v>0.6333333333333333</v>
      </c>
      <c r="AM731" s="29">
        <f t="shared" si="182"/>
        <v>501.70000000000005</v>
      </c>
      <c r="AN731" s="29">
        <f t="shared" si="183"/>
        <v>1.417181582619095</v>
      </c>
      <c r="AO731" s="29">
        <f t="shared" si="184"/>
        <v>1.4285714285714286</v>
      </c>
      <c r="AP731" s="31">
        <f t="shared" si="185"/>
        <v>0.99202710783336645</v>
      </c>
      <c r="AQ731" s="31">
        <f t="shared" si="186"/>
        <v>0.95499296765119546</v>
      </c>
      <c r="AR731" s="31">
        <f t="shared" si="187"/>
        <v>0.88067444876783407</v>
      </c>
      <c r="AS731" s="29">
        <f t="shared" si="188"/>
        <v>24.138790436005625</v>
      </c>
      <c r="AT731" s="29">
        <f t="shared" si="189"/>
        <v>6.3583196543763858</v>
      </c>
      <c r="AU731" s="27" t="str">
        <f t="shared" si="190"/>
        <v>Low</v>
      </c>
      <c r="AV731" s="27" t="str">
        <f t="shared" si="191"/>
        <v>Normal</v>
      </c>
      <c r="AW731" s="27"/>
    </row>
    <row r="732" spans="1:49" x14ac:dyDescent="0.25">
      <c r="A732" s="27">
        <v>731</v>
      </c>
      <c r="B732" s="28">
        <v>46126</v>
      </c>
      <c r="C732" s="28" t="str">
        <f t="shared" si="176"/>
        <v>April</v>
      </c>
      <c r="D732" s="27" t="s">
        <v>67</v>
      </c>
      <c r="E732" s="27" t="s">
        <v>98</v>
      </c>
      <c r="F732" s="27" t="s">
        <v>99</v>
      </c>
      <c r="G732" s="27" t="s">
        <v>78</v>
      </c>
      <c r="H732" s="27" t="s">
        <v>68</v>
      </c>
      <c r="I732" s="27" t="s">
        <v>855</v>
      </c>
      <c r="J732" s="27" t="s">
        <v>140</v>
      </c>
      <c r="K732" s="27">
        <v>624</v>
      </c>
      <c r="L732" s="27">
        <v>482</v>
      </c>
      <c r="M732" s="27">
        <v>457</v>
      </c>
      <c r="N732" s="27">
        <v>25</v>
      </c>
      <c r="O732" s="27">
        <v>5</v>
      </c>
      <c r="P732" s="27">
        <v>20</v>
      </c>
      <c r="Q732" s="27" t="s">
        <v>54</v>
      </c>
      <c r="R732" s="27">
        <v>64</v>
      </c>
      <c r="S732" s="27">
        <v>67</v>
      </c>
      <c r="T732" s="29">
        <v>80.2</v>
      </c>
      <c r="U732" s="29">
        <v>1.22</v>
      </c>
      <c r="V732" s="29">
        <v>17.46</v>
      </c>
      <c r="W732" s="30">
        <v>15693.24</v>
      </c>
      <c r="X732" s="27">
        <v>5.76</v>
      </c>
      <c r="Y732" s="27" t="s">
        <v>55</v>
      </c>
      <c r="Z732" s="29">
        <v>28</v>
      </c>
      <c r="AA732" s="30">
        <v>23357.06</v>
      </c>
      <c r="AB732" s="29">
        <v>0.94813278008298796</v>
      </c>
      <c r="AC732" s="30">
        <v>18442.38</v>
      </c>
      <c r="AD732" s="30">
        <v>162.79294605809099</v>
      </c>
      <c r="AE732" s="27">
        <v>665.6</v>
      </c>
      <c r="AF732" s="29">
        <v>0.96995192307692302</v>
      </c>
      <c r="AG732" s="30">
        <v>4751.8870539419104</v>
      </c>
      <c r="AH732" s="31">
        <f t="shared" si="177"/>
        <v>0.77243589743589747</v>
      </c>
      <c r="AI732" s="31">
        <f t="shared" si="178"/>
        <v>5.1867219917012451E-2</v>
      </c>
      <c r="AJ732" s="31">
        <f t="shared" si="179"/>
        <v>1.0373443983402489E-2</v>
      </c>
      <c r="AK732" s="31">
        <f t="shared" si="180"/>
        <v>0.94813278008298751</v>
      </c>
      <c r="AL732" s="29">
        <f t="shared" si="181"/>
        <v>0.33333333333333331</v>
      </c>
      <c r="AM732" s="29">
        <f t="shared" si="182"/>
        <v>645.6</v>
      </c>
      <c r="AN732" s="29">
        <f t="shared" si="183"/>
        <v>0.74659231722428743</v>
      </c>
      <c r="AO732" s="29">
        <f t="shared" si="184"/>
        <v>0.9375</v>
      </c>
      <c r="AP732" s="31">
        <f t="shared" si="185"/>
        <v>0.79636513837257328</v>
      </c>
      <c r="AQ732" s="31">
        <f t="shared" si="186"/>
        <v>0.94813278008298751</v>
      </c>
      <c r="AR732" s="31">
        <f t="shared" si="187"/>
        <v>0.73237179487179471</v>
      </c>
      <c r="AS732" s="29">
        <f t="shared" si="188"/>
        <v>38.262199170124482</v>
      </c>
      <c r="AT732" s="29">
        <f t="shared" si="189"/>
        <v>9.8586868339043789</v>
      </c>
      <c r="AU732" s="27" t="str">
        <f t="shared" si="190"/>
        <v>High</v>
      </c>
      <c r="AV732" s="27" t="str">
        <f t="shared" si="191"/>
        <v>Critical</v>
      </c>
      <c r="AW732" s="27"/>
    </row>
    <row r="733" spans="1:49" x14ac:dyDescent="0.25">
      <c r="A733" s="27">
        <v>732</v>
      </c>
      <c r="B733" s="28">
        <v>46069</v>
      </c>
      <c r="C733" s="28" t="str">
        <f t="shared" si="176"/>
        <v>February</v>
      </c>
      <c r="D733" s="27" t="s">
        <v>67</v>
      </c>
      <c r="E733" s="27" t="s">
        <v>76</v>
      </c>
      <c r="F733" s="27" t="s">
        <v>119</v>
      </c>
      <c r="G733" s="27" t="s">
        <v>63</v>
      </c>
      <c r="H733" s="27" t="s">
        <v>68</v>
      </c>
      <c r="I733" s="27" t="s">
        <v>856</v>
      </c>
      <c r="J733" s="27" t="s">
        <v>226</v>
      </c>
      <c r="K733" s="27">
        <v>458</v>
      </c>
      <c r="L733" s="27">
        <v>418</v>
      </c>
      <c r="M733" s="27">
        <v>379</v>
      </c>
      <c r="N733" s="27">
        <v>39</v>
      </c>
      <c r="O733" s="27">
        <v>10</v>
      </c>
      <c r="P733" s="27">
        <v>54</v>
      </c>
      <c r="Q733" s="27" t="s">
        <v>104</v>
      </c>
      <c r="R733" s="27">
        <v>64</v>
      </c>
      <c r="S733" s="27">
        <v>66</v>
      </c>
      <c r="T733" s="29">
        <v>76.599999999999994</v>
      </c>
      <c r="U733" s="29">
        <v>2.58</v>
      </c>
      <c r="V733" s="29">
        <v>19.09</v>
      </c>
      <c r="W733" s="30">
        <v>13181.78</v>
      </c>
      <c r="X733" s="27">
        <v>9.32</v>
      </c>
      <c r="Y733" s="27" t="s">
        <v>66</v>
      </c>
      <c r="Z733" s="29">
        <v>14</v>
      </c>
      <c r="AA733" s="30">
        <v>20097.310000000001</v>
      </c>
      <c r="AB733" s="29">
        <v>0.906698564593301</v>
      </c>
      <c r="AC733" s="30">
        <v>17547.59</v>
      </c>
      <c r="AD733" s="30">
        <v>315.35358851674602</v>
      </c>
      <c r="AE733" s="27">
        <v>488.53333333333302</v>
      </c>
      <c r="AF733" s="29">
        <v>0.88946506550218296</v>
      </c>
      <c r="AG733" s="30">
        <v>2234.36641148325</v>
      </c>
      <c r="AH733" s="31">
        <f t="shared" si="177"/>
        <v>0.9126637554585153</v>
      </c>
      <c r="AI733" s="31">
        <f t="shared" si="178"/>
        <v>9.3301435406698566E-2</v>
      </c>
      <c r="AJ733" s="31">
        <f t="shared" si="179"/>
        <v>2.3923444976076555E-2</v>
      </c>
      <c r="AK733" s="31">
        <f t="shared" si="180"/>
        <v>0.90669856459330145</v>
      </c>
      <c r="AL733" s="29">
        <f t="shared" si="181"/>
        <v>0.9</v>
      </c>
      <c r="AM733" s="29">
        <f t="shared" si="182"/>
        <v>434.53333333333302</v>
      </c>
      <c r="AN733" s="29">
        <f t="shared" si="183"/>
        <v>0.96195151887081998</v>
      </c>
      <c r="AO733" s="29">
        <f t="shared" si="184"/>
        <v>0.9375</v>
      </c>
      <c r="AP733" s="31">
        <f t="shared" si="185"/>
        <v>1.0260816201288747</v>
      </c>
      <c r="AQ733" s="31">
        <f t="shared" si="186"/>
        <v>0.90669856459330145</v>
      </c>
      <c r="AR733" s="31">
        <f t="shared" si="187"/>
        <v>0.82751091703056789</v>
      </c>
      <c r="AS733" s="29">
        <f t="shared" si="188"/>
        <v>41.979880382775121</v>
      </c>
      <c r="AT733" s="29">
        <f t="shared" si="189"/>
        <v>5.3453741901513157</v>
      </c>
      <c r="AU733" s="27" t="str">
        <f t="shared" si="190"/>
        <v>Medium</v>
      </c>
      <c r="AV733" s="27" t="str">
        <f t="shared" si="191"/>
        <v>Warning</v>
      </c>
      <c r="AW733" s="27"/>
    </row>
    <row r="734" spans="1:49" x14ac:dyDescent="0.25">
      <c r="A734" s="27">
        <v>733</v>
      </c>
      <c r="B734" s="28">
        <v>46035</v>
      </c>
      <c r="C734" s="28" t="str">
        <f t="shared" si="176"/>
        <v>January</v>
      </c>
      <c r="D734" s="27" t="s">
        <v>47</v>
      </c>
      <c r="E734" s="27" t="s">
        <v>61</v>
      </c>
      <c r="F734" s="27" t="s">
        <v>62</v>
      </c>
      <c r="G734" s="27" t="s">
        <v>78</v>
      </c>
      <c r="H734" s="27" t="s">
        <v>124</v>
      </c>
      <c r="I734" s="27" t="s">
        <v>857</v>
      </c>
      <c r="J734" s="27" t="s">
        <v>121</v>
      </c>
      <c r="K734" s="27">
        <v>717</v>
      </c>
      <c r="L734" s="27">
        <v>644</v>
      </c>
      <c r="M734" s="27">
        <v>609</v>
      </c>
      <c r="N734" s="27">
        <v>35</v>
      </c>
      <c r="O734" s="27">
        <v>14</v>
      </c>
      <c r="P734" s="27">
        <v>54</v>
      </c>
      <c r="Q734" s="27" t="s">
        <v>54</v>
      </c>
      <c r="R734" s="27">
        <v>57</v>
      </c>
      <c r="S734" s="27">
        <v>59</v>
      </c>
      <c r="T734" s="29">
        <v>72.900000000000006</v>
      </c>
      <c r="U734" s="29">
        <v>2.08</v>
      </c>
      <c r="V734" s="29">
        <v>22.46</v>
      </c>
      <c r="W734" s="30">
        <v>17284.73</v>
      </c>
      <c r="X734" s="27">
        <v>8.2899999999999991</v>
      </c>
      <c r="Y734" s="27" t="s">
        <v>55</v>
      </c>
      <c r="Z734" s="29">
        <v>31</v>
      </c>
      <c r="AA734" s="30">
        <v>27545.69</v>
      </c>
      <c r="AB734" s="29">
        <v>0.94565217391304401</v>
      </c>
      <c r="AC734" s="30">
        <v>21217.37</v>
      </c>
      <c r="AD734" s="30">
        <v>375.755</v>
      </c>
      <c r="AE734" s="27">
        <v>681.15</v>
      </c>
      <c r="AF734" s="29">
        <v>0.92072230786170495</v>
      </c>
      <c r="AG734" s="30">
        <v>5952.5649999999996</v>
      </c>
      <c r="AH734" s="31">
        <f t="shared" si="177"/>
        <v>0.89818688981868899</v>
      </c>
      <c r="AI734" s="31">
        <f t="shared" si="178"/>
        <v>5.434782608695652E-2</v>
      </c>
      <c r="AJ734" s="31">
        <f t="shared" si="179"/>
        <v>2.1739130434782608E-2</v>
      </c>
      <c r="AK734" s="31">
        <f t="shared" si="180"/>
        <v>0.94565217391304346</v>
      </c>
      <c r="AL734" s="29">
        <f t="shared" si="181"/>
        <v>0.9</v>
      </c>
      <c r="AM734" s="29">
        <f t="shared" si="182"/>
        <v>627.15</v>
      </c>
      <c r="AN734" s="29">
        <f t="shared" si="183"/>
        <v>1.026867575540142</v>
      </c>
      <c r="AO734" s="29">
        <f t="shared" si="184"/>
        <v>1.0526315789473684</v>
      </c>
      <c r="AP734" s="31">
        <f t="shared" si="185"/>
        <v>0.97552419676313495</v>
      </c>
      <c r="AQ734" s="31">
        <f t="shared" si="186"/>
        <v>0.94565217391304346</v>
      </c>
      <c r="AR734" s="31">
        <f t="shared" si="187"/>
        <v>0.84937238493723899</v>
      </c>
      <c r="AS734" s="29">
        <f t="shared" si="188"/>
        <v>32.946226708074533</v>
      </c>
      <c r="AT734" s="29">
        <f t="shared" si="189"/>
        <v>9.2431133540372663</v>
      </c>
      <c r="AU734" s="27" t="str">
        <f t="shared" si="190"/>
        <v>Medium</v>
      </c>
      <c r="AV734" s="27" t="str">
        <f t="shared" si="191"/>
        <v>Warning</v>
      </c>
      <c r="AW734" s="27"/>
    </row>
    <row r="735" spans="1:49" x14ac:dyDescent="0.25">
      <c r="A735" s="27">
        <v>734</v>
      </c>
      <c r="B735" s="28">
        <v>46190</v>
      </c>
      <c r="C735" s="28" t="str">
        <f t="shared" si="176"/>
        <v>June</v>
      </c>
      <c r="D735" s="27" t="s">
        <v>67</v>
      </c>
      <c r="E735" s="27" t="s">
        <v>76</v>
      </c>
      <c r="F735" s="27" t="s">
        <v>113</v>
      </c>
      <c r="G735" s="27" t="s">
        <v>78</v>
      </c>
      <c r="H735" s="27" t="s">
        <v>68</v>
      </c>
      <c r="I735" s="27" t="s">
        <v>858</v>
      </c>
      <c r="J735" s="27" t="s">
        <v>170</v>
      </c>
      <c r="K735" s="27">
        <v>538</v>
      </c>
      <c r="L735" s="27">
        <v>513</v>
      </c>
      <c r="M735" s="27">
        <v>486</v>
      </c>
      <c r="N735" s="27">
        <v>27</v>
      </c>
      <c r="O735" s="27">
        <v>11</v>
      </c>
      <c r="P735" s="27">
        <v>21</v>
      </c>
      <c r="Q735" s="27" t="s">
        <v>94</v>
      </c>
      <c r="R735" s="27">
        <v>64</v>
      </c>
      <c r="S735" s="27">
        <v>65</v>
      </c>
      <c r="T735" s="29">
        <v>70.8</v>
      </c>
      <c r="U735" s="29">
        <v>2.19</v>
      </c>
      <c r="V735" s="29">
        <v>19.38</v>
      </c>
      <c r="W735" s="30">
        <v>16178.04</v>
      </c>
      <c r="X735" s="27">
        <v>8.1199999999999992</v>
      </c>
      <c r="Y735" s="27" t="s">
        <v>66</v>
      </c>
      <c r="Z735" s="29">
        <v>27</v>
      </c>
      <c r="AA735" s="30">
        <v>25899.77</v>
      </c>
      <c r="AB735" s="29">
        <v>0.94736842105263197</v>
      </c>
      <c r="AC735" s="30">
        <v>20006.46</v>
      </c>
      <c r="AD735" s="30">
        <v>346.89754385964898</v>
      </c>
      <c r="AE735" s="27">
        <v>573.86666666666702</v>
      </c>
      <c r="AF735" s="29">
        <v>0.96340613382899598</v>
      </c>
      <c r="AG735" s="30">
        <v>5546.4124561403496</v>
      </c>
      <c r="AH735" s="31">
        <f t="shared" si="177"/>
        <v>0.95353159851301117</v>
      </c>
      <c r="AI735" s="31">
        <f t="shared" si="178"/>
        <v>5.2631578947368418E-2</v>
      </c>
      <c r="AJ735" s="31">
        <f t="shared" si="179"/>
        <v>2.1442495126705652E-2</v>
      </c>
      <c r="AK735" s="31">
        <f t="shared" si="180"/>
        <v>0.94736842105263153</v>
      </c>
      <c r="AL735" s="29">
        <f t="shared" si="181"/>
        <v>0.35</v>
      </c>
      <c r="AM735" s="29">
        <f t="shared" si="182"/>
        <v>552.86666666666702</v>
      </c>
      <c r="AN735" s="29">
        <f t="shared" si="183"/>
        <v>0.92789099240323103</v>
      </c>
      <c r="AO735" s="29">
        <f t="shared" si="184"/>
        <v>0.9375</v>
      </c>
      <c r="AP735" s="31">
        <f t="shared" si="185"/>
        <v>0.98975039189677971</v>
      </c>
      <c r="AQ735" s="31">
        <f t="shared" si="186"/>
        <v>0.94736842105263153</v>
      </c>
      <c r="AR735" s="31">
        <f t="shared" si="187"/>
        <v>0.90334572490706222</v>
      </c>
      <c r="AS735" s="29">
        <f t="shared" si="188"/>
        <v>38.998947368421049</v>
      </c>
      <c r="AT735" s="29">
        <f t="shared" si="189"/>
        <v>10.811720187408088</v>
      </c>
      <c r="AU735" s="27" t="str">
        <f t="shared" si="190"/>
        <v>Low</v>
      </c>
      <c r="AV735" s="27" t="str">
        <f t="shared" si="191"/>
        <v>Normal</v>
      </c>
      <c r="AW735" s="27"/>
    </row>
    <row r="736" spans="1:49" x14ac:dyDescent="0.25">
      <c r="A736" s="27">
        <v>735</v>
      </c>
      <c r="B736" s="28">
        <v>46163</v>
      </c>
      <c r="C736" s="28" t="str">
        <f t="shared" si="176"/>
        <v>May</v>
      </c>
      <c r="D736" s="27" t="s">
        <v>47</v>
      </c>
      <c r="E736" s="27" t="s">
        <v>48</v>
      </c>
      <c r="F736" s="27" t="s">
        <v>49</v>
      </c>
      <c r="G736" s="27" t="s">
        <v>50</v>
      </c>
      <c r="H736" s="27" t="s">
        <v>79</v>
      </c>
      <c r="I736" s="27" t="s">
        <v>859</v>
      </c>
      <c r="J736" s="27" t="s">
        <v>59</v>
      </c>
      <c r="K736" s="27">
        <v>642</v>
      </c>
      <c r="L736" s="27">
        <v>734</v>
      </c>
      <c r="M736" s="27">
        <v>674</v>
      </c>
      <c r="N736" s="27">
        <v>60</v>
      </c>
      <c r="O736" s="27">
        <v>25</v>
      </c>
      <c r="P736" s="27">
        <v>5</v>
      </c>
      <c r="Q736" s="27" t="s">
        <v>94</v>
      </c>
      <c r="R736" s="27">
        <v>49</v>
      </c>
      <c r="S736" s="27">
        <v>52</v>
      </c>
      <c r="T736" s="29">
        <v>85.7</v>
      </c>
      <c r="U736" s="29">
        <v>2.66</v>
      </c>
      <c r="V736" s="29">
        <v>28.96</v>
      </c>
      <c r="W736" s="30">
        <v>15939.94</v>
      </c>
      <c r="X736" s="27">
        <v>9.9600000000000009</v>
      </c>
      <c r="Y736" s="27" t="s">
        <v>71</v>
      </c>
      <c r="Z736" s="29">
        <v>55</v>
      </c>
      <c r="AA736" s="30">
        <v>26144.49</v>
      </c>
      <c r="AB736" s="29">
        <v>0.91825613079019097</v>
      </c>
      <c r="AC736" s="30">
        <v>20682.580000000002</v>
      </c>
      <c r="AD736" s="30">
        <v>542.91348773842003</v>
      </c>
      <c r="AE736" s="27">
        <v>524.29999999999995</v>
      </c>
      <c r="AF736" s="29">
        <v>0.99046347510967003</v>
      </c>
      <c r="AG736" s="30">
        <v>4918.9965122615804</v>
      </c>
      <c r="AH736" s="31">
        <f t="shared" si="177"/>
        <v>1.1433021806853583</v>
      </c>
      <c r="AI736" s="31">
        <f t="shared" si="178"/>
        <v>8.1743869209809264E-2</v>
      </c>
      <c r="AJ736" s="31">
        <f t="shared" si="179"/>
        <v>3.4059945504087197E-2</v>
      </c>
      <c r="AK736" s="31">
        <f t="shared" si="180"/>
        <v>0.91825613079019075</v>
      </c>
      <c r="AL736" s="29">
        <f t="shared" si="181"/>
        <v>8.3333333333333329E-2</v>
      </c>
      <c r="AM736" s="29">
        <f t="shared" si="182"/>
        <v>519.29999999999995</v>
      </c>
      <c r="AN736" s="29">
        <f t="shared" si="183"/>
        <v>1.4134411708068555</v>
      </c>
      <c r="AO736" s="29">
        <f t="shared" si="184"/>
        <v>1.2244897959183674</v>
      </c>
      <c r="AP736" s="31">
        <f t="shared" si="185"/>
        <v>1.1543102894922652</v>
      </c>
      <c r="AQ736" s="31">
        <f t="shared" si="186"/>
        <v>0.91825613079019075</v>
      </c>
      <c r="AR736" s="31">
        <f t="shared" si="187"/>
        <v>1.0498442367601246</v>
      </c>
      <c r="AS736" s="29">
        <f t="shared" si="188"/>
        <v>28.177901907356951</v>
      </c>
      <c r="AT736" s="29">
        <f t="shared" si="189"/>
        <v>6.7016301256969761</v>
      </c>
      <c r="AU736" s="27" t="str">
        <f t="shared" si="190"/>
        <v>High</v>
      </c>
      <c r="AV736" s="27" t="str">
        <f t="shared" si="191"/>
        <v>Warning</v>
      </c>
      <c r="AW736" s="27"/>
    </row>
    <row r="737" spans="1:49" x14ac:dyDescent="0.25">
      <c r="A737" s="27">
        <v>736</v>
      </c>
      <c r="B737" s="28">
        <v>46108</v>
      </c>
      <c r="C737" s="28" t="str">
        <f t="shared" si="176"/>
        <v>March</v>
      </c>
      <c r="D737" s="27" t="s">
        <v>67</v>
      </c>
      <c r="E737" s="27" t="s">
        <v>48</v>
      </c>
      <c r="F737" s="27" t="s">
        <v>72</v>
      </c>
      <c r="G737" s="27" t="s">
        <v>50</v>
      </c>
      <c r="H737" s="27" t="s">
        <v>79</v>
      </c>
      <c r="I737" s="27" t="s">
        <v>860</v>
      </c>
      <c r="J737" s="27" t="s">
        <v>132</v>
      </c>
      <c r="K737" s="27">
        <v>657</v>
      </c>
      <c r="L737" s="27">
        <v>643</v>
      </c>
      <c r="M737" s="27">
        <v>624</v>
      </c>
      <c r="N737" s="27">
        <v>19</v>
      </c>
      <c r="O737" s="27">
        <v>6</v>
      </c>
      <c r="P737" s="27">
        <v>34</v>
      </c>
      <c r="Q737" s="27" t="s">
        <v>54</v>
      </c>
      <c r="R737" s="27">
        <v>49</v>
      </c>
      <c r="S737" s="27">
        <v>50</v>
      </c>
      <c r="T737" s="29">
        <v>70.8</v>
      </c>
      <c r="U737" s="29">
        <v>2.52</v>
      </c>
      <c r="V737" s="29">
        <v>25.34</v>
      </c>
      <c r="W737" s="30">
        <v>14269.38</v>
      </c>
      <c r="X737" s="27">
        <v>9.56</v>
      </c>
      <c r="Y737" s="27" t="s">
        <v>55</v>
      </c>
      <c r="Z737" s="29">
        <v>31</v>
      </c>
      <c r="AA737" s="30">
        <v>23315.52</v>
      </c>
      <c r="AB737" s="29">
        <v>0.97045101088647001</v>
      </c>
      <c r="AC737" s="30">
        <v>18799.439999999999</v>
      </c>
      <c r="AD737" s="30">
        <v>133.151290824261</v>
      </c>
      <c r="AE737" s="27">
        <v>536.54999999999995</v>
      </c>
      <c r="AF737" s="29">
        <v>0.93663218712142404</v>
      </c>
      <c r="AG737" s="30">
        <v>4382.9287091757396</v>
      </c>
      <c r="AH737" s="31">
        <f t="shared" si="177"/>
        <v>0.9786910197869102</v>
      </c>
      <c r="AI737" s="31">
        <f t="shared" si="178"/>
        <v>2.9548989113530325E-2</v>
      </c>
      <c r="AJ737" s="31">
        <f t="shared" si="179"/>
        <v>9.3312597200622092E-3</v>
      </c>
      <c r="AK737" s="31">
        <f t="shared" si="180"/>
        <v>0.97045101088646968</v>
      </c>
      <c r="AL737" s="29">
        <f t="shared" si="181"/>
        <v>0.56666666666666665</v>
      </c>
      <c r="AM737" s="29">
        <f t="shared" si="182"/>
        <v>502.54999999999995</v>
      </c>
      <c r="AN737" s="29">
        <f t="shared" si="183"/>
        <v>1.2794746791364044</v>
      </c>
      <c r="AO737" s="29">
        <f t="shared" si="184"/>
        <v>1.2244897959183674</v>
      </c>
      <c r="AP737" s="31">
        <f t="shared" si="185"/>
        <v>1.0449043212947302</v>
      </c>
      <c r="AQ737" s="31">
        <f t="shared" si="186"/>
        <v>0.97045101088646968</v>
      </c>
      <c r="AR737" s="31">
        <f t="shared" si="187"/>
        <v>0.94977168949771695</v>
      </c>
      <c r="AS737" s="29">
        <f t="shared" si="188"/>
        <v>29.23707620528771</v>
      </c>
      <c r="AT737" s="29">
        <f t="shared" si="189"/>
        <v>6.8163743533059717</v>
      </c>
      <c r="AU737" s="27" t="str">
        <f t="shared" si="190"/>
        <v>Medium</v>
      </c>
      <c r="AV737" s="27" t="str">
        <f t="shared" si="191"/>
        <v>Normal</v>
      </c>
      <c r="AW737" s="27"/>
    </row>
    <row r="738" spans="1:49" x14ac:dyDescent="0.25">
      <c r="A738" s="27">
        <v>737</v>
      </c>
      <c r="B738" s="28">
        <v>46107</v>
      </c>
      <c r="C738" s="28" t="str">
        <f t="shared" si="176"/>
        <v>March</v>
      </c>
      <c r="D738" s="27" t="s">
        <v>47</v>
      </c>
      <c r="E738" s="27" t="s">
        <v>48</v>
      </c>
      <c r="F738" s="27" t="s">
        <v>72</v>
      </c>
      <c r="G738" s="27" t="s">
        <v>63</v>
      </c>
      <c r="H738" s="27" t="s">
        <v>51</v>
      </c>
      <c r="I738" s="27" t="s">
        <v>861</v>
      </c>
      <c r="J738" s="27" t="s">
        <v>86</v>
      </c>
      <c r="K738" s="27">
        <v>935</v>
      </c>
      <c r="L738" s="27">
        <v>921</v>
      </c>
      <c r="M738" s="27">
        <v>882</v>
      </c>
      <c r="N738" s="27">
        <v>39</v>
      </c>
      <c r="O738" s="27">
        <v>8</v>
      </c>
      <c r="P738" s="27">
        <v>24</v>
      </c>
      <c r="Q738" s="27" t="s">
        <v>102</v>
      </c>
      <c r="R738" s="27">
        <v>42</v>
      </c>
      <c r="S738" s="27">
        <v>46</v>
      </c>
      <c r="T738" s="29">
        <v>70.2</v>
      </c>
      <c r="U738" s="29">
        <v>2.0299999999999998</v>
      </c>
      <c r="V738" s="29">
        <v>31.65</v>
      </c>
      <c r="W738" s="30">
        <v>17640.8</v>
      </c>
      <c r="X738" s="27">
        <v>9.1</v>
      </c>
      <c r="Y738" s="27" t="s">
        <v>55</v>
      </c>
      <c r="Z738" s="29">
        <v>32</v>
      </c>
      <c r="AA738" s="30">
        <v>28895.25</v>
      </c>
      <c r="AB738" s="29">
        <v>0.95765472312703603</v>
      </c>
      <c r="AC738" s="30">
        <v>22020.65</v>
      </c>
      <c r="AD738" s="30">
        <v>153.23170466883801</v>
      </c>
      <c r="AE738" s="27">
        <v>654.5</v>
      </c>
      <c r="AF738" s="29">
        <v>0.96333078686019902</v>
      </c>
      <c r="AG738" s="30">
        <v>6721.36829533116</v>
      </c>
      <c r="AH738" s="31">
        <f t="shared" si="177"/>
        <v>0.9850267379679144</v>
      </c>
      <c r="AI738" s="31">
        <f t="shared" si="178"/>
        <v>4.2345276872964167E-2</v>
      </c>
      <c r="AJ738" s="31">
        <f t="shared" si="179"/>
        <v>8.6862106406080351E-3</v>
      </c>
      <c r="AK738" s="31">
        <f t="shared" si="180"/>
        <v>0.95765472312703581</v>
      </c>
      <c r="AL738" s="29">
        <f t="shared" si="181"/>
        <v>0.4</v>
      </c>
      <c r="AM738" s="29">
        <f t="shared" si="182"/>
        <v>630.5</v>
      </c>
      <c r="AN738" s="29">
        <f t="shared" si="183"/>
        <v>1.4607454401268833</v>
      </c>
      <c r="AO738" s="29">
        <f t="shared" si="184"/>
        <v>1.4285714285714286</v>
      </c>
      <c r="AP738" s="31">
        <f t="shared" si="185"/>
        <v>1.0225218080888183</v>
      </c>
      <c r="AQ738" s="31">
        <f t="shared" si="186"/>
        <v>0.95765472312703581</v>
      </c>
      <c r="AR738" s="31">
        <f t="shared" si="187"/>
        <v>0.94331550802139064</v>
      </c>
      <c r="AS738" s="29">
        <f t="shared" si="188"/>
        <v>23.909500542888168</v>
      </c>
      <c r="AT738" s="29">
        <f t="shared" si="189"/>
        <v>7.2979026007938765</v>
      </c>
      <c r="AU738" s="27" t="str">
        <f t="shared" si="190"/>
        <v>Medium</v>
      </c>
      <c r="AV738" s="27" t="str">
        <f t="shared" si="191"/>
        <v>Normal</v>
      </c>
      <c r="AW738" s="27"/>
    </row>
    <row r="739" spans="1:49" x14ac:dyDescent="0.25">
      <c r="A739" s="27">
        <v>738</v>
      </c>
      <c r="B739" s="28">
        <v>46108</v>
      </c>
      <c r="C739" s="28" t="str">
        <f t="shared" si="176"/>
        <v>March</v>
      </c>
      <c r="D739" s="27" t="s">
        <v>67</v>
      </c>
      <c r="E739" s="27" t="s">
        <v>129</v>
      </c>
      <c r="F739" s="27" t="s">
        <v>130</v>
      </c>
      <c r="G739" s="27" t="s">
        <v>63</v>
      </c>
      <c r="H739" s="27" t="s">
        <v>68</v>
      </c>
      <c r="I739" s="27" t="s">
        <v>862</v>
      </c>
      <c r="J739" s="27" t="s">
        <v>218</v>
      </c>
      <c r="K739" s="27">
        <v>532</v>
      </c>
      <c r="L739" s="27">
        <v>499</v>
      </c>
      <c r="M739" s="27">
        <v>415</v>
      </c>
      <c r="N739" s="27">
        <v>84</v>
      </c>
      <c r="O739" s="27">
        <v>31</v>
      </c>
      <c r="P739" s="27">
        <v>49</v>
      </c>
      <c r="Q739" s="27" t="s">
        <v>104</v>
      </c>
      <c r="R739" s="27">
        <v>64</v>
      </c>
      <c r="S739" s="27">
        <v>66</v>
      </c>
      <c r="T739" s="29">
        <v>88.1</v>
      </c>
      <c r="U739" s="29">
        <v>3.6</v>
      </c>
      <c r="V739" s="29">
        <v>21.7</v>
      </c>
      <c r="W739" s="30">
        <v>15227.77</v>
      </c>
      <c r="X739" s="27">
        <v>8.36</v>
      </c>
      <c r="Y739" s="27" t="s">
        <v>55</v>
      </c>
      <c r="Z739" s="29">
        <v>36</v>
      </c>
      <c r="AA739" s="30">
        <v>21530.720000000001</v>
      </c>
      <c r="AB739" s="29">
        <v>0.831663326653307</v>
      </c>
      <c r="AC739" s="30">
        <v>19185.07</v>
      </c>
      <c r="AD739" s="30">
        <v>946.01376753506997</v>
      </c>
      <c r="AE739" s="27">
        <v>567.46666666666704</v>
      </c>
      <c r="AF739" s="29">
        <v>0.91365131578947401</v>
      </c>
      <c r="AG739" s="30">
        <v>1399.6362324649299</v>
      </c>
      <c r="AH739" s="31">
        <f t="shared" si="177"/>
        <v>0.93796992481203012</v>
      </c>
      <c r="AI739" s="31">
        <f t="shared" si="178"/>
        <v>0.16833667334669339</v>
      </c>
      <c r="AJ739" s="31">
        <f t="shared" si="179"/>
        <v>6.2124248496993988E-2</v>
      </c>
      <c r="AK739" s="31">
        <f t="shared" si="180"/>
        <v>0.83166332665330667</v>
      </c>
      <c r="AL739" s="29">
        <f t="shared" si="181"/>
        <v>0.81666666666666665</v>
      </c>
      <c r="AM739" s="29">
        <f t="shared" si="182"/>
        <v>518.46666666666704</v>
      </c>
      <c r="AN739" s="29">
        <f t="shared" si="183"/>
        <v>0.96245338819596171</v>
      </c>
      <c r="AO739" s="29">
        <f t="shared" si="184"/>
        <v>0.9375</v>
      </c>
      <c r="AP739" s="31">
        <f t="shared" si="185"/>
        <v>1.0266169474090259</v>
      </c>
      <c r="AQ739" s="31">
        <f t="shared" si="186"/>
        <v>0.83166332665330667</v>
      </c>
      <c r="AR739" s="31">
        <f t="shared" si="187"/>
        <v>0.78007518796992448</v>
      </c>
      <c r="AS739" s="29">
        <f t="shared" si="188"/>
        <v>38.447034068136269</v>
      </c>
      <c r="AT739" s="29">
        <f t="shared" si="189"/>
        <v>2.8048822293886371</v>
      </c>
      <c r="AU739" s="27" t="str">
        <f t="shared" si="190"/>
        <v>High</v>
      </c>
      <c r="AV739" s="27" t="str">
        <f t="shared" si="191"/>
        <v>Critical</v>
      </c>
      <c r="AW739" s="27"/>
    </row>
    <row r="740" spans="1:49" x14ac:dyDescent="0.25">
      <c r="A740" s="27">
        <v>739</v>
      </c>
      <c r="B740" s="28">
        <v>46141</v>
      </c>
      <c r="C740" s="28" t="str">
        <f t="shared" si="176"/>
        <v>April</v>
      </c>
      <c r="D740" s="27" t="s">
        <v>47</v>
      </c>
      <c r="E740" s="27" t="s">
        <v>76</v>
      </c>
      <c r="F740" s="27" t="s">
        <v>77</v>
      </c>
      <c r="G740" s="27" t="s">
        <v>50</v>
      </c>
      <c r="H740" s="27" t="s">
        <v>79</v>
      </c>
      <c r="I740" s="27" t="s">
        <v>863</v>
      </c>
      <c r="J740" s="27" t="s">
        <v>140</v>
      </c>
      <c r="K740" s="27">
        <v>796</v>
      </c>
      <c r="L740" s="27">
        <v>785</v>
      </c>
      <c r="M740" s="27">
        <v>732</v>
      </c>
      <c r="N740" s="27">
        <v>53</v>
      </c>
      <c r="O740" s="27">
        <v>10</v>
      </c>
      <c r="P740" s="27">
        <v>49</v>
      </c>
      <c r="Q740" s="27" t="s">
        <v>54</v>
      </c>
      <c r="R740" s="27">
        <v>49</v>
      </c>
      <c r="S740" s="27">
        <v>48</v>
      </c>
      <c r="T740" s="29">
        <v>69.099999999999994</v>
      </c>
      <c r="U740" s="29">
        <v>1.72</v>
      </c>
      <c r="V740" s="29">
        <v>33.979999999999997</v>
      </c>
      <c r="W740" s="30">
        <v>16491.8</v>
      </c>
      <c r="X740" s="27">
        <v>8.9600000000000009</v>
      </c>
      <c r="Y740" s="27" t="s">
        <v>66</v>
      </c>
      <c r="Z740" s="29">
        <v>27</v>
      </c>
      <c r="AA740" s="30">
        <v>26988.66</v>
      </c>
      <c r="AB740" s="29">
        <v>0.93248407643312103</v>
      </c>
      <c r="AC740" s="30">
        <v>20829.62</v>
      </c>
      <c r="AD740" s="30">
        <v>210.086624203822</v>
      </c>
      <c r="AE740" s="27">
        <v>650.06666666666695</v>
      </c>
      <c r="AF740" s="29">
        <v>0.92462311557789001</v>
      </c>
      <c r="AG740" s="30">
        <v>5948.9533757961799</v>
      </c>
      <c r="AH740" s="31">
        <f t="shared" si="177"/>
        <v>0.98618090452261309</v>
      </c>
      <c r="AI740" s="31">
        <f t="shared" si="178"/>
        <v>6.751592356687898E-2</v>
      </c>
      <c r="AJ740" s="31">
        <f t="shared" si="179"/>
        <v>1.2738853503184714E-2</v>
      </c>
      <c r="AK740" s="31">
        <f t="shared" si="180"/>
        <v>0.93248407643312103</v>
      </c>
      <c r="AL740" s="29">
        <f t="shared" si="181"/>
        <v>0.81666666666666665</v>
      </c>
      <c r="AM740" s="29">
        <f t="shared" si="182"/>
        <v>601.06666666666695</v>
      </c>
      <c r="AN740" s="29">
        <f t="shared" si="183"/>
        <v>1.3060115350488015</v>
      </c>
      <c r="AO740" s="29">
        <f t="shared" si="184"/>
        <v>1.2244897959183674</v>
      </c>
      <c r="AP740" s="31">
        <f t="shared" si="185"/>
        <v>1.0665760869565213</v>
      </c>
      <c r="AQ740" s="31">
        <f t="shared" si="186"/>
        <v>0.93248407643312103</v>
      </c>
      <c r="AR740" s="31">
        <f t="shared" si="187"/>
        <v>0.91959798994974884</v>
      </c>
      <c r="AS740" s="29">
        <f t="shared" si="188"/>
        <v>26.534547770700637</v>
      </c>
      <c r="AT740" s="29">
        <f t="shared" si="189"/>
        <v>7.5782845551543696</v>
      </c>
      <c r="AU740" s="27" t="str">
        <f t="shared" si="190"/>
        <v>Low</v>
      </c>
      <c r="AV740" s="27" t="str">
        <f t="shared" si="191"/>
        <v>Normal</v>
      </c>
      <c r="AW740" s="27"/>
    </row>
    <row r="741" spans="1:49" x14ac:dyDescent="0.25">
      <c r="A741" s="27">
        <v>740</v>
      </c>
      <c r="B741" s="28">
        <v>46116</v>
      </c>
      <c r="C741" s="28" t="str">
        <f t="shared" si="176"/>
        <v>April</v>
      </c>
      <c r="D741" s="27" t="s">
        <v>47</v>
      </c>
      <c r="E741" s="27" t="s">
        <v>61</v>
      </c>
      <c r="F741" s="27" t="s">
        <v>88</v>
      </c>
      <c r="G741" s="27" t="s">
        <v>63</v>
      </c>
      <c r="H741" s="27" t="s">
        <v>124</v>
      </c>
      <c r="I741" s="27" t="s">
        <v>864</v>
      </c>
      <c r="J741" s="27" t="s">
        <v>161</v>
      </c>
      <c r="K741" s="27">
        <v>657</v>
      </c>
      <c r="L741" s="27">
        <v>645</v>
      </c>
      <c r="M741" s="27">
        <v>623</v>
      </c>
      <c r="N741" s="27">
        <v>22</v>
      </c>
      <c r="O741" s="27">
        <v>8</v>
      </c>
      <c r="P741" s="27">
        <v>13</v>
      </c>
      <c r="Q741" s="27" t="s">
        <v>94</v>
      </c>
      <c r="R741" s="27">
        <v>57</v>
      </c>
      <c r="S741" s="27">
        <v>57</v>
      </c>
      <c r="T741" s="29">
        <v>72</v>
      </c>
      <c r="U741" s="29">
        <v>1.35</v>
      </c>
      <c r="V741" s="29">
        <v>19.59</v>
      </c>
      <c r="W741" s="30">
        <v>16767.88</v>
      </c>
      <c r="X741" s="27">
        <v>7.23</v>
      </c>
      <c r="Y741" s="27" t="s">
        <v>71</v>
      </c>
      <c r="Z741" s="29">
        <v>10</v>
      </c>
      <c r="AA741" s="30">
        <v>28382.31</v>
      </c>
      <c r="AB741" s="29">
        <v>0.96589147286821697</v>
      </c>
      <c r="AC741" s="30">
        <v>20197.689999999999</v>
      </c>
      <c r="AD741" s="30">
        <v>207.97370542635699</v>
      </c>
      <c r="AE741" s="27">
        <v>624.15</v>
      </c>
      <c r="AF741" s="29">
        <v>0.97917167347592704</v>
      </c>
      <c r="AG741" s="30">
        <v>7976.6462945736403</v>
      </c>
      <c r="AH741" s="31">
        <f t="shared" si="177"/>
        <v>0.9817351598173516</v>
      </c>
      <c r="AI741" s="31">
        <f t="shared" si="178"/>
        <v>3.4108527131782945E-2</v>
      </c>
      <c r="AJ741" s="31">
        <f t="shared" si="179"/>
        <v>1.2403100775193798E-2</v>
      </c>
      <c r="AK741" s="31">
        <f t="shared" si="180"/>
        <v>0.96589147286821708</v>
      </c>
      <c r="AL741" s="29">
        <f t="shared" si="181"/>
        <v>0.21666666666666667</v>
      </c>
      <c r="AM741" s="29">
        <f t="shared" si="182"/>
        <v>611.15</v>
      </c>
      <c r="AN741" s="29">
        <f t="shared" si="183"/>
        <v>1.0553873844391721</v>
      </c>
      <c r="AO741" s="29">
        <f t="shared" si="184"/>
        <v>1.0526315789473684</v>
      </c>
      <c r="AP741" s="31">
        <f t="shared" si="185"/>
        <v>1.0026180152172135</v>
      </c>
      <c r="AQ741" s="31">
        <f t="shared" si="186"/>
        <v>0.96589147286821708</v>
      </c>
      <c r="AR741" s="31">
        <f t="shared" si="187"/>
        <v>0.94824961948249598</v>
      </c>
      <c r="AS741" s="29">
        <f t="shared" si="188"/>
        <v>31.314248062015501</v>
      </c>
      <c r="AT741" s="29">
        <f t="shared" si="189"/>
        <v>12.366893479959133</v>
      </c>
      <c r="AU741" s="27" t="str">
        <f t="shared" si="190"/>
        <v>High</v>
      </c>
      <c r="AV741" s="27" t="str">
        <f t="shared" si="191"/>
        <v>Normal</v>
      </c>
      <c r="AW741" s="27"/>
    </row>
    <row r="742" spans="1:49" x14ac:dyDescent="0.25">
      <c r="A742" s="27">
        <v>741</v>
      </c>
      <c r="B742" s="28">
        <v>46083</v>
      </c>
      <c r="C742" s="28" t="str">
        <f t="shared" si="176"/>
        <v>March</v>
      </c>
      <c r="D742" s="27" t="s">
        <v>67</v>
      </c>
      <c r="E742" s="27" t="s">
        <v>76</v>
      </c>
      <c r="F742" s="27" t="s">
        <v>113</v>
      </c>
      <c r="G742" s="27" t="s">
        <v>63</v>
      </c>
      <c r="H742" s="27" t="s">
        <v>51</v>
      </c>
      <c r="I742" s="27" t="s">
        <v>865</v>
      </c>
      <c r="J742" s="27" t="s">
        <v>90</v>
      </c>
      <c r="K742" s="27">
        <v>799</v>
      </c>
      <c r="L742" s="27">
        <v>772</v>
      </c>
      <c r="M742" s="27">
        <v>736</v>
      </c>
      <c r="N742" s="27">
        <v>36</v>
      </c>
      <c r="O742" s="27">
        <v>11</v>
      </c>
      <c r="P742" s="27">
        <v>0</v>
      </c>
      <c r="Q742" s="27" t="s">
        <v>60</v>
      </c>
      <c r="R742" s="27">
        <v>42</v>
      </c>
      <c r="S742" s="27">
        <v>45</v>
      </c>
      <c r="T742" s="29">
        <v>84.6</v>
      </c>
      <c r="U742" s="29">
        <v>2</v>
      </c>
      <c r="V742" s="29">
        <v>23.3</v>
      </c>
      <c r="W742" s="30">
        <v>13703.6</v>
      </c>
      <c r="X742" s="27">
        <v>7.13</v>
      </c>
      <c r="Y742" s="27" t="s">
        <v>66</v>
      </c>
      <c r="Z742" s="29">
        <v>1</v>
      </c>
      <c r="AA742" s="30">
        <v>23714.57</v>
      </c>
      <c r="AB742" s="29">
        <v>0.95336787564766801</v>
      </c>
      <c r="AC742" s="30">
        <v>17121.8</v>
      </c>
      <c r="AD742" s="30">
        <v>195.258549222798</v>
      </c>
      <c r="AE742" s="27">
        <v>559.29999999999995</v>
      </c>
      <c r="AF742" s="29">
        <v>1</v>
      </c>
      <c r="AG742" s="30">
        <v>6397.5114507771996</v>
      </c>
      <c r="AH742" s="31">
        <f t="shared" si="177"/>
        <v>0.96620775969962458</v>
      </c>
      <c r="AI742" s="31">
        <f t="shared" si="178"/>
        <v>4.6632124352331605E-2</v>
      </c>
      <c r="AJ742" s="31">
        <f t="shared" si="179"/>
        <v>1.4248704663212436E-2</v>
      </c>
      <c r="AK742" s="31">
        <f t="shared" si="180"/>
        <v>0.95336787564766834</v>
      </c>
      <c r="AL742" s="29">
        <f t="shared" si="181"/>
        <v>0</v>
      </c>
      <c r="AM742" s="29">
        <f t="shared" si="182"/>
        <v>559.29999999999995</v>
      </c>
      <c r="AN742" s="29">
        <f t="shared" si="183"/>
        <v>1.3802967995708924</v>
      </c>
      <c r="AO742" s="29">
        <f t="shared" si="184"/>
        <v>1.4285714285714286</v>
      </c>
      <c r="AP742" s="31">
        <f t="shared" si="185"/>
        <v>0.96620775969962458</v>
      </c>
      <c r="AQ742" s="31">
        <f t="shared" si="186"/>
        <v>0.95336787564766834</v>
      </c>
      <c r="AR742" s="31">
        <f t="shared" si="187"/>
        <v>0.92115143929912391</v>
      </c>
      <c r="AS742" s="29">
        <f t="shared" si="188"/>
        <v>22.178497409326425</v>
      </c>
      <c r="AT742" s="29">
        <f t="shared" si="189"/>
        <v>8.2869319310585485</v>
      </c>
      <c r="AU742" s="27" t="str">
        <f t="shared" si="190"/>
        <v>Medium</v>
      </c>
      <c r="AV742" s="27" t="str">
        <f t="shared" si="191"/>
        <v>Warning</v>
      </c>
      <c r="AW742" s="27"/>
    </row>
    <row r="743" spans="1:49" x14ac:dyDescent="0.25">
      <c r="A743" s="27">
        <v>742</v>
      </c>
      <c r="B743" s="28">
        <v>46160</v>
      </c>
      <c r="C743" s="28" t="str">
        <f t="shared" si="176"/>
        <v>May</v>
      </c>
      <c r="D743" s="27" t="s">
        <v>47</v>
      </c>
      <c r="E743" s="27" t="s">
        <v>98</v>
      </c>
      <c r="F743" s="27" t="s">
        <v>105</v>
      </c>
      <c r="G743" s="27" t="s">
        <v>63</v>
      </c>
      <c r="H743" s="27" t="s">
        <v>51</v>
      </c>
      <c r="I743" s="27" t="s">
        <v>866</v>
      </c>
      <c r="J743" s="27" t="s">
        <v>59</v>
      </c>
      <c r="K743" s="27">
        <v>765</v>
      </c>
      <c r="L743" s="27">
        <v>699</v>
      </c>
      <c r="M743" s="27">
        <v>659</v>
      </c>
      <c r="N743" s="27">
        <v>40</v>
      </c>
      <c r="O743" s="27">
        <v>11</v>
      </c>
      <c r="P743" s="27">
        <v>9</v>
      </c>
      <c r="Q743" s="27" t="s">
        <v>54</v>
      </c>
      <c r="R743" s="27">
        <v>42</v>
      </c>
      <c r="S743" s="27">
        <v>41</v>
      </c>
      <c r="T743" s="29">
        <v>72</v>
      </c>
      <c r="U743" s="29">
        <v>1.54</v>
      </c>
      <c r="V743" s="29">
        <v>28.68</v>
      </c>
      <c r="W743" s="30">
        <v>13090.47</v>
      </c>
      <c r="X743" s="27">
        <v>7.17</v>
      </c>
      <c r="Y743" s="27" t="s">
        <v>55</v>
      </c>
      <c r="Z743" s="29">
        <v>27</v>
      </c>
      <c r="AA743" s="30">
        <v>20615.46</v>
      </c>
      <c r="AB743" s="29">
        <v>0.94277539341917005</v>
      </c>
      <c r="AC743" s="30">
        <v>16575.09</v>
      </c>
      <c r="AD743" s="30">
        <v>206.001673819742</v>
      </c>
      <c r="AE743" s="27">
        <v>535.5</v>
      </c>
      <c r="AF743" s="29">
        <v>0.98319327731092399</v>
      </c>
      <c r="AG743" s="30">
        <v>3834.3683261802598</v>
      </c>
      <c r="AH743" s="31">
        <f t="shared" si="177"/>
        <v>0.9137254901960784</v>
      </c>
      <c r="AI743" s="31">
        <f t="shared" si="178"/>
        <v>5.7224606580829757E-2</v>
      </c>
      <c r="AJ743" s="31">
        <f t="shared" si="179"/>
        <v>1.5736766809728183E-2</v>
      </c>
      <c r="AK743" s="31">
        <f t="shared" si="180"/>
        <v>0.94277539341917027</v>
      </c>
      <c r="AL743" s="29">
        <f t="shared" si="181"/>
        <v>0.15</v>
      </c>
      <c r="AM743" s="29">
        <f t="shared" si="182"/>
        <v>526.5</v>
      </c>
      <c r="AN743" s="29">
        <f t="shared" si="183"/>
        <v>1.3276353276353277</v>
      </c>
      <c r="AO743" s="29">
        <f t="shared" si="184"/>
        <v>1.4285714285714286</v>
      </c>
      <c r="AP743" s="31">
        <f t="shared" si="185"/>
        <v>0.92934472934472934</v>
      </c>
      <c r="AQ743" s="31">
        <f t="shared" si="186"/>
        <v>0.94277539341917027</v>
      </c>
      <c r="AR743" s="31">
        <f t="shared" si="187"/>
        <v>0.86143790849673174</v>
      </c>
      <c r="AS743" s="29">
        <f t="shared" si="188"/>
        <v>23.712575107296139</v>
      </c>
      <c r="AT743" s="29">
        <f t="shared" si="189"/>
        <v>5.4855054737915019</v>
      </c>
      <c r="AU743" s="27" t="str">
        <f t="shared" si="190"/>
        <v>Low</v>
      </c>
      <c r="AV743" s="27" t="str">
        <f t="shared" si="191"/>
        <v>Normal</v>
      </c>
      <c r="AW743" s="27"/>
    </row>
    <row r="744" spans="1:49" x14ac:dyDescent="0.25">
      <c r="A744" s="27">
        <v>743</v>
      </c>
      <c r="B744" s="28">
        <v>46183</v>
      </c>
      <c r="C744" s="28" t="str">
        <f t="shared" si="176"/>
        <v>June</v>
      </c>
      <c r="D744" s="27" t="s">
        <v>47</v>
      </c>
      <c r="E744" s="27" t="s">
        <v>98</v>
      </c>
      <c r="F744" s="27" t="s">
        <v>105</v>
      </c>
      <c r="G744" s="27" t="s">
        <v>63</v>
      </c>
      <c r="H744" s="27" t="s">
        <v>68</v>
      </c>
      <c r="I744" s="27" t="s">
        <v>867</v>
      </c>
      <c r="J744" s="27" t="s">
        <v>109</v>
      </c>
      <c r="K744" s="27">
        <v>689</v>
      </c>
      <c r="L744" s="27">
        <v>583</v>
      </c>
      <c r="M744" s="27">
        <v>542</v>
      </c>
      <c r="N744" s="27">
        <v>41</v>
      </c>
      <c r="O744" s="27">
        <v>9</v>
      </c>
      <c r="P744" s="27">
        <v>52</v>
      </c>
      <c r="Q744" s="27" t="s">
        <v>54</v>
      </c>
      <c r="R744" s="27">
        <v>64</v>
      </c>
      <c r="S744" s="27">
        <v>65</v>
      </c>
      <c r="T744" s="29">
        <v>80.900000000000006</v>
      </c>
      <c r="U744" s="29">
        <v>2.02</v>
      </c>
      <c r="V744" s="29">
        <v>26.53</v>
      </c>
      <c r="W744" s="30">
        <v>18080.240000000002</v>
      </c>
      <c r="X744" s="27">
        <v>7.26</v>
      </c>
      <c r="Y744" s="27" t="s">
        <v>71</v>
      </c>
      <c r="Z744" s="29">
        <v>37</v>
      </c>
      <c r="AA744" s="30">
        <v>28027</v>
      </c>
      <c r="AB744" s="29">
        <v>0.92967409948542001</v>
      </c>
      <c r="AC744" s="30">
        <v>21586.01</v>
      </c>
      <c r="AD744" s="30">
        <v>279.11176672384198</v>
      </c>
      <c r="AE744" s="27">
        <v>734.93333333333305</v>
      </c>
      <c r="AF744" s="29">
        <v>0.929245283018868</v>
      </c>
      <c r="AG744" s="30">
        <v>6161.8782332761602</v>
      </c>
      <c r="AH744" s="31">
        <f t="shared" si="177"/>
        <v>0.84615384615384615</v>
      </c>
      <c r="AI744" s="31">
        <f t="shared" si="178"/>
        <v>7.0325900514579764E-2</v>
      </c>
      <c r="AJ744" s="31">
        <f t="shared" si="179"/>
        <v>1.5437392795883362E-2</v>
      </c>
      <c r="AK744" s="31">
        <f t="shared" si="180"/>
        <v>0.92967409948542024</v>
      </c>
      <c r="AL744" s="29">
        <f t="shared" si="181"/>
        <v>0.8666666666666667</v>
      </c>
      <c r="AM744" s="29">
        <f t="shared" si="182"/>
        <v>682.93333333333305</v>
      </c>
      <c r="AN744" s="29">
        <f t="shared" si="183"/>
        <v>0.85367044123389335</v>
      </c>
      <c r="AO744" s="29">
        <f t="shared" si="184"/>
        <v>0.9375</v>
      </c>
      <c r="AP744" s="31">
        <f t="shared" si="185"/>
        <v>0.91058180398281963</v>
      </c>
      <c r="AQ744" s="31">
        <f t="shared" si="186"/>
        <v>0.92967409948542024</v>
      </c>
      <c r="AR744" s="31">
        <f t="shared" si="187"/>
        <v>0.78664731494920215</v>
      </c>
      <c r="AS744" s="29">
        <f t="shared" si="188"/>
        <v>37.025746140651798</v>
      </c>
      <c r="AT744" s="29">
        <f t="shared" si="189"/>
        <v>10.569259405276433</v>
      </c>
      <c r="AU744" s="27" t="str">
        <f t="shared" si="190"/>
        <v>High</v>
      </c>
      <c r="AV744" s="27" t="str">
        <f t="shared" si="191"/>
        <v>Warning</v>
      </c>
      <c r="AW744" s="27"/>
    </row>
    <row r="745" spans="1:49" x14ac:dyDescent="0.25">
      <c r="A745" s="27">
        <v>744</v>
      </c>
      <c r="B745" s="28">
        <v>46124</v>
      </c>
      <c r="C745" s="28" t="str">
        <f t="shared" si="176"/>
        <v>April</v>
      </c>
      <c r="D745" s="27" t="s">
        <v>47</v>
      </c>
      <c r="E745" s="27" t="s">
        <v>48</v>
      </c>
      <c r="F745" s="27" t="s">
        <v>49</v>
      </c>
      <c r="G745" s="27" t="s">
        <v>78</v>
      </c>
      <c r="H745" s="27" t="s">
        <v>51</v>
      </c>
      <c r="I745" s="27" t="s">
        <v>868</v>
      </c>
      <c r="J745" s="27" t="s">
        <v>286</v>
      </c>
      <c r="K745" s="27">
        <v>945</v>
      </c>
      <c r="L745" s="27">
        <v>911</v>
      </c>
      <c r="M745" s="27">
        <v>871</v>
      </c>
      <c r="N745" s="27">
        <v>40</v>
      </c>
      <c r="O745" s="27">
        <v>7</v>
      </c>
      <c r="P745" s="27">
        <v>0</v>
      </c>
      <c r="Q745" s="27" t="s">
        <v>60</v>
      </c>
      <c r="R745" s="27">
        <v>42</v>
      </c>
      <c r="S745" s="27">
        <v>42</v>
      </c>
      <c r="T745" s="29">
        <v>69.400000000000006</v>
      </c>
      <c r="U745" s="29">
        <v>2</v>
      </c>
      <c r="V745" s="29">
        <v>27.43</v>
      </c>
      <c r="W745" s="30">
        <v>16683.03</v>
      </c>
      <c r="X745" s="27">
        <v>9.75</v>
      </c>
      <c r="Y745" s="27" t="s">
        <v>66</v>
      </c>
      <c r="Z745" s="29">
        <v>18</v>
      </c>
      <c r="AA745" s="30">
        <v>28277.200000000001</v>
      </c>
      <c r="AB745" s="29">
        <v>0.95609220636662995</v>
      </c>
      <c r="AC745" s="30">
        <v>21317.4</v>
      </c>
      <c r="AD745" s="30">
        <v>128.190131723381</v>
      </c>
      <c r="AE745" s="27">
        <v>661.5</v>
      </c>
      <c r="AF745" s="29">
        <v>1</v>
      </c>
      <c r="AG745" s="30">
        <v>6831.6098682766196</v>
      </c>
      <c r="AH745" s="31">
        <f t="shared" si="177"/>
        <v>0.964021164021164</v>
      </c>
      <c r="AI745" s="31">
        <f t="shared" si="178"/>
        <v>4.3907793633369926E-2</v>
      </c>
      <c r="AJ745" s="31">
        <f t="shared" si="179"/>
        <v>7.6838638858397366E-3</v>
      </c>
      <c r="AK745" s="31">
        <f t="shared" si="180"/>
        <v>0.95609220636663006</v>
      </c>
      <c r="AL745" s="29">
        <f t="shared" si="181"/>
        <v>0</v>
      </c>
      <c r="AM745" s="29">
        <f t="shared" si="182"/>
        <v>661.5</v>
      </c>
      <c r="AN745" s="29">
        <f t="shared" si="183"/>
        <v>1.3771730914588058</v>
      </c>
      <c r="AO745" s="29">
        <f t="shared" si="184"/>
        <v>1.4285714285714286</v>
      </c>
      <c r="AP745" s="31">
        <f t="shared" si="185"/>
        <v>0.96402116402116411</v>
      </c>
      <c r="AQ745" s="31">
        <f t="shared" si="186"/>
        <v>0.95609220636663006</v>
      </c>
      <c r="AR745" s="31">
        <f t="shared" si="187"/>
        <v>0.92169312169312179</v>
      </c>
      <c r="AS745" s="29">
        <f t="shared" si="188"/>
        <v>23.400000000000002</v>
      </c>
      <c r="AT745" s="29">
        <f t="shared" si="189"/>
        <v>7.4990229069995822</v>
      </c>
      <c r="AU745" s="27" t="str">
        <f t="shared" si="190"/>
        <v>Low</v>
      </c>
      <c r="AV745" s="27" t="str">
        <f t="shared" si="191"/>
        <v>Normal</v>
      </c>
      <c r="AW745" s="27"/>
    </row>
    <row r="746" spans="1:49" x14ac:dyDescent="0.25">
      <c r="A746" s="27">
        <v>745</v>
      </c>
      <c r="B746" s="28">
        <v>46143</v>
      </c>
      <c r="C746" s="28" t="str">
        <f t="shared" si="176"/>
        <v>May</v>
      </c>
      <c r="D746" s="27" t="s">
        <v>67</v>
      </c>
      <c r="E746" s="27" t="s">
        <v>61</v>
      </c>
      <c r="F746" s="27" t="s">
        <v>95</v>
      </c>
      <c r="G746" s="27" t="s">
        <v>50</v>
      </c>
      <c r="H746" s="27" t="s">
        <v>68</v>
      </c>
      <c r="I746" s="27" t="s">
        <v>869</v>
      </c>
      <c r="J746" s="27" t="s">
        <v>175</v>
      </c>
      <c r="K746" s="27">
        <v>505</v>
      </c>
      <c r="L746" s="27">
        <v>505</v>
      </c>
      <c r="M746" s="27">
        <v>473</v>
      </c>
      <c r="N746" s="27">
        <v>32</v>
      </c>
      <c r="O746" s="27">
        <v>12</v>
      </c>
      <c r="P746" s="27">
        <v>9</v>
      </c>
      <c r="Q746" s="27" t="s">
        <v>82</v>
      </c>
      <c r="R746" s="27">
        <v>64</v>
      </c>
      <c r="S746" s="27">
        <v>68</v>
      </c>
      <c r="T746" s="29">
        <v>70.3</v>
      </c>
      <c r="U746" s="29">
        <v>1.87</v>
      </c>
      <c r="V746" s="29">
        <v>15.83</v>
      </c>
      <c r="W746" s="30">
        <v>15630.29</v>
      </c>
      <c r="X746" s="27">
        <v>8.85</v>
      </c>
      <c r="Y746" s="27" t="s">
        <v>66</v>
      </c>
      <c r="Z746" s="29">
        <v>26</v>
      </c>
      <c r="AA746" s="30">
        <v>24680.38</v>
      </c>
      <c r="AB746" s="29">
        <v>0.93663366336633702</v>
      </c>
      <c r="AC746" s="30">
        <v>19755.259999999998</v>
      </c>
      <c r="AD746" s="30">
        <v>371.41283168316801</v>
      </c>
      <c r="AE746" s="27">
        <v>538.66666666666697</v>
      </c>
      <c r="AF746" s="29">
        <v>0.98329207920792105</v>
      </c>
      <c r="AG746" s="30">
        <v>4553.7071683168297</v>
      </c>
      <c r="AH746" s="31">
        <f t="shared" si="177"/>
        <v>1</v>
      </c>
      <c r="AI746" s="31">
        <f t="shared" si="178"/>
        <v>6.3366336633663367E-2</v>
      </c>
      <c r="AJ746" s="31">
        <f t="shared" si="179"/>
        <v>2.3762376237623763E-2</v>
      </c>
      <c r="AK746" s="31">
        <f t="shared" si="180"/>
        <v>0.93663366336633669</v>
      </c>
      <c r="AL746" s="29">
        <f t="shared" si="181"/>
        <v>0.15</v>
      </c>
      <c r="AM746" s="29">
        <f t="shared" si="182"/>
        <v>529.66666666666697</v>
      </c>
      <c r="AN746" s="29">
        <f t="shared" si="183"/>
        <v>0.95342983008181192</v>
      </c>
      <c r="AO746" s="29">
        <f t="shared" si="184"/>
        <v>0.9375</v>
      </c>
      <c r="AP746" s="31">
        <f t="shared" si="185"/>
        <v>1.0169918187539326</v>
      </c>
      <c r="AQ746" s="31">
        <f t="shared" si="186"/>
        <v>0.93663366336633669</v>
      </c>
      <c r="AR746" s="31">
        <f t="shared" si="187"/>
        <v>0.93663366336633636</v>
      </c>
      <c r="AS746" s="29">
        <f t="shared" si="188"/>
        <v>39.119326732673265</v>
      </c>
      <c r="AT746" s="29">
        <f t="shared" si="189"/>
        <v>9.017241917459069</v>
      </c>
      <c r="AU746" s="27" t="str">
        <f t="shared" si="190"/>
        <v>Low</v>
      </c>
      <c r="AV746" s="27" t="str">
        <f t="shared" si="191"/>
        <v>Normal</v>
      </c>
      <c r="AW746" s="27"/>
    </row>
    <row r="747" spans="1:49" x14ac:dyDescent="0.25">
      <c r="A747" s="27">
        <v>746</v>
      </c>
      <c r="B747" s="28">
        <v>46117</v>
      </c>
      <c r="C747" s="28" t="str">
        <f t="shared" si="176"/>
        <v>April</v>
      </c>
      <c r="D747" s="27" t="s">
        <v>67</v>
      </c>
      <c r="E747" s="27" t="s">
        <v>61</v>
      </c>
      <c r="F747" s="27" t="s">
        <v>62</v>
      </c>
      <c r="G747" s="27" t="s">
        <v>78</v>
      </c>
      <c r="H747" s="27" t="s">
        <v>68</v>
      </c>
      <c r="I747" s="27" t="s">
        <v>870</v>
      </c>
      <c r="J747" s="27" t="s">
        <v>86</v>
      </c>
      <c r="K747" s="27">
        <v>548</v>
      </c>
      <c r="L747" s="27">
        <v>495</v>
      </c>
      <c r="M747" s="27">
        <v>464</v>
      </c>
      <c r="N747" s="27">
        <v>31</v>
      </c>
      <c r="O747" s="27">
        <v>11</v>
      </c>
      <c r="P747" s="27">
        <v>13</v>
      </c>
      <c r="Q747" s="27" t="s">
        <v>94</v>
      </c>
      <c r="R747" s="27">
        <v>64</v>
      </c>
      <c r="S747" s="27">
        <v>71</v>
      </c>
      <c r="T747" s="29">
        <v>70.900000000000006</v>
      </c>
      <c r="U747" s="29">
        <v>2.1800000000000002</v>
      </c>
      <c r="V747" s="29">
        <v>19.510000000000002</v>
      </c>
      <c r="W747" s="30">
        <v>14490.92</v>
      </c>
      <c r="X747" s="27">
        <v>9.3800000000000008</v>
      </c>
      <c r="Y747" s="27" t="s">
        <v>66</v>
      </c>
      <c r="Z747" s="29">
        <v>28</v>
      </c>
      <c r="AA747" s="30">
        <v>23688.41</v>
      </c>
      <c r="AB747" s="29">
        <v>0.93737373737373697</v>
      </c>
      <c r="AC747" s="30">
        <v>18887.509999999998</v>
      </c>
      <c r="AD747" s="30">
        <v>322.02044444444402</v>
      </c>
      <c r="AE747" s="27">
        <v>584.53333333333296</v>
      </c>
      <c r="AF747" s="29">
        <v>0.97776003649635002</v>
      </c>
      <c r="AG747" s="30">
        <v>4478.8795555555598</v>
      </c>
      <c r="AH747" s="31">
        <f t="shared" si="177"/>
        <v>0.90328467153284675</v>
      </c>
      <c r="AI747" s="31">
        <f t="shared" si="178"/>
        <v>6.2626262626262627E-2</v>
      </c>
      <c r="AJ747" s="31">
        <f t="shared" si="179"/>
        <v>2.2222222222222223E-2</v>
      </c>
      <c r="AK747" s="31">
        <f t="shared" si="180"/>
        <v>0.93737373737373741</v>
      </c>
      <c r="AL747" s="29">
        <f t="shared" si="181"/>
        <v>0.21666666666666667</v>
      </c>
      <c r="AM747" s="29">
        <f t="shared" si="182"/>
        <v>571.53333333333296</v>
      </c>
      <c r="AN747" s="29">
        <f t="shared" si="183"/>
        <v>0.86609121661028865</v>
      </c>
      <c r="AO747" s="29">
        <f t="shared" si="184"/>
        <v>0.9375</v>
      </c>
      <c r="AP747" s="31">
        <f t="shared" si="185"/>
        <v>0.92383063105097452</v>
      </c>
      <c r="AQ747" s="31">
        <f t="shared" si="186"/>
        <v>0.93737373737373741</v>
      </c>
      <c r="AR747" s="31">
        <f t="shared" si="187"/>
        <v>0.84671532846715347</v>
      </c>
      <c r="AS747" s="29">
        <f t="shared" si="188"/>
        <v>38.156585858585856</v>
      </c>
      <c r="AT747" s="29">
        <f t="shared" si="189"/>
        <v>9.0482415263748681</v>
      </c>
      <c r="AU747" s="27" t="str">
        <f t="shared" si="190"/>
        <v>Medium</v>
      </c>
      <c r="AV747" s="27" t="str">
        <f t="shared" si="191"/>
        <v>Warning</v>
      </c>
      <c r="AW747" s="27"/>
    </row>
    <row r="748" spans="1:49" x14ac:dyDescent="0.25">
      <c r="A748" s="27">
        <v>747</v>
      </c>
      <c r="B748" s="28">
        <v>46101</v>
      </c>
      <c r="C748" s="28" t="str">
        <f t="shared" si="176"/>
        <v>March</v>
      </c>
      <c r="D748" s="27" t="s">
        <v>47</v>
      </c>
      <c r="E748" s="27" t="s">
        <v>98</v>
      </c>
      <c r="F748" s="27" t="s">
        <v>126</v>
      </c>
      <c r="G748" s="27" t="s">
        <v>50</v>
      </c>
      <c r="H748" s="27" t="s">
        <v>51</v>
      </c>
      <c r="I748" s="27" t="s">
        <v>871</v>
      </c>
      <c r="J748" s="27" t="s">
        <v>90</v>
      </c>
      <c r="K748" s="27">
        <v>805</v>
      </c>
      <c r="L748" s="27">
        <v>753</v>
      </c>
      <c r="M748" s="27">
        <v>702</v>
      </c>
      <c r="N748" s="27">
        <v>51</v>
      </c>
      <c r="O748" s="27">
        <v>19</v>
      </c>
      <c r="P748" s="27">
        <v>30</v>
      </c>
      <c r="Q748" s="27" t="s">
        <v>97</v>
      </c>
      <c r="R748" s="27">
        <v>42</v>
      </c>
      <c r="S748" s="27">
        <v>41</v>
      </c>
      <c r="T748" s="29">
        <v>74.7</v>
      </c>
      <c r="U748" s="29">
        <v>2.2000000000000002</v>
      </c>
      <c r="V748" s="29">
        <v>26.28</v>
      </c>
      <c r="W748" s="30">
        <v>14257.19</v>
      </c>
      <c r="X748" s="27">
        <v>7.56</v>
      </c>
      <c r="Y748" s="27" t="s">
        <v>55</v>
      </c>
      <c r="Z748" s="29">
        <v>29</v>
      </c>
      <c r="AA748" s="30">
        <v>22705.5</v>
      </c>
      <c r="AB748" s="29">
        <v>0.93227091633466097</v>
      </c>
      <c r="AC748" s="30">
        <v>17895.71</v>
      </c>
      <c r="AD748" s="30">
        <v>359.74317397078403</v>
      </c>
      <c r="AE748" s="27">
        <v>563.5</v>
      </c>
      <c r="AF748" s="29">
        <v>0.94676131322094104</v>
      </c>
      <c r="AG748" s="30">
        <v>4450.04682602921</v>
      </c>
      <c r="AH748" s="31">
        <f t="shared" si="177"/>
        <v>0.93540372670807448</v>
      </c>
      <c r="AI748" s="31">
        <f t="shared" si="178"/>
        <v>6.7729083665338641E-2</v>
      </c>
      <c r="AJ748" s="31">
        <f t="shared" si="179"/>
        <v>2.5232403718459494E-2</v>
      </c>
      <c r="AK748" s="31">
        <f t="shared" si="180"/>
        <v>0.9322709163346613</v>
      </c>
      <c r="AL748" s="29">
        <f t="shared" si="181"/>
        <v>0.5</v>
      </c>
      <c r="AM748" s="29">
        <f t="shared" si="182"/>
        <v>533.5</v>
      </c>
      <c r="AN748" s="29">
        <f t="shared" si="183"/>
        <v>1.4114339268978444</v>
      </c>
      <c r="AO748" s="29">
        <f t="shared" si="184"/>
        <v>1.4285714285714286</v>
      </c>
      <c r="AP748" s="31">
        <f t="shared" si="185"/>
        <v>0.98800374882849107</v>
      </c>
      <c r="AQ748" s="31">
        <f t="shared" si="186"/>
        <v>0.9322709163346613</v>
      </c>
      <c r="AR748" s="31">
        <f t="shared" si="187"/>
        <v>0.87204968944099426</v>
      </c>
      <c r="AS748" s="29">
        <f t="shared" si="188"/>
        <v>23.765883134130146</v>
      </c>
      <c r="AT748" s="29">
        <f t="shared" si="189"/>
        <v>5.9097567410746485</v>
      </c>
      <c r="AU748" s="27" t="str">
        <f t="shared" si="190"/>
        <v>Low</v>
      </c>
      <c r="AV748" s="27" t="str">
        <f t="shared" si="191"/>
        <v>Normal</v>
      </c>
      <c r="AW748" s="27"/>
    </row>
    <row r="749" spans="1:49" x14ac:dyDescent="0.25">
      <c r="A749" s="27">
        <v>748</v>
      </c>
      <c r="B749" s="28">
        <v>46154</v>
      </c>
      <c r="C749" s="28" t="str">
        <f t="shared" si="176"/>
        <v>May</v>
      </c>
      <c r="D749" s="27" t="s">
        <v>47</v>
      </c>
      <c r="E749" s="27" t="s">
        <v>76</v>
      </c>
      <c r="F749" s="27" t="s">
        <v>113</v>
      </c>
      <c r="G749" s="27" t="s">
        <v>63</v>
      </c>
      <c r="H749" s="27" t="s">
        <v>68</v>
      </c>
      <c r="I749" s="27" t="s">
        <v>872</v>
      </c>
      <c r="J749" s="27" t="s">
        <v>53</v>
      </c>
      <c r="K749" s="27">
        <v>639</v>
      </c>
      <c r="L749" s="27">
        <v>655</v>
      </c>
      <c r="M749" s="27">
        <v>620</v>
      </c>
      <c r="N749" s="27">
        <v>35</v>
      </c>
      <c r="O749" s="27">
        <v>9</v>
      </c>
      <c r="P749" s="27">
        <v>5</v>
      </c>
      <c r="Q749" s="27" t="s">
        <v>91</v>
      </c>
      <c r="R749" s="27">
        <v>64</v>
      </c>
      <c r="S749" s="27">
        <v>70</v>
      </c>
      <c r="T749" s="29">
        <v>70.2</v>
      </c>
      <c r="U749" s="29">
        <v>1.41</v>
      </c>
      <c r="V749" s="29">
        <v>20.51</v>
      </c>
      <c r="W749" s="30">
        <v>21048.16</v>
      </c>
      <c r="X749" s="27">
        <v>10.38</v>
      </c>
      <c r="Y749" s="27" t="s">
        <v>110</v>
      </c>
      <c r="Z749" s="29">
        <v>36</v>
      </c>
      <c r="AA749" s="30">
        <v>33134.480000000003</v>
      </c>
      <c r="AB749" s="29">
        <v>0.94656488549618301</v>
      </c>
      <c r="AC749" s="30">
        <v>25903.75</v>
      </c>
      <c r="AD749" s="30">
        <v>289.21135877862599</v>
      </c>
      <c r="AE749" s="27">
        <v>681.6</v>
      </c>
      <c r="AF749" s="29">
        <v>0.99266431924882603</v>
      </c>
      <c r="AG749" s="30">
        <v>6941.5186412213798</v>
      </c>
      <c r="AH749" s="31">
        <f t="shared" si="177"/>
        <v>1.0250391236306728</v>
      </c>
      <c r="AI749" s="31">
        <f t="shared" si="178"/>
        <v>5.3435114503816793E-2</v>
      </c>
      <c r="AJ749" s="31">
        <f t="shared" si="179"/>
        <v>1.3740458015267175E-2</v>
      </c>
      <c r="AK749" s="31">
        <f t="shared" si="180"/>
        <v>0.94656488549618323</v>
      </c>
      <c r="AL749" s="29">
        <f t="shared" si="181"/>
        <v>8.3333333333333329E-2</v>
      </c>
      <c r="AM749" s="29">
        <f t="shared" si="182"/>
        <v>676.6</v>
      </c>
      <c r="AN749" s="29">
        <f t="shared" si="183"/>
        <v>0.96807567248004722</v>
      </c>
      <c r="AO749" s="29">
        <f t="shared" si="184"/>
        <v>0.9375</v>
      </c>
      <c r="AP749" s="31">
        <f t="shared" si="185"/>
        <v>1.0326140506453838</v>
      </c>
      <c r="AQ749" s="31">
        <f t="shared" si="186"/>
        <v>0.94656488549618323</v>
      </c>
      <c r="AR749" s="31">
        <f t="shared" si="187"/>
        <v>0.97026604068857558</v>
      </c>
      <c r="AS749" s="29">
        <f t="shared" si="188"/>
        <v>39.547709923664122</v>
      </c>
      <c r="AT749" s="29">
        <f t="shared" si="189"/>
        <v>10.59773838354409</v>
      </c>
      <c r="AU749" s="27" t="str">
        <f t="shared" si="190"/>
        <v>Medium</v>
      </c>
      <c r="AV749" s="27" t="str">
        <f t="shared" si="191"/>
        <v>Normal</v>
      </c>
      <c r="AW749" s="27"/>
    </row>
    <row r="750" spans="1:49" x14ac:dyDescent="0.25">
      <c r="A750" s="27">
        <v>749</v>
      </c>
      <c r="B750" s="28">
        <v>46095</v>
      </c>
      <c r="C750" s="28" t="str">
        <f t="shared" si="176"/>
        <v>March</v>
      </c>
      <c r="D750" s="27" t="s">
        <v>67</v>
      </c>
      <c r="E750" s="27" t="s">
        <v>98</v>
      </c>
      <c r="F750" s="27" t="s">
        <v>99</v>
      </c>
      <c r="G750" s="27" t="s">
        <v>63</v>
      </c>
      <c r="H750" s="27" t="s">
        <v>79</v>
      </c>
      <c r="I750" s="27" t="s">
        <v>873</v>
      </c>
      <c r="J750" s="27" t="s">
        <v>115</v>
      </c>
      <c r="K750" s="27">
        <v>735</v>
      </c>
      <c r="L750" s="27">
        <v>687</v>
      </c>
      <c r="M750" s="27">
        <v>638</v>
      </c>
      <c r="N750" s="27">
        <v>49</v>
      </c>
      <c r="O750" s="27">
        <v>12</v>
      </c>
      <c r="P750" s="27">
        <v>23</v>
      </c>
      <c r="Q750" s="27" t="s">
        <v>54</v>
      </c>
      <c r="R750" s="27">
        <v>49</v>
      </c>
      <c r="S750" s="27">
        <v>52</v>
      </c>
      <c r="T750" s="29">
        <v>80.2</v>
      </c>
      <c r="U750" s="29">
        <v>1.93</v>
      </c>
      <c r="V750" s="29">
        <v>28.47</v>
      </c>
      <c r="W750" s="30">
        <v>14915.23</v>
      </c>
      <c r="X750" s="27">
        <v>8.86</v>
      </c>
      <c r="Y750" s="27" t="s">
        <v>71</v>
      </c>
      <c r="Z750" s="29">
        <v>51</v>
      </c>
      <c r="AA750" s="30">
        <v>24243.1</v>
      </c>
      <c r="AB750" s="29">
        <v>0.92867540029112094</v>
      </c>
      <c r="AC750" s="30">
        <v>19158.46</v>
      </c>
      <c r="AD750" s="30">
        <v>260.52803493449801</v>
      </c>
      <c r="AE750" s="27">
        <v>600.25</v>
      </c>
      <c r="AF750" s="29">
        <v>0.96168263223656802</v>
      </c>
      <c r="AG750" s="30">
        <v>4824.1119650655</v>
      </c>
      <c r="AH750" s="31">
        <f t="shared" si="177"/>
        <v>0.9346938775510204</v>
      </c>
      <c r="AI750" s="31">
        <f t="shared" si="178"/>
        <v>7.132459970887918E-2</v>
      </c>
      <c r="AJ750" s="31">
        <f t="shared" si="179"/>
        <v>1.7467248908296942E-2</v>
      </c>
      <c r="AK750" s="31">
        <f t="shared" si="180"/>
        <v>0.92867540029112083</v>
      </c>
      <c r="AL750" s="29">
        <f t="shared" si="181"/>
        <v>0.38333333333333336</v>
      </c>
      <c r="AM750" s="29">
        <f t="shared" si="182"/>
        <v>577.25</v>
      </c>
      <c r="AN750" s="29">
        <f t="shared" si="183"/>
        <v>1.1901255954958856</v>
      </c>
      <c r="AO750" s="29">
        <f t="shared" si="184"/>
        <v>1.2244897959183674</v>
      </c>
      <c r="AP750" s="31">
        <f t="shared" si="185"/>
        <v>0.97193590298830657</v>
      </c>
      <c r="AQ750" s="31">
        <f t="shared" si="186"/>
        <v>0.92867540029112083</v>
      </c>
      <c r="AR750" s="31">
        <f t="shared" si="187"/>
        <v>0.86802721088435364</v>
      </c>
      <c r="AS750" s="29">
        <f t="shared" si="188"/>
        <v>27.887132459970886</v>
      </c>
      <c r="AT750" s="29">
        <f t="shared" si="189"/>
        <v>7.0219970379410483</v>
      </c>
      <c r="AU750" s="27" t="str">
        <f t="shared" si="190"/>
        <v>High</v>
      </c>
      <c r="AV750" s="27" t="str">
        <f t="shared" si="191"/>
        <v>Warning</v>
      </c>
      <c r="AW750" s="27"/>
    </row>
    <row r="751" spans="1:49" x14ac:dyDescent="0.25">
      <c r="A751" s="27">
        <v>750</v>
      </c>
      <c r="B751" s="28">
        <v>46139</v>
      </c>
      <c r="C751" s="28" t="str">
        <f t="shared" si="176"/>
        <v>April</v>
      </c>
      <c r="D751" s="27" t="s">
        <v>67</v>
      </c>
      <c r="E751" s="27" t="s">
        <v>76</v>
      </c>
      <c r="F751" s="27" t="s">
        <v>113</v>
      </c>
      <c r="G751" s="27" t="s">
        <v>78</v>
      </c>
      <c r="H751" s="27" t="s">
        <v>57</v>
      </c>
      <c r="I751" s="27" t="s">
        <v>874</v>
      </c>
      <c r="J751" s="27" t="s">
        <v>109</v>
      </c>
      <c r="K751" s="27">
        <v>851</v>
      </c>
      <c r="L751" s="27">
        <v>813</v>
      </c>
      <c r="M751" s="27">
        <v>764</v>
      </c>
      <c r="N751" s="27">
        <v>49</v>
      </c>
      <c r="O751" s="27">
        <v>16</v>
      </c>
      <c r="P751" s="27">
        <v>18</v>
      </c>
      <c r="Q751" s="27" t="s">
        <v>75</v>
      </c>
      <c r="R751" s="27">
        <v>45</v>
      </c>
      <c r="S751" s="27">
        <v>48</v>
      </c>
      <c r="T751" s="29">
        <v>75.099999999999994</v>
      </c>
      <c r="U751" s="29">
        <v>1.7</v>
      </c>
      <c r="V751" s="29">
        <v>29.4</v>
      </c>
      <c r="W751" s="30">
        <v>15793.67</v>
      </c>
      <c r="X751" s="27">
        <v>7.54</v>
      </c>
      <c r="Y751" s="27" t="s">
        <v>55</v>
      </c>
      <c r="Z751" s="29">
        <v>37</v>
      </c>
      <c r="AA751" s="30">
        <v>26064.67</v>
      </c>
      <c r="AB751" s="29">
        <v>0.93972939729397298</v>
      </c>
      <c r="AC751" s="30">
        <v>19451.27</v>
      </c>
      <c r="AD751" s="30">
        <v>310.82253382533798</v>
      </c>
      <c r="AE751" s="27">
        <v>638.25</v>
      </c>
      <c r="AF751" s="29">
        <v>0.97179788484136298</v>
      </c>
      <c r="AG751" s="30">
        <v>6302.57746617466</v>
      </c>
      <c r="AH751" s="31">
        <f t="shared" si="177"/>
        <v>0.95534665099882488</v>
      </c>
      <c r="AI751" s="31">
        <f t="shared" si="178"/>
        <v>6.0270602706027063E-2</v>
      </c>
      <c r="AJ751" s="31">
        <f t="shared" si="179"/>
        <v>1.968019680196802E-2</v>
      </c>
      <c r="AK751" s="31">
        <f t="shared" si="180"/>
        <v>0.93972939729397298</v>
      </c>
      <c r="AL751" s="29">
        <f t="shared" si="181"/>
        <v>0.3</v>
      </c>
      <c r="AM751" s="29">
        <f t="shared" si="182"/>
        <v>620.25</v>
      </c>
      <c r="AN751" s="29">
        <f t="shared" si="183"/>
        <v>1.3107617896009673</v>
      </c>
      <c r="AO751" s="29">
        <f t="shared" si="184"/>
        <v>1.3333333333333333</v>
      </c>
      <c r="AP751" s="31">
        <f t="shared" si="185"/>
        <v>0.98307134220072556</v>
      </c>
      <c r="AQ751" s="31">
        <f t="shared" si="186"/>
        <v>0.93972939729397298</v>
      </c>
      <c r="AR751" s="31">
        <f t="shared" si="187"/>
        <v>0.89776733254994123</v>
      </c>
      <c r="AS751" s="29">
        <f t="shared" si="188"/>
        <v>23.925301353013531</v>
      </c>
      <c r="AT751" s="29">
        <f t="shared" si="189"/>
        <v>7.7522478058728908</v>
      </c>
      <c r="AU751" s="27" t="str">
        <f t="shared" si="190"/>
        <v>Medium</v>
      </c>
      <c r="AV751" s="27" t="str">
        <f t="shared" si="191"/>
        <v>Normal</v>
      </c>
      <c r="AW751" s="27"/>
    </row>
    <row r="752" spans="1:49" x14ac:dyDescent="0.25">
      <c r="A752" s="27">
        <v>751</v>
      </c>
      <c r="B752" s="28">
        <v>46110</v>
      </c>
      <c r="C752" s="28" t="str">
        <f t="shared" si="176"/>
        <v>March</v>
      </c>
      <c r="D752" s="27" t="s">
        <v>67</v>
      </c>
      <c r="E752" s="27" t="s">
        <v>129</v>
      </c>
      <c r="F752" s="27" t="s">
        <v>167</v>
      </c>
      <c r="G752" s="27" t="s">
        <v>63</v>
      </c>
      <c r="H752" s="27" t="s">
        <v>68</v>
      </c>
      <c r="I752" s="27" t="s">
        <v>875</v>
      </c>
      <c r="J752" s="27" t="s">
        <v>226</v>
      </c>
      <c r="K752" s="27">
        <v>686</v>
      </c>
      <c r="L752" s="27">
        <v>680</v>
      </c>
      <c r="M752" s="27">
        <v>613</v>
      </c>
      <c r="N752" s="27">
        <v>67</v>
      </c>
      <c r="O752" s="27">
        <v>18</v>
      </c>
      <c r="P752" s="27">
        <v>0</v>
      </c>
      <c r="Q752" s="27" t="s">
        <v>60</v>
      </c>
      <c r="R752" s="27">
        <v>64</v>
      </c>
      <c r="S752" s="27">
        <v>66</v>
      </c>
      <c r="T752" s="29">
        <v>69.099999999999994</v>
      </c>
      <c r="U752" s="29">
        <v>1.92</v>
      </c>
      <c r="V752" s="29">
        <v>22.41</v>
      </c>
      <c r="W752" s="30">
        <v>20945.13</v>
      </c>
      <c r="X752" s="27">
        <v>7.51</v>
      </c>
      <c r="Y752" s="27" t="s">
        <v>110</v>
      </c>
      <c r="Z752" s="29">
        <v>3</v>
      </c>
      <c r="AA752" s="30">
        <v>30945.63</v>
      </c>
      <c r="AB752" s="29">
        <v>0.90147058823529402</v>
      </c>
      <c r="AC752" s="30">
        <v>24526.32</v>
      </c>
      <c r="AD752" s="30">
        <v>554.42991176470605</v>
      </c>
      <c r="AE752" s="27">
        <v>731.73333333333301</v>
      </c>
      <c r="AF752" s="29">
        <v>1</v>
      </c>
      <c r="AG752" s="30">
        <v>5864.8800882352998</v>
      </c>
      <c r="AH752" s="31">
        <f t="shared" si="177"/>
        <v>0.99125364431486884</v>
      </c>
      <c r="AI752" s="31">
        <f t="shared" si="178"/>
        <v>9.8529411764705879E-2</v>
      </c>
      <c r="AJ752" s="31">
        <f t="shared" si="179"/>
        <v>2.6470588235294117E-2</v>
      </c>
      <c r="AK752" s="31">
        <f t="shared" si="180"/>
        <v>0.90147058823529413</v>
      </c>
      <c r="AL752" s="29">
        <f t="shared" si="181"/>
        <v>0</v>
      </c>
      <c r="AM752" s="29">
        <f t="shared" si="182"/>
        <v>731.73333333333301</v>
      </c>
      <c r="AN752" s="29">
        <f t="shared" si="183"/>
        <v>0.92930029154518989</v>
      </c>
      <c r="AO752" s="29">
        <f t="shared" si="184"/>
        <v>0.9375</v>
      </c>
      <c r="AP752" s="31">
        <f t="shared" si="185"/>
        <v>0.99125364431486918</v>
      </c>
      <c r="AQ752" s="31">
        <f t="shared" si="186"/>
        <v>0.90147058823529413</v>
      </c>
      <c r="AR752" s="31">
        <f t="shared" si="187"/>
        <v>0.8935860058309042</v>
      </c>
      <c r="AS752" s="29">
        <f t="shared" si="188"/>
        <v>36.06811764705882</v>
      </c>
      <c r="AT752" s="29">
        <f t="shared" si="189"/>
        <v>8.6248236591695591</v>
      </c>
      <c r="AU752" s="27" t="str">
        <f t="shared" si="190"/>
        <v>Medium</v>
      </c>
      <c r="AV752" s="27" t="str">
        <f t="shared" si="191"/>
        <v>Warning</v>
      </c>
      <c r="AW752" s="27"/>
    </row>
    <row r="753" spans="1:49" x14ac:dyDescent="0.25">
      <c r="A753" s="27">
        <v>752</v>
      </c>
      <c r="B753" s="28">
        <v>46093</v>
      </c>
      <c r="C753" s="28" t="str">
        <f t="shared" si="176"/>
        <v>March</v>
      </c>
      <c r="D753" s="27" t="s">
        <v>47</v>
      </c>
      <c r="E753" s="27" t="s">
        <v>98</v>
      </c>
      <c r="F753" s="27" t="s">
        <v>99</v>
      </c>
      <c r="G753" s="27" t="s">
        <v>63</v>
      </c>
      <c r="H753" s="27" t="s">
        <v>124</v>
      </c>
      <c r="I753" s="27" t="s">
        <v>876</v>
      </c>
      <c r="J753" s="27" t="s">
        <v>197</v>
      </c>
      <c r="K753" s="27">
        <v>588</v>
      </c>
      <c r="L753" s="27">
        <v>531</v>
      </c>
      <c r="M753" s="27">
        <v>510</v>
      </c>
      <c r="N753" s="27">
        <v>21</v>
      </c>
      <c r="O753" s="27">
        <v>8</v>
      </c>
      <c r="P753" s="27">
        <v>41</v>
      </c>
      <c r="Q753" s="27" t="s">
        <v>54</v>
      </c>
      <c r="R753" s="27">
        <v>57</v>
      </c>
      <c r="S753" s="27">
        <v>60</v>
      </c>
      <c r="T753" s="29">
        <v>71.400000000000006</v>
      </c>
      <c r="U753" s="29">
        <v>2.62</v>
      </c>
      <c r="V753" s="29">
        <v>18.07</v>
      </c>
      <c r="W753" s="30">
        <v>13930.22</v>
      </c>
      <c r="X753" s="27">
        <v>8.82</v>
      </c>
      <c r="Y753" s="27" t="s">
        <v>71</v>
      </c>
      <c r="Z753" s="29">
        <v>27</v>
      </c>
      <c r="AA753" s="30">
        <v>23056.71</v>
      </c>
      <c r="AB753" s="29">
        <v>0.96045197740112997</v>
      </c>
      <c r="AC753" s="30">
        <v>18061.849999999999</v>
      </c>
      <c r="AD753" s="30">
        <v>209.87148775894499</v>
      </c>
      <c r="AE753" s="27">
        <v>558.6</v>
      </c>
      <c r="AF753" s="29">
        <v>0.926602219835303</v>
      </c>
      <c r="AG753" s="30">
        <v>4784.9885122410496</v>
      </c>
      <c r="AH753" s="31">
        <f t="shared" si="177"/>
        <v>0.90306122448979587</v>
      </c>
      <c r="AI753" s="31">
        <f t="shared" si="178"/>
        <v>3.954802259887006E-2</v>
      </c>
      <c r="AJ753" s="31">
        <f t="shared" si="179"/>
        <v>1.5065913370998116E-2</v>
      </c>
      <c r="AK753" s="31">
        <f t="shared" si="180"/>
        <v>0.96045197740112997</v>
      </c>
      <c r="AL753" s="29">
        <f t="shared" si="181"/>
        <v>0.68333333333333335</v>
      </c>
      <c r="AM753" s="29">
        <f t="shared" si="182"/>
        <v>517.6</v>
      </c>
      <c r="AN753" s="29">
        <f t="shared" si="183"/>
        <v>1.0258887171561051</v>
      </c>
      <c r="AO753" s="29">
        <f t="shared" si="184"/>
        <v>1.0526315789473684</v>
      </c>
      <c r="AP753" s="31">
        <f t="shared" si="185"/>
        <v>0.97459428129829984</v>
      </c>
      <c r="AQ753" s="31">
        <f t="shared" si="186"/>
        <v>0.96045197740112997</v>
      </c>
      <c r="AR753" s="31">
        <f t="shared" si="187"/>
        <v>0.86734693877551061</v>
      </c>
      <c r="AS753" s="29">
        <f t="shared" si="188"/>
        <v>34.014783427495288</v>
      </c>
      <c r="AT753" s="29">
        <f t="shared" si="189"/>
        <v>9.0112778008306016</v>
      </c>
      <c r="AU753" s="27" t="str">
        <f t="shared" si="190"/>
        <v>High</v>
      </c>
      <c r="AV753" s="27" t="str">
        <f t="shared" si="191"/>
        <v>Normal</v>
      </c>
      <c r="AW753" s="27"/>
    </row>
    <row r="754" spans="1:49" x14ac:dyDescent="0.25">
      <c r="A754" s="27">
        <v>753</v>
      </c>
      <c r="B754" s="28">
        <v>46037</v>
      </c>
      <c r="C754" s="28" t="str">
        <f t="shared" si="176"/>
        <v>January</v>
      </c>
      <c r="D754" s="27" t="s">
        <v>67</v>
      </c>
      <c r="E754" s="27" t="s">
        <v>76</v>
      </c>
      <c r="F754" s="27" t="s">
        <v>119</v>
      </c>
      <c r="G754" s="27" t="s">
        <v>50</v>
      </c>
      <c r="H754" s="27" t="s">
        <v>57</v>
      </c>
      <c r="I754" s="27" t="s">
        <v>877</v>
      </c>
      <c r="J754" s="27" t="s">
        <v>286</v>
      </c>
      <c r="K754" s="27">
        <v>733</v>
      </c>
      <c r="L754" s="27">
        <v>824</v>
      </c>
      <c r="M754" s="27">
        <v>752</v>
      </c>
      <c r="N754" s="27">
        <v>72</v>
      </c>
      <c r="O754" s="27">
        <v>19</v>
      </c>
      <c r="P754" s="27">
        <v>22</v>
      </c>
      <c r="Q754" s="27" t="s">
        <v>102</v>
      </c>
      <c r="R754" s="27">
        <v>45</v>
      </c>
      <c r="S754" s="27">
        <v>46</v>
      </c>
      <c r="T754" s="29">
        <v>68.599999999999994</v>
      </c>
      <c r="U754" s="29">
        <v>2.36</v>
      </c>
      <c r="V754" s="29">
        <v>29.8</v>
      </c>
      <c r="W754" s="30">
        <v>17768.759999999998</v>
      </c>
      <c r="X754" s="27">
        <v>9.14</v>
      </c>
      <c r="Y754" s="27" t="s">
        <v>55</v>
      </c>
      <c r="Z754" s="29">
        <v>23</v>
      </c>
      <c r="AA754" s="30">
        <v>26103.25</v>
      </c>
      <c r="AB754" s="29">
        <v>0.91262135922330101</v>
      </c>
      <c r="AC754" s="30">
        <v>22149.96</v>
      </c>
      <c r="AD754" s="30">
        <v>409.71655339805801</v>
      </c>
      <c r="AE754" s="27">
        <v>549.75</v>
      </c>
      <c r="AF754" s="29">
        <v>0.95998180991359705</v>
      </c>
      <c r="AG754" s="30">
        <v>3543.5734466019398</v>
      </c>
      <c r="AH754" s="31">
        <f t="shared" si="177"/>
        <v>1.1241473396998636</v>
      </c>
      <c r="AI754" s="31">
        <f t="shared" si="178"/>
        <v>8.7378640776699032E-2</v>
      </c>
      <c r="AJ754" s="31">
        <f t="shared" si="179"/>
        <v>2.3058252427184466E-2</v>
      </c>
      <c r="AK754" s="31">
        <f t="shared" si="180"/>
        <v>0.91262135922330101</v>
      </c>
      <c r="AL754" s="29">
        <f t="shared" si="181"/>
        <v>0.36666666666666664</v>
      </c>
      <c r="AM754" s="29">
        <f t="shared" si="182"/>
        <v>527.75</v>
      </c>
      <c r="AN754" s="29">
        <f t="shared" si="183"/>
        <v>1.5613453339649455</v>
      </c>
      <c r="AO754" s="29">
        <f t="shared" si="184"/>
        <v>1.3333333333333333</v>
      </c>
      <c r="AP754" s="31">
        <f t="shared" si="185"/>
        <v>1.1710090004737093</v>
      </c>
      <c r="AQ754" s="31">
        <f t="shared" si="186"/>
        <v>0.91262135922330101</v>
      </c>
      <c r="AR754" s="31">
        <f t="shared" si="187"/>
        <v>1.0259208731241474</v>
      </c>
      <c r="AS754" s="29">
        <f t="shared" si="188"/>
        <v>26.881019417475727</v>
      </c>
      <c r="AT754" s="29">
        <f t="shared" si="189"/>
        <v>4.3004532118955581</v>
      </c>
      <c r="AU754" s="27" t="str">
        <f t="shared" si="190"/>
        <v>Medium</v>
      </c>
      <c r="AV754" s="27" t="str">
        <f t="shared" si="191"/>
        <v>Warning</v>
      </c>
      <c r="AW754" s="27"/>
    </row>
    <row r="755" spans="1:49" x14ac:dyDescent="0.25">
      <c r="A755" s="27">
        <v>754</v>
      </c>
      <c r="B755" s="28">
        <v>46191</v>
      </c>
      <c r="C755" s="28" t="str">
        <f t="shared" si="176"/>
        <v>June</v>
      </c>
      <c r="D755" s="27" t="s">
        <v>67</v>
      </c>
      <c r="E755" s="27" t="s">
        <v>98</v>
      </c>
      <c r="F755" s="27" t="s">
        <v>99</v>
      </c>
      <c r="G755" s="27" t="s">
        <v>78</v>
      </c>
      <c r="H755" s="27" t="s">
        <v>124</v>
      </c>
      <c r="I755" s="27" t="s">
        <v>878</v>
      </c>
      <c r="J755" s="27" t="s">
        <v>117</v>
      </c>
      <c r="K755" s="27">
        <v>586</v>
      </c>
      <c r="L755" s="27">
        <v>439</v>
      </c>
      <c r="M755" s="27">
        <v>410</v>
      </c>
      <c r="N755" s="27">
        <v>29</v>
      </c>
      <c r="O755" s="27">
        <v>12</v>
      </c>
      <c r="P755" s="27">
        <v>6</v>
      </c>
      <c r="Q755" s="27" t="s">
        <v>94</v>
      </c>
      <c r="R755" s="27">
        <v>57</v>
      </c>
      <c r="S755" s="27">
        <v>57</v>
      </c>
      <c r="T755" s="29">
        <v>76.5</v>
      </c>
      <c r="U755" s="29">
        <v>3.15</v>
      </c>
      <c r="V755" s="29">
        <v>16.53</v>
      </c>
      <c r="W755" s="30">
        <v>11943.45</v>
      </c>
      <c r="X755" s="27">
        <v>6.24</v>
      </c>
      <c r="Y755" s="27" t="s">
        <v>66</v>
      </c>
      <c r="Z755" s="29">
        <v>20</v>
      </c>
      <c r="AA755" s="30">
        <v>18461.21</v>
      </c>
      <c r="AB755" s="29">
        <v>0.93394077448747204</v>
      </c>
      <c r="AC755" s="30">
        <v>14900.22</v>
      </c>
      <c r="AD755" s="30">
        <v>326.47243735763101</v>
      </c>
      <c r="AE755" s="27">
        <v>556.70000000000005</v>
      </c>
      <c r="AF755" s="29">
        <v>0.98922220226333801</v>
      </c>
      <c r="AG755" s="30">
        <v>3234.5175626423702</v>
      </c>
      <c r="AH755" s="31">
        <f t="shared" si="177"/>
        <v>0.74914675767918093</v>
      </c>
      <c r="AI755" s="31">
        <f t="shared" si="178"/>
        <v>6.6059225512528477E-2</v>
      </c>
      <c r="AJ755" s="31">
        <f t="shared" si="179"/>
        <v>2.7334851936218679E-2</v>
      </c>
      <c r="AK755" s="31">
        <f t="shared" si="180"/>
        <v>0.93394077448747148</v>
      </c>
      <c r="AL755" s="29">
        <f t="shared" si="181"/>
        <v>0.1</v>
      </c>
      <c r="AM755" s="29">
        <f t="shared" si="182"/>
        <v>550.70000000000005</v>
      </c>
      <c r="AN755" s="29">
        <f t="shared" si="183"/>
        <v>0.79716724169239139</v>
      </c>
      <c r="AO755" s="29">
        <f t="shared" si="184"/>
        <v>1.0526315789473684</v>
      </c>
      <c r="AP755" s="31">
        <f t="shared" si="185"/>
        <v>0.75730887960777182</v>
      </c>
      <c r="AQ755" s="31">
        <f t="shared" si="186"/>
        <v>0.93394077448747148</v>
      </c>
      <c r="AR755" s="31">
        <f t="shared" si="187"/>
        <v>0.69965870307167255</v>
      </c>
      <c r="AS755" s="29">
        <f t="shared" si="188"/>
        <v>33.941275626423689</v>
      </c>
      <c r="AT755" s="29">
        <f t="shared" si="189"/>
        <v>7.3679215549940098</v>
      </c>
      <c r="AU755" s="27" t="str">
        <f t="shared" si="190"/>
        <v>High</v>
      </c>
      <c r="AV755" s="27" t="str">
        <f t="shared" si="191"/>
        <v>Critical</v>
      </c>
      <c r="AW755" s="27"/>
    </row>
    <row r="756" spans="1:49" x14ac:dyDescent="0.25">
      <c r="A756" s="27">
        <v>755</v>
      </c>
      <c r="B756" s="28">
        <v>46136</v>
      </c>
      <c r="C756" s="28" t="str">
        <f t="shared" si="176"/>
        <v>April</v>
      </c>
      <c r="D756" s="27" t="s">
        <v>67</v>
      </c>
      <c r="E756" s="27" t="s">
        <v>61</v>
      </c>
      <c r="F756" s="27" t="s">
        <v>88</v>
      </c>
      <c r="G756" s="27" t="s">
        <v>63</v>
      </c>
      <c r="H756" s="27" t="s">
        <v>79</v>
      </c>
      <c r="I756" s="27" t="s">
        <v>879</v>
      </c>
      <c r="J756" s="27" t="s">
        <v>70</v>
      </c>
      <c r="K756" s="27">
        <v>828</v>
      </c>
      <c r="L756" s="27">
        <v>827</v>
      </c>
      <c r="M756" s="27">
        <v>794</v>
      </c>
      <c r="N756" s="27">
        <v>33</v>
      </c>
      <c r="O756" s="27">
        <v>13</v>
      </c>
      <c r="P756" s="27">
        <v>21</v>
      </c>
      <c r="Q756" s="27" t="s">
        <v>97</v>
      </c>
      <c r="R756" s="27">
        <v>49</v>
      </c>
      <c r="S756" s="27">
        <v>51</v>
      </c>
      <c r="T756" s="29">
        <v>74.5</v>
      </c>
      <c r="U756" s="29">
        <v>1.78</v>
      </c>
      <c r="V756" s="29">
        <v>25.35</v>
      </c>
      <c r="W756" s="30">
        <v>17904.689999999999</v>
      </c>
      <c r="X756" s="27">
        <v>9.33</v>
      </c>
      <c r="Y756" s="27" t="s">
        <v>66</v>
      </c>
      <c r="Z756" s="29">
        <v>18</v>
      </c>
      <c r="AA756" s="30">
        <v>29349.45</v>
      </c>
      <c r="AB756" s="29">
        <v>0.960096735187424</v>
      </c>
      <c r="AC756" s="30">
        <v>22331.34</v>
      </c>
      <c r="AD756" s="30">
        <v>281.45220072551399</v>
      </c>
      <c r="AE756" s="27">
        <v>676.2</v>
      </c>
      <c r="AF756" s="29">
        <v>0.96894409937888204</v>
      </c>
      <c r="AG756" s="30">
        <v>6736.6577992744897</v>
      </c>
      <c r="AH756" s="31">
        <f t="shared" si="177"/>
        <v>0.99879227053140096</v>
      </c>
      <c r="AI756" s="31">
        <f t="shared" si="178"/>
        <v>3.9903264812575577E-2</v>
      </c>
      <c r="AJ756" s="31">
        <f t="shared" si="179"/>
        <v>1.5719467956469165E-2</v>
      </c>
      <c r="AK756" s="31">
        <f t="shared" si="180"/>
        <v>0.96009673518742444</v>
      </c>
      <c r="AL756" s="29">
        <f t="shared" si="181"/>
        <v>0.35</v>
      </c>
      <c r="AM756" s="29">
        <f t="shared" si="182"/>
        <v>655.20000000000005</v>
      </c>
      <c r="AN756" s="29">
        <f t="shared" si="183"/>
        <v>1.2622100122100122</v>
      </c>
      <c r="AO756" s="29">
        <f t="shared" si="184"/>
        <v>1.2244897959183674</v>
      </c>
      <c r="AP756" s="31">
        <f t="shared" si="185"/>
        <v>1.0308048433048433</v>
      </c>
      <c r="AQ756" s="31">
        <f t="shared" si="186"/>
        <v>0.96009673518742444</v>
      </c>
      <c r="AR756" s="31">
        <f t="shared" si="187"/>
        <v>0.958937198067633</v>
      </c>
      <c r="AS756" s="29">
        <f t="shared" si="188"/>
        <v>27.002829504232164</v>
      </c>
      <c r="AT756" s="29">
        <f t="shared" si="189"/>
        <v>8.1458981853379555</v>
      </c>
      <c r="AU756" s="27" t="str">
        <f t="shared" si="190"/>
        <v>Low</v>
      </c>
      <c r="AV756" s="27" t="str">
        <f t="shared" si="191"/>
        <v>Normal</v>
      </c>
      <c r="AW756" s="27"/>
    </row>
    <row r="757" spans="1:49" x14ac:dyDescent="0.25">
      <c r="A757" s="27">
        <v>756</v>
      </c>
      <c r="B757" s="28">
        <v>46029</v>
      </c>
      <c r="C757" s="28" t="str">
        <f t="shared" si="176"/>
        <v>January</v>
      </c>
      <c r="D757" s="27" t="s">
        <v>47</v>
      </c>
      <c r="E757" s="27" t="s">
        <v>61</v>
      </c>
      <c r="F757" s="27" t="s">
        <v>95</v>
      </c>
      <c r="G757" s="27" t="s">
        <v>50</v>
      </c>
      <c r="H757" s="27" t="s">
        <v>51</v>
      </c>
      <c r="I757" s="27" t="s">
        <v>880</v>
      </c>
      <c r="J757" s="27" t="s">
        <v>121</v>
      </c>
      <c r="K757" s="27">
        <v>815</v>
      </c>
      <c r="L757" s="27">
        <v>790</v>
      </c>
      <c r="M757" s="27">
        <v>740</v>
      </c>
      <c r="N757" s="27">
        <v>50</v>
      </c>
      <c r="O757" s="27">
        <v>17</v>
      </c>
      <c r="P757" s="27">
        <v>0</v>
      </c>
      <c r="Q757" s="27" t="s">
        <v>60</v>
      </c>
      <c r="R757" s="27">
        <v>42</v>
      </c>
      <c r="S757" s="27">
        <v>41</v>
      </c>
      <c r="T757" s="29">
        <v>76.2</v>
      </c>
      <c r="U757" s="29">
        <v>2.14</v>
      </c>
      <c r="V757" s="29">
        <v>23.39</v>
      </c>
      <c r="W757" s="30">
        <v>15076.36</v>
      </c>
      <c r="X757" s="27">
        <v>8.67</v>
      </c>
      <c r="Y757" s="27" t="s">
        <v>66</v>
      </c>
      <c r="Z757" s="29">
        <v>3</v>
      </c>
      <c r="AA757" s="30">
        <v>23092.99</v>
      </c>
      <c r="AB757" s="29">
        <v>0.936708860759494</v>
      </c>
      <c r="AC757" s="30">
        <v>19188.37</v>
      </c>
      <c r="AD757" s="30">
        <v>324.428</v>
      </c>
      <c r="AE757" s="27">
        <v>570.5</v>
      </c>
      <c r="AF757" s="29">
        <v>1</v>
      </c>
      <c r="AG757" s="30">
        <v>3580.192</v>
      </c>
      <c r="AH757" s="31">
        <f t="shared" si="177"/>
        <v>0.96932515337423308</v>
      </c>
      <c r="AI757" s="31">
        <f t="shared" si="178"/>
        <v>6.3291139240506333E-2</v>
      </c>
      <c r="AJ757" s="31">
        <f t="shared" si="179"/>
        <v>2.1518987341772152E-2</v>
      </c>
      <c r="AK757" s="31">
        <f t="shared" si="180"/>
        <v>0.93670886075949367</v>
      </c>
      <c r="AL757" s="29">
        <f t="shared" si="181"/>
        <v>0</v>
      </c>
      <c r="AM757" s="29">
        <f t="shared" si="182"/>
        <v>570.5</v>
      </c>
      <c r="AN757" s="29">
        <f t="shared" si="183"/>
        <v>1.3847502191060472</v>
      </c>
      <c r="AO757" s="29">
        <f t="shared" si="184"/>
        <v>1.4285714285714286</v>
      </c>
      <c r="AP757" s="31">
        <f t="shared" si="185"/>
        <v>0.96932515337423308</v>
      </c>
      <c r="AQ757" s="31">
        <f t="shared" si="186"/>
        <v>0.93670886075949367</v>
      </c>
      <c r="AR757" s="31">
        <f t="shared" si="187"/>
        <v>0.90797546012269936</v>
      </c>
      <c r="AS757" s="29">
        <f t="shared" si="188"/>
        <v>24.289075949367088</v>
      </c>
      <c r="AT757" s="29">
        <f t="shared" si="189"/>
        <v>4.5318886075949365</v>
      </c>
      <c r="AU757" s="27" t="str">
        <f t="shared" si="190"/>
        <v>Low</v>
      </c>
      <c r="AV757" s="27" t="str">
        <f t="shared" si="191"/>
        <v>Normal</v>
      </c>
      <c r="AW757" s="27"/>
    </row>
    <row r="758" spans="1:49" x14ac:dyDescent="0.25">
      <c r="A758" s="27">
        <v>757</v>
      </c>
      <c r="B758" s="28">
        <v>46065</v>
      </c>
      <c r="C758" s="28" t="str">
        <f t="shared" si="176"/>
        <v>February</v>
      </c>
      <c r="D758" s="27" t="s">
        <v>47</v>
      </c>
      <c r="E758" s="27" t="s">
        <v>98</v>
      </c>
      <c r="F758" s="27" t="s">
        <v>105</v>
      </c>
      <c r="G758" s="27" t="s">
        <v>50</v>
      </c>
      <c r="H758" s="27" t="s">
        <v>124</v>
      </c>
      <c r="I758" s="27" t="s">
        <v>881</v>
      </c>
      <c r="J758" s="27" t="s">
        <v>170</v>
      </c>
      <c r="K758" s="27">
        <v>701</v>
      </c>
      <c r="L758" s="27">
        <v>665</v>
      </c>
      <c r="M758" s="27">
        <v>624</v>
      </c>
      <c r="N758" s="27">
        <v>41</v>
      </c>
      <c r="O758" s="27">
        <v>14</v>
      </c>
      <c r="P758" s="27">
        <v>12</v>
      </c>
      <c r="Q758" s="27" t="s">
        <v>91</v>
      </c>
      <c r="R758" s="27">
        <v>57</v>
      </c>
      <c r="S758" s="27">
        <v>60</v>
      </c>
      <c r="T758" s="29">
        <v>79.400000000000006</v>
      </c>
      <c r="U758" s="29">
        <v>2.58</v>
      </c>
      <c r="V758" s="29">
        <v>27.56</v>
      </c>
      <c r="W758" s="30">
        <v>19150.490000000002</v>
      </c>
      <c r="X758" s="27">
        <v>8.89</v>
      </c>
      <c r="Y758" s="27" t="s">
        <v>55</v>
      </c>
      <c r="Z758" s="29">
        <v>25</v>
      </c>
      <c r="AA758" s="30">
        <v>28246.97</v>
      </c>
      <c r="AB758" s="29">
        <v>0.93834586466165404</v>
      </c>
      <c r="AC758" s="30">
        <v>23399.03</v>
      </c>
      <c r="AD758" s="30">
        <v>403.16821052631599</v>
      </c>
      <c r="AE758" s="27">
        <v>665.95</v>
      </c>
      <c r="AF758" s="29">
        <v>0.98198062917636497</v>
      </c>
      <c r="AG758" s="30">
        <v>4444.7717894736797</v>
      </c>
      <c r="AH758" s="31">
        <f t="shared" si="177"/>
        <v>0.94864479315263905</v>
      </c>
      <c r="AI758" s="31">
        <f t="shared" si="178"/>
        <v>6.1654135338345864E-2</v>
      </c>
      <c r="AJ758" s="31">
        <f t="shared" si="179"/>
        <v>2.1052631578947368E-2</v>
      </c>
      <c r="AK758" s="31">
        <f t="shared" si="180"/>
        <v>0.93834586466165415</v>
      </c>
      <c r="AL758" s="29">
        <f t="shared" si="181"/>
        <v>0.2</v>
      </c>
      <c r="AM758" s="29">
        <f t="shared" si="182"/>
        <v>653.95000000000005</v>
      </c>
      <c r="AN758" s="29">
        <f t="shared" si="183"/>
        <v>1.0168973163085862</v>
      </c>
      <c r="AO758" s="29">
        <f t="shared" si="184"/>
        <v>1.0526315789473684</v>
      </c>
      <c r="AP758" s="31">
        <f t="shared" si="185"/>
        <v>0.96605245049315691</v>
      </c>
      <c r="AQ758" s="31">
        <f t="shared" si="186"/>
        <v>0.93834586466165415</v>
      </c>
      <c r="AR758" s="31">
        <f t="shared" si="187"/>
        <v>0.8901569186875895</v>
      </c>
      <c r="AS758" s="29">
        <f t="shared" si="188"/>
        <v>35.186511278195489</v>
      </c>
      <c r="AT758" s="29">
        <f t="shared" si="189"/>
        <v>6.6838673525919994</v>
      </c>
      <c r="AU758" s="27" t="str">
        <f t="shared" si="190"/>
        <v>Low</v>
      </c>
      <c r="AV758" s="27" t="str">
        <f t="shared" si="191"/>
        <v>Normal</v>
      </c>
      <c r="AW758" s="27"/>
    </row>
    <row r="759" spans="1:49" x14ac:dyDescent="0.25">
      <c r="A759" s="27">
        <v>758</v>
      </c>
      <c r="B759" s="28">
        <v>46066</v>
      </c>
      <c r="C759" s="28" t="str">
        <f t="shared" si="176"/>
        <v>February</v>
      </c>
      <c r="D759" s="27" t="s">
        <v>47</v>
      </c>
      <c r="E759" s="27" t="s">
        <v>61</v>
      </c>
      <c r="F759" s="27" t="s">
        <v>88</v>
      </c>
      <c r="G759" s="27" t="s">
        <v>63</v>
      </c>
      <c r="H759" s="27" t="s">
        <v>51</v>
      </c>
      <c r="I759" s="27" t="s">
        <v>882</v>
      </c>
      <c r="J759" s="27" t="s">
        <v>175</v>
      </c>
      <c r="K759" s="27">
        <v>809</v>
      </c>
      <c r="L759" s="27">
        <v>780</v>
      </c>
      <c r="M759" s="27">
        <v>757</v>
      </c>
      <c r="N759" s="27">
        <v>23</v>
      </c>
      <c r="O759" s="27">
        <v>5</v>
      </c>
      <c r="P759" s="27">
        <v>8</v>
      </c>
      <c r="Q759" s="27" t="s">
        <v>91</v>
      </c>
      <c r="R759" s="27">
        <v>42</v>
      </c>
      <c r="S759" s="27">
        <v>46</v>
      </c>
      <c r="T759" s="29">
        <v>76.3</v>
      </c>
      <c r="U759" s="29">
        <v>1.35</v>
      </c>
      <c r="V759" s="29">
        <v>26.61</v>
      </c>
      <c r="W759" s="30">
        <v>15247.3</v>
      </c>
      <c r="X759" s="27">
        <v>8.44</v>
      </c>
      <c r="Y759" s="27" t="s">
        <v>55</v>
      </c>
      <c r="Z759" s="29">
        <v>7</v>
      </c>
      <c r="AA759" s="30">
        <v>23568.43</v>
      </c>
      <c r="AB759" s="29">
        <v>0.97051282051282095</v>
      </c>
      <c r="AC759" s="30">
        <v>19284.79</v>
      </c>
      <c r="AD759" s="30">
        <v>97.739102564102595</v>
      </c>
      <c r="AE759" s="27">
        <v>566.29999999999995</v>
      </c>
      <c r="AF759" s="29">
        <v>0.98587321207840395</v>
      </c>
      <c r="AG759" s="30">
        <v>4185.9008974359003</v>
      </c>
      <c r="AH759" s="31">
        <f t="shared" si="177"/>
        <v>0.96415327564894937</v>
      </c>
      <c r="AI759" s="31">
        <f t="shared" si="178"/>
        <v>2.9487179487179487E-2</v>
      </c>
      <c r="AJ759" s="31">
        <f t="shared" si="179"/>
        <v>6.41025641025641E-3</v>
      </c>
      <c r="AK759" s="31">
        <f t="shared" si="180"/>
        <v>0.97051282051282051</v>
      </c>
      <c r="AL759" s="29">
        <f t="shared" si="181"/>
        <v>0.13333333333333333</v>
      </c>
      <c r="AM759" s="29">
        <f t="shared" si="182"/>
        <v>558.29999999999995</v>
      </c>
      <c r="AN759" s="29">
        <f t="shared" si="183"/>
        <v>1.3970983342289094</v>
      </c>
      <c r="AO759" s="29">
        <f t="shared" si="184"/>
        <v>1.4285714285714286</v>
      </c>
      <c r="AP759" s="31">
        <f t="shared" si="185"/>
        <v>0.97796883396023659</v>
      </c>
      <c r="AQ759" s="31">
        <f t="shared" si="186"/>
        <v>0.97051282051282051</v>
      </c>
      <c r="AR759" s="31">
        <f t="shared" si="187"/>
        <v>0.9357231149567371</v>
      </c>
      <c r="AS759" s="29">
        <f t="shared" si="188"/>
        <v>24.724089743589744</v>
      </c>
      <c r="AT759" s="29">
        <f t="shared" si="189"/>
        <v>5.3665396120973083</v>
      </c>
      <c r="AU759" s="27" t="str">
        <f t="shared" si="190"/>
        <v>Low</v>
      </c>
      <c r="AV759" s="27" t="str">
        <f t="shared" si="191"/>
        <v>Normal</v>
      </c>
      <c r="AW759" s="27"/>
    </row>
    <row r="760" spans="1:49" x14ac:dyDescent="0.25">
      <c r="A760" s="27">
        <v>759</v>
      </c>
      <c r="B760" s="28">
        <v>46140</v>
      </c>
      <c r="C760" s="28" t="str">
        <f t="shared" si="176"/>
        <v>April</v>
      </c>
      <c r="D760" s="27" t="s">
        <v>47</v>
      </c>
      <c r="E760" s="27" t="s">
        <v>76</v>
      </c>
      <c r="F760" s="27" t="s">
        <v>77</v>
      </c>
      <c r="G760" s="27" t="s">
        <v>50</v>
      </c>
      <c r="H760" s="27" t="s">
        <v>124</v>
      </c>
      <c r="I760" s="27" t="s">
        <v>883</v>
      </c>
      <c r="J760" s="27" t="s">
        <v>197</v>
      </c>
      <c r="K760" s="27">
        <v>715</v>
      </c>
      <c r="L760" s="27">
        <v>650</v>
      </c>
      <c r="M760" s="27">
        <v>602</v>
      </c>
      <c r="N760" s="27">
        <v>48</v>
      </c>
      <c r="O760" s="27">
        <v>20</v>
      </c>
      <c r="P760" s="27">
        <v>53</v>
      </c>
      <c r="Q760" s="27" t="s">
        <v>75</v>
      </c>
      <c r="R760" s="27">
        <v>57</v>
      </c>
      <c r="S760" s="27">
        <v>56</v>
      </c>
      <c r="T760" s="29">
        <v>72.2</v>
      </c>
      <c r="U760" s="29">
        <v>2.61</v>
      </c>
      <c r="V760" s="29">
        <v>23.97</v>
      </c>
      <c r="W760" s="30">
        <v>18256.32</v>
      </c>
      <c r="X760" s="27">
        <v>8.44</v>
      </c>
      <c r="Y760" s="27" t="s">
        <v>55</v>
      </c>
      <c r="Z760" s="29">
        <v>36</v>
      </c>
      <c r="AA760" s="30">
        <v>27010.18</v>
      </c>
      <c r="AB760" s="29">
        <v>0.92615384615384599</v>
      </c>
      <c r="AC760" s="30">
        <v>22270.05</v>
      </c>
      <c r="AD760" s="30">
        <v>561.73292307692304</v>
      </c>
      <c r="AE760" s="27">
        <v>679.25</v>
      </c>
      <c r="AF760" s="29">
        <v>0.92197276407802697</v>
      </c>
      <c r="AG760" s="30">
        <v>4178.39707692308</v>
      </c>
      <c r="AH760" s="31">
        <f t="shared" si="177"/>
        <v>0.90909090909090906</v>
      </c>
      <c r="AI760" s="31">
        <f t="shared" si="178"/>
        <v>7.3846153846153853E-2</v>
      </c>
      <c r="AJ760" s="31">
        <f t="shared" si="179"/>
        <v>3.0769230769230771E-2</v>
      </c>
      <c r="AK760" s="31">
        <f t="shared" si="180"/>
        <v>0.92615384615384611</v>
      </c>
      <c r="AL760" s="29">
        <f t="shared" si="181"/>
        <v>0.8833333333333333</v>
      </c>
      <c r="AM760" s="29">
        <f t="shared" si="182"/>
        <v>626.25</v>
      </c>
      <c r="AN760" s="29">
        <f t="shared" si="183"/>
        <v>1.0379241516966067</v>
      </c>
      <c r="AO760" s="29">
        <f t="shared" si="184"/>
        <v>1.0526315789473684</v>
      </c>
      <c r="AP760" s="31">
        <f t="shared" si="185"/>
        <v>0.98602794411177641</v>
      </c>
      <c r="AQ760" s="31">
        <f t="shared" si="186"/>
        <v>0.92615384615384611</v>
      </c>
      <c r="AR760" s="31">
        <f t="shared" si="187"/>
        <v>0.84195804195804169</v>
      </c>
      <c r="AS760" s="29">
        <f t="shared" si="188"/>
        <v>34.261615384615382</v>
      </c>
      <c r="AT760" s="29">
        <f t="shared" si="189"/>
        <v>6.4283031952662766</v>
      </c>
      <c r="AU760" s="27" t="str">
        <f t="shared" si="190"/>
        <v>Medium</v>
      </c>
      <c r="AV760" s="27" t="str">
        <f t="shared" si="191"/>
        <v>Warning</v>
      </c>
      <c r="AW760" s="27"/>
    </row>
    <row r="761" spans="1:49" x14ac:dyDescent="0.25">
      <c r="A761" s="27">
        <v>760</v>
      </c>
      <c r="B761" s="28">
        <v>46149</v>
      </c>
      <c r="C761" s="28" t="str">
        <f t="shared" si="176"/>
        <v>May</v>
      </c>
      <c r="D761" s="27" t="s">
        <v>67</v>
      </c>
      <c r="E761" s="27" t="s">
        <v>129</v>
      </c>
      <c r="F761" s="27" t="s">
        <v>130</v>
      </c>
      <c r="G761" s="27" t="s">
        <v>78</v>
      </c>
      <c r="H761" s="27" t="s">
        <v>57</v>
      </c>
      <c r="I761" s="27" t="s">
        <v>884</v>
      </c>
      <c r="J761" s="27" t="s">
        <v>84</v>
      </c>
      <c r="K761" s="27">
        <v>782</v>
      </c>
      <c r="L761" s="27">
        <v>604</v>
      </c>
      <c r="M761" s="27">
        <v>495</v>
      </c>
      <c r="N761" s="27">
        <v>109</v>
      </c>
      <c r="O761" s="27">
        <v>46</v>
      </c>
      <c r="P761" s="27">
        <v>46</v>
      </c>
      <c r="Q761" s="27" t="s">
        <v>54</v>
      </c>
      <c r="R761" s="27">
        <v>45</v>
      </c>
      <c r="S761" s="27">
        <v>51</v>
      </c>
      <c r="T761" s="29">
        <v>91.8</v>
      </c>
      <c r="U761" s="29">
        <v>4.97</v>
      </c>
      <c r="V761" s="29">
        <v>23.06</v>
      </c>
      <c r="W761" s="30">
        <v>12914.03</v>
      </c>
      <c r="X761" s="27">
        <v>7</v>
      </c>
      <c r="Y761" s="27" t="s">
        <v>71</v>
      </c>
      <c r="Z761" s="29">
        <v>47</v>
      </c>
      <c r="AA761" s="30">
        <v>17496.52</v>
      </c>
      <c r="AB761" s="29">
        <v>0.81953642384105996</v>
      </c>
      <c r="AC761" s="30">
        <v>16271.57</v>
      </c>
      <c r="AD761" s="30">
        <v>983.51884105960301</v>
      </c>
      <c r="AE761" s="27">
        <v>586.5</v>
      </c>
      <c r="AF761" s="29">
        <v>0.92156862745098</v>
      </c>
      <c r="AG761" s="30">
        <v>241.43115894039599</v>
      </c>
      <c r="AH761" s="31">
        <f t="shared" si="177"/>
        <v>0.77237851662404089</v>
      </c>
      <c r="AI761" s="31">
        <f t="shared" si="178"/>
        <v>0.1804635761589404</v>
      </c>
      <c r="AJ761" s="31">
        <f t="shared" si="179"/>
        <v>7.6158940397350994E-2</v>
      </c>
      <c r="AK761" s="31">
        <f t="shared" si="180"/>
        <v>0.81953642384105962</v>
      </c>
      <c r="AL761" s="29">
        <f t="shared" si="181"/>
        <v>0.76666666666666672</v>
      </c>
      <c r="AM761" s="29">
        <f t="shared" si="182"/>
        <v>540.5</v>
      </c>
      <c r="AN761" s="29">
        <f t="shared" si="183"/>
        <v>1.1174838112858465</v>
      </c>
      <c r="AO761" s="29">
        <f t="shared" si="184"/>
        <v>1.3333333333333333</v>
      </c>
      <c r="AP761" s="31">
        <f t="shared" si="185"/>
        <v>0.83811285846438488</v>
      </c>
      <c r="AQ761" s="31">
        <f t="shared" si="186"/>
        <v>0.81953642384105962</v>
      </c>
      <c r="AR761" s="31">
        <f t="shared" si="187"/>
        <v>0.63299232736572875</v>
      </c>
      <c r="AS761" s="29">
        <f t="shared" si="188"/>
        <v>26.939685430463577</v>
      </c>
      <c r="AT761" s="29">
        <f t="shared" si="189"/>
        <v>0.39972046182184767</v>
      </c>
      <c r="AU761" s="27" t="str">
        <f t="shared" si="190"/>
        <v>High</v>
      </c>
      <c r="AV761" s="27" t="str">
        <f t="shared" si="191"/>
        <v>Critical</v>
      </c>
      <c r="AW761" s="27"/>
    </row>
    <row r="762" spans="1:49" x14ac:dyDescent="0.25">
      <c r="A762" s="27">
        <v>761</v>
      </c>
      <c r="B762" s="28">
        <v>46198</v>
      </c>
      <c r="C762" s="28" t="str">
        <f t="shared" si="176"/>
        <v>June</v>
      </c>
      <c r="D762" s="27" t="s">
        <v>47</v>
      </c>
      <c r="E762" s="27" t="s">
        <v>98</v>
      </c>
      <c r="F762" s="27" t="s">
        <v>126</v>
      </c>
      <c r="G762" s="27" t="s">
        <v>78</v>
      </c>
      <c r="H762" s="27" t="s">
        <v>79</v>
      </c>
      <c r="I762" s="27" t="s">
        <v>885</v>
      </c>
      <c r="J762" s="27" t="s">
        <v>90</v>
      </c>
      <c r="K762" s="27">
        <v>713</v>
      </c>
      <c r="L762" s="27">
        <v>679</v>
      </c>
      <c r="M762" s="27">
        <v>623</v>
      </c>
      <c r="N762" s="27">
        <v>56</v>
      </c>
      <c r="O762" s="27">
        <v>21</v>
      </c>
      <c r="P762" s="27">
        <v>0</v>
      </c>
      <c r="Q762" s="27" t="s">
        <v>60</v>
      </c>
      <c r="R762" s="27">
        <v>49</v>
      </c>
      <c r="S762" s="27">
        <v>53</v>
      </c>
      <c r="T762" s="29">
        <v>69.8</v>
      </c>
      <c r="U762" s="29">
        <v>2.74</v>
      </c>
      <c r="V762" s="29">
        <v>19.600000000000001</v>
      </c>
      <c r="W762" s="30">
        <v>14994.6</v>
      </c>
      <c r="X762" s="27">
        <v>7.71</v>
      </c>
      <c r="Y762" s="27" t="s">
        <v>66</v>
      </c>
      <c r="Z762" s="29">
        <v>1</v>
      </c>
      <c r="AA762" s="30">
        <v>23662.32</v>
      </c>
      <c r="AB762" s="29">
        <v>0.91752577319587603</v>
      </c>
      <c r="AC762" s="30">
        <v>18640.5</v>
      </c>
      <c r="AD762" s="30">
        <v>463.75051546391802</v>
      </c>
      <c r="AE762" s="27">
        <v>582.28333333333296</v>
      </c>
      <c r="AF762" s="29">
        <v>1</v>
      </c>
      <c r="AG762" s="30">
        <v>4558.0694845360804</v>
      </c>
      <c r="AH762" s="31">
        <f t="shared" si="177"/>
        <v>0.95231416549789616</v>
      </c>
      <c r="AI762" s="31">
        <f t="shared" si="178"/>
        <v>8.247422680412371E-2</v>
      </c>
      <c r="AJ762" s="31">
        <f t="shared" si="179"/>
        <v>3.0927835051546393E-2</v>
      </c>
      <c r="AK762" s="31">
        <f t="shared" si="180"/>
        <v>0.91752577319587625</v>
      </c>
      <c r="AL762" s="29">
        <f t="shared" si="181"/>
        <v>0</v>
      </c>
      <c r="AM762" s="29">
        <f t="shared" si="182"/>
        <v>582.28333333333296</v>
      </c>
      <c r="AN762" s="29">
        <f t="shared" si="183"/>
        <v>1.1660989781606901</v>
      </c>
      <c r="AO762" s="29">
        <f t="shared" si="184"/>
        <v>1.2244897959183674</v>
      </c>
      <c r="AP762" s="31">
        <f t="shared" si="185"/>
        <v>0.95231416549789683</v>
      </c>
      <c r="AQ762" s="31">
        <f t="shared" si="186"/>
        <v>0.91752577319587625</v>
      </c>
      <c r="AR762" s="31">
        <f t="shared" si="187"/>
        <v>0.87377279102384342</v>
      </c>
      <c r="AS762" s="29">
        <f t="shared" si="188"/>
        <v>27.452871870397644</v>
      </c>
      <c r="AT762" s="29">
        <f t="shared" si="189"/>
        <v>6.7129152938675709</v>
      </c>
      <c r="AU762" s="27" t="str">
        <f t="shared" si="190"/>
        <v>Medium</v>
      </c>
      <c r="AV762" s="27" t="str">
        <f t="shared" si="191"/>
        <v>Warning</v>
      </c>
      <c r="AW762" s="27"/>
    </row>
    <row r="763" spans="1:49" x14ac:dyDescent="0.25">
      <c r="A763" s="27">
        <v>762</v>
      </c>
      <c r="B763" s="28">
        <v>46049</v>
      </c>
      <c r="C763" s="28" t="str">
        <f t="shared" si="176"/>
        <v>January</v>
      </c>
      <c r="D763" s="27" t="s">
        <v>47</v>
      </c>
      <c r="E763" s="27" t="s">
        <v>48</v>
      </c>
      <c r="F763" s="27" t="s">
        <v>56</v>
      </c>
      <c r="G763" s="27" t="s">
        <v>63</v>
      </c>
      <c r="H763" s="27" t="s">
        <v>51</v>
      </c>
      <c r="I763" s="27" t="s">
        <v>886</v>
      </c>
      <c r="J763" s="27" t="s">
        <v>121</v>
      </c>
      <c r="K763" s="27">
        <v>782</v>
      </c>
      <c r="L763" s="27">
        <v>779</v>
      </c>
      <c r="M763" s="27">
        <v>743</v>
      </c>
      <c r="N763" s="27">
        <v>36</v>
      </c>
      <c r="O763" s="27">
        <v>13</v>
      </c>
      <c r="P763" s="27">
        <v>20</v>
      </c>
      <c r="Q763" s="27" t="s">
        <v>102</v>
      </c>
      <c r="R763" s="27">
        <v>42</v>
      </c>
      <c r="S763" s="27">
        <v>42</v>
      </c>
      <c r="T763" s="29">
        <v>68.2</v>
      </c>
      <c r="U763" s="29">
        <v>2.37</v>
      </c>
      <c r="V763" s="29">
        <v>29.42</v>
      </c>
      <c r="W763" s="30">
        <v>14979.03</v>
      </c>
      <c r="X763" s="27">
        <v>8.73</v>
      </c>
      <c r="Y763" s="27" t="s">
        <v>55</v>
      </c>
      <c r="Z763" s="29">
        <v>11</v>
      </c>
      <c r="AA763" s="30">
        <v>23152.959999999999</v>
      </c>
      <c r="AB763" s="29">
        <v>0.95378690629011598</v>
      </c>
      <c r="AC763" s="30">
        <v>19172.310000000001</v>
      </c>
      <c r="AD763" s="30">
        <v>249.97097560975601</v>
      </c>
      <c r="AE763" s="27">
        <v>547.4</v>
      </c>
      <c r="AF763" s="29">
        <v>0.963463646328096</v>
      </c>
      <c r="AG763" s="30">
        <v>3730.6790243902501</v>
      </c>
      <c r="AH763" s="31">
        <f t="shared" si="177"/>
        <v>0.99616368286445012</v>
      </c>
      <c r="AI763" s="31">
        <f t="shared" si="178"/>
        <v>4.6213093709884467E-2</v>
      </c>
      <c r="AJ763" s="31">
        <f t="shared" si="179"/>
        <v>1.668806161745828E-2</v>
      </c>
      <c r="AK763" s="31">
        <f t="shared" si="180"/>
        <v>0.95378690629011553</v>
      </c>
      <c r="AL763" s="29">
        <f t="shared" si="181"/>
        <v>0.33333333333333331</v>
      </c>
      <c r="AM763" s="29">
        <f t="shared" si="182"/>
        <v>527.4</v>
      </c>
      <c r="AN763" s="29">
        <f t="shared" si="183"/>
        <v>1.4770572620401972</v>
      </c>
      <c r="AO763" s="29">
        <f t="shared" si="184"/>
        <v>1.4285714285714286</v>
      </c>
      <c r="AP763" s="31">
        <f t="shared" si="185"/>
        <v>1.033940083428138</v>
      </c>
      <c r="AQ763" s="31">
        <f t="shared" si="186"/>
        <v>0.95378690629011553</v>
      </c>
      <c r="AR763" s="31">
        <f t="shared" si="187"/>
        <v>0.95012787723785119</v>
      </c>
      <c r="AS763" s="29">
        <f t="shared" si="188"/>
        <v>24.611437740693198</v>
      </c>
      <c r="AT763" s="29">
        <f t="shared" si="189"/>
        <v>4.789061648767972</v>
      </c>
      <c r="AU763" s="27" t="str">
        <f t="shared" si="190"/>
        <v>Low</v>
      </c>
      <c r="AV763" s="27" t="str">
        <f t="shared" si="191"/>
        <v>Normal</v>
      </c>
      <c r="AW763" s="27"/>
    </row>
    <row r="764" spans="1:49" x14ac:dyDescent="0.25">
      <c r="A764" s="27">
        <v>763</v>
      </c>
      <c r="B764" s="28">
        <v>46093</v>
      </c>
      <c r="C764" s="28" t="str">
        <f t="shared" si="176"/>
        <v>March</v>
      </c>
      <c r="D764" s="27" t="s">
        <v>67</v>
      </c>
      <c r="E764" s="27" t="s">
        <v>48</v>
      </c>
      <c r="F764" s="27" t="s">
        <v>56</v>
      </c>
      <c r="G764" s="27" t="s">
        <v>50</v>
      </c>
      <c r="H764" s="27" t="s">
        <v>124</v>
      </c>
      <c r="I764" s="27" t="s">
        <v>887</v>
      </c>
      <c r="J764" s="27" t="s">
        <v>134</v>
      </c>
      <c r="K764" s="27">
        <v>759</v>
      </c>
      <c r="L764" s="27">
        <v>817</v>
      </c>
      <c r="M764" s="27">
        <v>776</v>
      </c>
      <c r="N764" s="27">
        <v>41</v>
      </c>
      <c r="O764" s="27">
        <v>13</v>
      </c>
      <c r="P764" s="27">
        <v>24</v>
      </c>
      <c r="Q764" s="27" t="s">
        <v>97</v>
      </c>
      <c r="R764" s="27">
        <v>57</v>
      </c>
      <c r="S764" s="27">
        <v>57</v>
      </c>
      <c r="T764" s="29">
        <v>76</v>
      </c>
      <c r="U764" s="29">
        <v>1.89</v>
      </c>
      <c r="V764" s="29">
        <v>31.39</v>
      </c>
      <c r="W764" s="30">
        <v>22133.119999999999</v>
      </c>
      <c r="X764" s="27">
        <v>11.25</v>
      </c>
      <c r="Y764" s="27" t="s">
        <v>66</v>
      </c>
      <c r="Z764" s="29">
        <v>28</v>
      </c>
      <c r="AA764" s="30">
        <v>35590.75</v>
      </c>
      <c r="AB764" s="29">
        <v>0.94981640146878799</v>
      </c>
      <c r="AC764" s="30">
        <v>27478.13</v>
      </c>
      <c r="AD764" s="30">
        <v>352.179388004896</v>
      </c>
      <c r="AE764" s="27">
        <v>721.05</v>
      </c>
      <c r="AF764" s="29">
        <v>0.96671520698980695</v>
      </c>
      <c r="AG764" s="30">
        <v>7760.44061199511</v>
      </c>
      <c r="AH764" s="31">
        <f t="shared" si="177"/>
        <v>1.0764163372859026</v>
      </c>
      <c r="AI764" s="31">
        <f t="shared" si="178"/>
        <v>5.0183598531211751E-2</v>
      </c>
      <c r="AJ764" s="31">
        <f t="shared" si="179"/>
        <v>1.591187270501836E-2</v>
      </c>
      <c r="AK764" s="31">
        <f t="shared" si="180"/>
        <v>0.94981640146878821</v>
      </c>
      <c r="AL764" s="29">
        <f t="shared" si="181"/>
        <v>0.4</v>
      </c>
      <c r="AM764" s="29">
        <f t="shared" si="182"/>
        <v>697.05</v>
      </c>
      <c r="AN764" s="29">
        <f t="shared" si="183"/>
        <v>1.1720823470339288</v>
      </c>
      <c r="AO764" s="29">
        <f t="shared" si="184"/>
        <v>1.0526315789473684</v>
      </c>
      <c r="AP764" s="31">
        <f t="shared" si="185"/>
        <v>1.1134782296822323</v>
      </c>
      <c r="AQ764" s="31">
        <f t="shared" si="186"/>
        <v>0.94981640146878821</v>
      </c>
      <c r="AR764" s="31">
        <f t="shared" si="187"/>
        <v>1.0223978919631098</v>
      </c>
      <c r="AS764" s="29">
        <f t="shared" si="188"/>
        <v>33.632962056303548</v>
      </c>
      <c r="AT764" s="29">
        <f t="shared" si="189"/>
        <v>9.4987033194554584</v>
      </c>
      <c r="AU764" s="27" t="str">
        <f t="shared" si="190"/>
        <v>Low</v>
      </c>
      <c r="AV764" s="27" t="str">
        <f t="shared" si="191"/>
        <v>Normal</v>
      </c>
      <c r="AW764" s="27"/>
    </row>
    <row r="765" spans="1:49" x14ac:dyDescent="0.25">
      <c r="A765" s="27">
        <v>764</v>
      </c>
      <c r="B765" s="28">
        <v>46150</v>
      </c>
      <c r="C765" s="28" t="str">
        <f t="shared" si="176"/>
        <v>May</v>
      </c>
      <c r="D765" s="27" t="s">
        <v>67</v>
      </c>
      <c r="E765" s="27" t="s">
        <v>98</v>
      </c>
      <c r="F765" s="27" t="s">
        <v>105</v>
      </c>
      <c r="G765" s="27" t="s">
        <v>63</v>
      </c>
      <c r="H765" s="27" t="s">
        <v>51</v>
      </c>
      <c r="I765" s="27" t="s">
        <v>888</v>
      </c>
      <c r="J765" s="27" t="s">
        <v>153</v>
      </c>
      <c r="K765" s="27">
        <v>729</v>
      </c>
      <c r="L765" s="27">
        <v>662</v>
      </c>
      <c r="M765" s="27">
        <v>616</v>
      </c>
      <c r="N765" s="27">
        <v>46</v>
      </c>
      <c r="O765" s="27">
        <v>9</v>
      </c>
      <c r="P765" s="27">
        <v>14</v>
      </c>
      <c r="Q765" s="27" t="s">
        <v>54</v>
      </c>
      <c r="R765" s="27">
        <v>42</v>
      </c>
      <c r="S765" s="27">
        <v>44</v>
      </c>
      <c r="T765" s="29">
        <v>70.7</v>
      </c>
      <c r="U765" s="29">
        <v>1.92</v>
      </c>
      <c r="V765" s="29">
        <v>22.2</v>
      </c>
      <c r="W765" s="30">
        <v>12352.19</v>
      </c>
      <c r="X765" s="27">
        <v>8.7899999999999991</v>
      </c>
      <c r="Y765" s="27" t="s">
        <v>55</v>
      </c>
      <c r="Z765" s="29">
        <v>14</v>
      </c>
      <c r="AA765" s="30">
        <v>20240.240000000002</v>
      </c>
      <c r="AB765" s="29">
        <v>0.93051359516616305</v>
      </c>
      <c r="AC765" s="30">
        <v>16507.490000000002</v>
      </c>
      <c r="AD765" s="30">
        <v>167.930075528701</v>
      </c>
      <c r="AE765" s="27">
        <v>510.3</v>
      </c>
      <c r="AF765" s="29">
        <v>0.97256515775034302</v>
      </c>
      <c r="AG765" s="30">
        <v>3564.8199244713001</v>
      </c>
      <c r="AH765" s="31">
        <f t="shared" si="177"/>
        <v>0.90809327846364885</v>
      </c>
      <c r="AI765" s="31">
        <f t="shared" si="178"/>
        <v>6.9486404833836862E-2</v>
      </c>
      <c r="AJ765" s="31">
        <f t="shared" si="179"/>
        <v>1.3595166163141994E-2</v>
      </c>
      <c r="AK765" s="31">
        <f t="shared" si="180"/>
        <v>0.93051359516616317</v>
      </c>
      <c r="AL765" s="29">
        <f t="shared" si="181"/>
        <v>0.23333333333333334</v>
      </c>
      <c r="AM765" s="29">
        <f t="shared" si="182"/>
        <v>496.3</v>
      </c>
      <c r="AN765" s="29">
        <f t="shared" si="183"/>
        <v>1.3338706427563973</v>
      </c>
      <c r="AO765" s="29">
        <f t="shared" si="184"/>
        <v>1.4285714285714286</v>
      </c>
      <c r="AP765" s="31">
        <f t="shared" si="185"/>
        <v>0.93370944992947813</v>
      </c>
      <c r="AQ765" s="31">
        <f t="shared" si="186"/>
        <v>0.93051359516616317</v>
      </c>
      <c r="AR765" s="31">
        <f t="shared" si="187"/>
        <v>0.8449931412894377</v>
      </c>
      <c r="AS765" s="29">
        <f t="shared" si="188"/>
        <v>24.935785498489427</v>
      </c>
      <c r="AT765" s="29">
        <f t="shared" si="189"/>
        <v>5.3849243572074021</v>
      </c>
      <c r="AU765" s="27" t="str">
        <f t="shared" si="190"/>
        <v>Medium</v>
      </c>
      <c r="AV765" s="27" t="str">
        <f t="shared" si="191"/>
        <v>Warning</v>
      </c>
      <c r="AW765" s="27"/>
    </row>
    <row r="766" spans="1:49" x14ac:dyDescent="0.25">
      <c r="A766" s="27">
        <v>765</v>
      </c>
      <c r="B766" s="28">
        <v>46126</v>
      </c>
      <c r="C766" s="28" t="str">
        <f t="shared" si="176"/>
        <v>April</v>
      </c>
      <c r="D766" s="27" t="s">
        <v>67</v>
      </c>
      <c r="E766" s="27" t="s">
        <v>76</v>
      </c>
      <c r="F766" s="27" t="s">
        <v>113</v>
      </c>
      <c r="G766" s="27" t="s">
        <v>63</v>
      </c>
      <c r="H766" s="27" t="s">
        <v>79</v>
      </c>
      <c r="I766" s="27" t="s">
        <v>889</v>
      </c>
      <c r="J766" s="27" t="s">
        <v>175</v>
      </c>
      <c r="K766" s="27">
        <v>862</v>
      </c>
      <c r="L766" s="27">
        <v>715</v>
      </c>
      <c r="M766" s="27">
        <v>681</v>
      </c>
      <c r="N766" s="27">
        <v>34</v>
      </c>
      <c r="O766" s="27">
        <v>6</v>
      </c>
      <c r="P766" s="27">
        <v>37</v>
      </c>
      <c r="Q766" s="27" t="s">
        <v>94</v>
      </c>
      <c r="R766" s="27">
        <v>49</v>
      </c>
      <c r="S766" s="27">
        <v>48</v>
      </c>
      <c r="T766" s="29">
        <v>66.900000000000006</v>
      </c>
      <c r="U766" s="29">
        <v>2.5</v>
      </c>
      <c r="V766" s="29">
        <v>31.26</v>
      </c>
      <c r="W766" s="30">
        <v>16605.53</v>
      </c>
      <c r="X766" s="27">
        <v>7.44</v>
      </c>
      <c r="Y766" s="27" t="s">
        <v>66</v>
      </c>
      <c r="Z766" s="29">
        <v>31</v>
      </c>
      <c r="AA766" s="30">
        <v>25947.4</v>
      </c>
      <c r="AB766" s="29">
        <v>0.95244755244755197</v>
      </c>
      <c r="AC766" s="30">
        <v>20234.87</v>
      </c>
      <c r="AD766" s="30">
        <v>139.34710489510499</v>
      </c>
      <c r="AE766" s="27">
        <v>703.96666666666704</v>
      </c>
      <c r="AF766" s="29">
        <v>0.94744069321464097</v>
      </c>
      <c r="AG766" s="30">
        <v>5573.1828951049001</v>
      </c>
      <c r="AH766" s="31">
        <f t="shared" si="177"/>
        <v>0.82946635730858465</v>
      </c>
      <c r="AI766" s="31">
        <f t="shared" si="178"/>
        <v>4.7552447552447551E-2</v>
      </c>
      <c r="AJ766" s="31">
        <f t="shared" si="179"/>
        <v>8.3916083916083916E-3</v>
      </c>
      <c r="AK766" s="31">
        <f t="shared" si="180"/>
        <v>0.95244755244755241</v>
      </c>
      <c r="AL766" s="29">
        <f t="shared" si="181"/>
        <v>0.6166666666666667</v>
      </c>
      <c r="AM766" s="29">
        <f t="shared" si="182"/>
        <v>666.96666666666704</v>
      </c>
      <c r="AN766" s="29">
        <f t="shared" si="183"/>
        <v>1.0720175920835617</v>
      </c>
      <c r="AO766" s="29">
        <f t="shared" si="184"/>
        <v>1.2244897959183674</v>
      </c>
      <c r="AP766" s="31">
        <f t="shared" si="185"/>
        <v>0.87548103353490869</v>
      </c>
      <c r="AQ766" s="31">
        <f t="shared" si="186"/>
        <v>0.95244755244755241</v>
      </c>
      <c r="AR766" s="31">
        <f t="shared" si="187"/>
        <v>0.79002320185614805</v>
      </c>
      <c r="AS766" s="29">
        <f t="shared" si="188"/>
        <v>28.300517482517481</v>
      </c>
      <c r="AT766" s="29">
        <f t="shared" si="189"/>
        <v>7.7946613917551053</v>
      </c>
      <c r="AU766" s="27" t="str">
        <f t="shared" si="190"/>
        <v>High</v>
      </c>
      <c r="AV766" s="27" t="str">
        <f t="shared" si="191"/>
        <v>Warning</v>
      </c>
      <c r="AW766" s="27"/>
    </row>
    <row r="767" spans="1:49" x14ac:dyDescent="0.25">
      <c r="A767" s="27">
        <v>766</v>
      </c>
      <c r="B767" s="28">
        <v>46113</v>
      </c>
      <c r="C767" s="28" t="str">
        <f t="shared" si="176"/>
        <v>April</v>
      </c>
      <c r="D767" s="27" t="s">
        <v>47</v>
      </c>
      <c r="E767" s="27" t="s">
        <v>98</v>
      </c>
      <c r="F767" s="27" t="s">
        <v>126</v>
      </c>
      <c r="G767" s="27" t="s">
        <v>63</v>
      </c>
      <c r="H767" s="27" t="s">
        <v>68</v>
      </c>
      <c r="I767" s="27" t="s">
        <v>890</v>
      </c>
      <c r="J767" s="27" t="s">
        <v>121</v>
      </c>
      <c r="K767" s="27">
        <v>501</v>
      </c>
      <c r="L767" s="27">
        <v>436</v>
      </c>
      <c r="M767" s="27">
        <v>399</v>
      </c>
      <c r="N767" s="27">
        <v>37</v>
      </c>
      <c r="O767" s="27">
        <v>8</v>
      </c>
      <c r="P767" s="27">
        <v>50</v>
      </c>
      <c r="Q767" s="27" t="s">
        <v>54</v>
      </c>
      <c r="R767" s="27">
        <v>64</v>
      </c>
      <c r="S767" s="27">
        <v>70</v>
      </c>
      <c r="T767" s="29">
        <v>67.900000000000006</v>
      </c>
      <c r="U767" s="29">
        <v>1.41</v>
      </c>
      <c r="V767" s="29">
        <v>15</v>
      </c>
      <c r="W767" s="30">
        <v>12901.38</v>
      </c>
      <c r="X767" s="27">
        <v>6.46</v>
      </c>
      <c r="Y767" s="27" t="s">
        <v>110</v>
      </c>
      <c r="Z767" s="29">
        <v>36</v>
      </c>
      <c r="AA767" s="30">
        <v>21089.84</v>
      </c>
      <c r="AB767" s="29">
        <v>0.91513761467889898</v>
      </c>
      <c r="AC767" s="30">
        <v>15943.38</v>
      </c>
      <c r="AD767" s="30">
        <v>236.722568807339</v>
      </c>
      <c r="AE767" s="27">
        <v>534.4</v>
      </c>
      <c r="AF767" s="29">
        <v>0.90643712574850299</v>
      </c>
      <c r="AG767" s="30">
        <v>4909.7374311926596</v>
      </c>
      <c r="AH767" s="31">
        <f t="shared" si="177"/>
        <v>0.87025948103792417</v>
      </c>
      <c r="AI767" s="31">
        <f t="shared" si="178"/>
        <v>8.4862385321100922E-2</v>
      </c>
      <c r="AJ767" s="31">
        <f t="shared" si="179"/>
        <v>1.834862385321101E-2</v>
      </c>
      <c r="AK767" s="31">
        <f t="shared" si="180"/>
        <v>0.91513761467889909</v>
      </c>
      <c r="AL767" s="29">
        <f t="shared" si="181"/>
        <v>0.83333333333333337</v>
      </c>
      <c r="AM767" s="29">
        <f t="shared" si="182"/>
        <v>484.4</v>
      </c>
      <c r="AN767" s="29">
        <f t="shared" si="183"/>
        <v>0.90008257638315448</v>
      </c>
      <c r="AO767" s="29">
        <f t="shared" si="184"/>
        <v>0.9375</v>
      </c>
      <c r="AP767" s="31">
        <f t="shared" si="185"/>
        <v>0.96008808147536473</v>
      </c>
      <c r="AQ767" s="31">
        <f t="shared" si="186"/>
        <v>0.91513761467889909</v>
      </c>
      <c r="AR767" s="31">
        <f t="shared" si="187"/>
        <v>0.79640718562874258</v>
      </c>
      <c r="AS767" s="29">
        <f t="shared" si="188"/>
        <v>36.567385321100915</v>
      </c>
      <c r="AT767" s="29">
        <f t="shared" si="189"/>
        <v>11.260865667873073</v>
      </c>
      <c r="AU767" s="27" t="str">
        <f t="shared" si="190"/>
        <v>High</v>
      </c>
      <c r="AV767" s="27" t="str">
        <f t="shared" si="191"/>
        <v>Warning</v>
      </c>
      <c r="AW767" s="27"/>
    </row>
    <row r="768" spans="1:49" x14ac:dyDescent="0.25">
      <c r="A768" s="27">
        <v>767</v>
      </c>
      <c r="B768" s="28">
        <v>46147</v>
      </c>
      <c r="C768" s="28" t="str">
        <f t="shared" si="176"/>
        <v>May</v>
      </c>
      <c r="D768" s="27" t="s">
        <v>67</v>
      </c>
      <c r="E768" s="27" t="s">
        <v>129</v>
      </c>
      <c r="F768" s="27" t="s">
        <v>151</v>
      </c>
      <c r="G768" s="27" t="s">
        <v>63</v>
      </c>
      <c r="H768" s="27" t="s">
        <v>79</v>
      </c>
      <c r="I768" s="27" t="s">
        <v>891</v>
      </c>
      <c r="J768" s="27" t="s">
        <v>143</v>
      </c>
      <c r="K768" s="27">
        <v>865</v>
      </c>
      <c r="L768" s="27">
        <v>694</v>
      </c>
      <c r="M768" s="27">
        <v>659</v>
      </c>
      <c r="N768" s="27">
        <v>35</v>
      </c>
      <c r="O768" s="27">
        <v>10</v>
      </c>
      <c r="P768" s="27">
        <v>24</v>
      </c>
      <c r="Q768" s="27" t="s">
        <v>97</v>
      </c>
      <c r="R768" s="27">
        <v>49</v>
      </c>
      <c r="S768" s="27">
        <v>50</v>
      </c>
      <c r="T768" s="29">
        <v>77.900000000000006</v>
      </c>
      <c r="U768" s="29">
        <v>2.11</v>
      </c>
      <c r="V768" s="29">
        <v>24.63</v>
      </c>
      <c r="W768" s="30">
        <v>16075.98</v>
      </c>
      <c r="X768" s="27">
        <v>6.89</v>
      </c>
      <c r="Y768" s="27" t="s">
        <v>55</v>
      </c>
      <c r="Z768" s="29">
        <v>30</v>
      </c>
      <c r="AA768" s="30">
        <v>25628.77</v>
      </c>
      <c r="AB768" s="29">
        <v>0.94956772334294004</v>
      </c>
      <c r="AC768" s="30">
        <v>19398.150000000001</v>
      </c>
      <c r="AD768" s="30">
        <v>231.64236311239199</v>
      </c>
      <c r="AE768" s="27">
        <v>706.41666666666697</v>
      </c>
      <c r="AF768" s="29">
        <v>0.96602571664504</v>
      </c>
      <c r="AG768" s="30">
        <v>5998.9776368876101</v>
      </c>
      <c r="AH768" s="31">
        <f t="shared" si="177"/>
        <v>0.80231213872832374</v>
      </c>
      <c r="AI768" s="31">
        <f t="shared" si="178"/>
        <v>5.0432276657060522E-2</v>
      </c>
      <c r="AJ768" s="31">
        <f t="shared" si="179"/>
        <v>1.4409221902017291E-2</v>
      </c>
      <c r="AK768" s="31">
        <f t="shared" si="180"/>
        <v>0.94956772334293948</v>
      </c>
      <c r="AL768" s="29">
        <f t="shared" si="181"/>
        <v>0.4</v>
      </c>
      <c r="AM768" s="29">
        <f t="shared" si="182"/>
        <v>682.41666666666697</v>
      </c>
      <c r="AN768" s="29">
        <f t="shared" si="183"/>
        <v>1.0169739894981067</v>
      </c>
      <c r="AO768" s="29">
        <f t="shared" si="184"/>
        <v>1.2244897959183674</v>
      </c>
      <c r="AP768" s="31">
        <f t="shared" si="185"/>
        <v>0.8305287580901205</v>
      </c>
      <c r="AQ768" s="31">
        <f t="shared" si="186"/>
        <v>0.94956772334293948</v>
      </c>
      <c r="AR768" s="31">
        <f t="shared" si="187"/>
        <v>0.76184971098265897</v>
      </c>
      <c r="AS768" s="29">
        <f t="shared" si="188"/>
        <v>27.951224783861672</v>
      </c>
      <c r="AT768" s="29">
        <f t="shared" si="189"/>
        <v>8.6440599955152884</v>
      </c>
      <c r="AU768" s="27" t="str">
        <f t="shared" si="190"/>
        <v>High</v>
      </c>
      <c r="AV768" s="27" t="str">
        <f t="shared" si="191"/>
        <v>Warning</v>
      </c>
      <c r="AW768" s="27"/>
    </row>
    <row r="769" spans="1:49" x14ac:dyDescent="0.25">
      <c r="A769" s="27">
        <v>768</v>
      </c>
      <c r="B769" s="28">
        <v>46132</v>
      </c>
      <c r="C769" s="28" t="str">
        <f t="shared" si="176"/>
        <v>April</v>
      </c>
      <c r="D769" s="27" t="s">
        <v>47</v>
      </c>
      <c r="E769" s="27" t="s">
        <v>129</v>
      </c>
      <c r="F769" s="27" t="s">
        <v>151</v>
      </c>
      <c r="G769" s="27" t="s">
        <v>50</v>
      </c>
      <c r="H769" s="27" t="s">
        <v>79</v>
      </c>
      <c r="I769" s="27" t="s">
        <v>892</v>
      </c>
      <c r="J769" s="27" t="s">
        <v>170</v>
      </c>
      <c r="K769" s="27">
        <v>781</v>
      </c>
      <c r="L769" s="27">
        <v>759</v>
      </c>
      <c r="M769" s="27">
        <v>711</v>
      </c>
      <c r="N769" s="27">
        <v>48</v>
      </c>
      <c r="O769" s="27">
        <v>14</v>
      </c>
      <c r="P769" s="27">
        <v>17</v>
      </c>
      <c r="Q769" s="27" t="s">
        <v>91</v>
      </c>
      <c r="R769" s="27">
        <v>49</v>
      </c>
      <c r="S769" s="27">
        <v>54</v>
      </c>
      <c r="T769" s="29">
        <v>65.599999999999994</v>
      </c>
      <c r="U769" s="29">
        <v>1.82</v>
      </c>
      <c r="V769" s="29">
        <v>23.36</v>
      </c>
      <c r="W769" s="30">
        <v>16998.71</v>
      </c>
      <c r="X769" s="27">
        <v>7.44</v>
      </c>
      <c r="Y769" s="27" t="s">
        <v>66</v>
      </c>
      <c r="Z769" s="29">
        <v>9</v>
      </c>
      <c r="AA769" s="30">
        <v>26568.54</v>
      </c>
      <c r="AB769" s="29">
        <v>0.936758893280632</v>
      </c>
      <c r="AC769" s="30">
        <v>20556.95</v>
      </c>
      <c r="AD769" s="30">
        <v>313.54669301712801</v>
      </c>
      <c r="AE769" s="27">
        <v>637.81666666666695</v>
      </c>
      <c r="AF769" s="29">
        <v>0.97334657294415905</v>
      </c>
      <c r="AG769" s="30">
        <v>5698.0433069828696</v>
      </c>
      <c r="AH769" s="31">
        <f t="shared" si="177"/>
        <v>0.971830985915493</v>
      </c>
      <c r="AI769" s="31">
        <f t="shared" si="178"/>
        <v>6.3241106719367585E-2</v>
      </c>
      <c r="AJ769" s="31">
        <f t="shared" si="179"/>
        <v>1.844532279314888E-2</v>
      </c>
      <c r="AK769" s="31">
        <f t="shared" si="180"/>
        <v>0.93675889328063244</v>
      </c>
      <c r="AL769" s="29">
        <f t="shared" si="181"/>
        <v>0.28333333333333333</v>
      </c>
      <c r="AM769" s="29">
        <f t="shared" si="182"/>
        <v>620.81666666666695</v>
      </c>
      <c r="AN769" s="29">
        <f t="shared" si="183"/>
        <v>1.2225831565948073</v>
      </c>
      <c r="AO769" s="29">
        <f t="shared" si="184"/>
        <v>1.2244897959183674</v>
      </c>
      <c r="AP769" s="31">
        <f t="shared" si="185"/>
        <v>0.99844291121909268</v>
      </c>
      <c r="AQ769" s="31">
        <f t="shared" si="186"/>
        <v>0.93675889328063244</v>
      </c>
      <c r="AR769" s="31">
        <f t="shared" si="187"/>
        <v>0.91037131882202327</v>
      </c>
      <c r="AS769" s="29">
        <f t="shared" si="188"/>
        <v>27.084255599472993</v>
      </c>
      <c r="AT769" s="29">
        <f t="shared" si="189"/>
        <v>7.5073034347600389</v>
      </c>
      <c r="AU769" s="27" t="str">
        <f t="shared" si="190"/>
        <v>Low</v>
      </c>
      <c r="AV769" s="27" t="str">
        <f t="shared" si="191"/>
        <v>Normal</v>
      </c>
      <c r="AW769" s="27"/>
    </row>
    <row r="770" spans="1:49" x14ac:dyDescent="0.25">
      <c r="A770" s="27">
        <v>769</v>
      </c>
      <c r="B770" s="28">
        <v>46075</v>
      </c>
      <c r="C770" s="28" t="str">
        <f t="shared" ref="C770:C833" si="192">TEXT(B770,"mmmm")</f>
        <v>February</v>
      </c>
      <c r="D770" s="27" t="s">
        <v>47</v>
      </c>
      <c r="E770" s="27" t="s">
        <v>129</v>
      </c>
      <c r="F770" s="27" t="s">
        <v>130</v>
      </c>
      <c r="G770" s="27" t="s">
        <v>63</v>
      </c>
      <c r="H770" s="27" t="s">
        <v>51</v>
      </c>
      <c r="I770" s="27" t="s">
        <v>893</v>
      </c>
      <c r="J770" s="27" t="s">
        <v>155</v>
      </c>
      <c r="K770" s="27">
        <v>899</v>
      </c>
      <c r="L770" s="27">
        <v>765</v>
      </c>
      <c r="M770" s="27">
        <v>667</v>
      </c>
      <c r="N770" s="27">
        <v>98</v>
      </c>
      <c r="O770" s="27">
        <v>27</v>
      </c>
      <c r="P770" s="27">
        <v>28</v>
      </c>
      <c r="Q770" s="27" t="s">
        <v>75</v>
      </c>
      <c r="R770" s="27">
        <v>42</v>
      </c>
      <c r="S770" s="27">
        <v>48</v>
      </c>
      <c r="T770" s="29">
        <v>72.3</v>
      </c>
      <c r="U770" s="29">
        <v>3.73</v>
      </c>
      <c r="V770" s="29">
        <v>32.04</v>
      </c>
      <c r="W770" s="30">
        <v>14041.47</v>
      </c>
      <c r="X770" s="27">
        <v>6.97</v>
      </c>
      <c r="Y770" s="27" t="s">
        <v>55</v>
      </c>
      <c r="Z770" s="29">
        <v>36</v>
      </c>
      <c r="AA770" s="30">
        <v>21038.86</v>
      </c>
      <c r="AB770" s="29">
        <v>0.87189542483660099</v>
      </c>
      <c r="AC770" s="30">
        <v>17466.330000000002</v>
      </c>
      <c r="AD770" s="30">
        <v>495.58129411764702</v>
      </c>
      <c r="AE770" s="27">
        <v>629.29999999999995</v>
      </c>
      <c r="AF770" s="29">
        <v>0.95550611790878803</v>
      </c>
      <c r="AG770" s="30">
        <v>3076.9487058823502</v>
      </c>
      <c r="AH770" s="31">
        <f t="shared" ref="AH770:AH833" si="193">IFERROR(L770/K770,0)</f>
        <v>0.85094549499443828</v>
      </c>
      <c r="AI770" s="31">
        <f t="shared" ref="AI770:AI833" si="194">IFERROR(N770/L770,0)</f>
        <v>0.12810457516339868</v>
      </c>
      <c r="AJ770" s="31">
        <f t="shared" ref="AJ770:AJ833" si="195">IFERROR(O770/L770,0)</f>
        <v>3.5294117647058823E-2</v>
      </c>
      <c r="AK770" s="31">
        <f t="shared" ref="AK770:AK833" si="196">IFERROR(M770/L770,0)</f>
        <v>0.87189542483660132</v>
      </c>
      <c r="AL770" s="29">
        <f t="shared" ref="AL770:AL833" si="197">P770/60</f>
        <v>0.46666666666666667</v>
      </c>
      <c r="AM770" s="29">
        <f t="shared" ref="AM770:AM833" si="198">MAX(0,AE770-P770)</f>
        <v>601.29999999999995</v>
      </c>
      <c r="AN770" s="29">
        <f t="shared" ref="AN770:AN833" si="199">IFERROR(L770/AM770,0)</f>
        <v>1.2722434724763014</v>
      </c>
      <c r="AO770" s="29">
        <f t="shared" ref="AO770:AO833" si="200">IFERROR(60/R770,0)</f>
        <v>1.4285714285714286</v>
      </c>
      <c r="AP770" s="31">
        <f t="shared" ref="AP770:AP833" si="201">IFERROR(AN770/AO770,0)</f>
        <v>0.89057043073341102</v>
      </c>
      <c r="AQ770" s="31">
        <f t="shared" ref="AQ770:AQ833" si="202">IFERROR(M770/L770,0)</f>
        <v>0.87189542483660132</v>
      </c>
      <c r="AR770" s="31">
        <f t="shared" ref="AR770:AR833" si="203">AF770*AP770*AQ770</f>
        <v>0.74193548387096819</v>
      </c>
      <c r="AS770" s="29">
        <f t="shared" ref="AS770:AS833" si="204">IFERROR(AC770/L770,0)</f>
        <v>22.831803921568628</v>
      </c>
      <c r="AT770" s="29">
        <f t="shared" ref="AT770:AT833" si="205">IFERROR(AG770/L770,0)</f>
        <v>4.0221551710880394</v>
      </c>
      <c r="AU770" s="27" t="str">
        <f t="shared" ref="AU770:AU833" si="206">IF(OR(Y770="Overdue",P770&gt;=120,T770&gt;=85,U770&gt;=4,AI770&gt;=0.12,AR770&lt;0.8),"High",IF(OR(Y770="Pending",Z770&gt;=30,P770&gt;=60,T770&gt;=80,U770&gt;=3,AI770&gt;=0.08,AR770&lt;0.85),"Medium","Low"))</f>
        <v>High</v>
      </c>
      <c r="AV770" s="27" t="str">
        <f t="shared" ref="AV770:AV833" si="207">IF(OR(P770&gt;=120,T770&gt;=90,U770&gt;=4.5,AI770&gt;=0.15,AR770&lt;0.75),"Critical",IF(OR(P770&gt;=60,T770&gt;=80,U770&gt;=3,AI770&gt;=0.08,AR770&lt;0.85),"Warning","Normal"))</f>
        <v>Critical</v>
      </c>
      <c r="AW770" s="27"/>
    </row>
    <row r="771" spans="1:49" x14ac:dyDescent="0.25">
      <c r="A771" s="27">
        <v>770</v>
      </c>
      <c r="B771" s="28">
        <v>46097</v>
      </c>
      <c r="C771" s="28" t="str">
        <f t="shared" si="192"/>
        <v>March</v>
      </c>
      <c r="D771" s="27" t="s">
        <v>47</v>
      </c>
      <c r="E771" s="27" t="s">
        <v>129</v>
      </c>
      <c r="F771" s="27" t="s">
        <v>130</v>
      </c>
      <c r="G771" s="27" t="s">
        <v>50</v>
      </c>
      <c r="H771" s="27" t="s">
        <v>51</v>
      </c>
      <c r="I771" s="27" t="s">
        <v>894</v>
      </c>
      <c r="J771" s="27" t="s">
        <v>121</v>
      </c>
      <c r="K771" s="27">
        <v>782</v>
      </c>
      <c r="L771" s="27">
        <v>705</v>
      </c>
      <c r="M771" s="27">
        <v>605</v>
      </c>
      <c r="N771" s="27">
        <v>100</v>
      </c>
      <c r="O771" s="27">
        <v>24</v>
      </c>
      <c r="P771" s="27">
        <v>11</v>
      </c>
      <c r="Q771" s="27" t="s">
        <v>91</v>
      </c>
      <c r="R771" s="27">
        <v>42</v>
      </c>
      <c r="S771" s="27">
        <v>47</v>
      </c>
      <c r="T771" s="29">
        <v>75.2</v>
      </c>
      <c r="U771" s="29">
        <v>3.96</v>
      </c>
      <c r="V771" s="29">
        <v>25.24</v>
      </c>
      <c r="W771" s="30">
        <v>13288.82</v>
      </c>
      <c r="X771" s="27">
        <v>8.16</v>
      </c>
      <c r="Y771" s="27" t="s">
        <v>55</v>
      </c>
      <c r="Z771" s="29">
        <v>39</v>
      </c>
      <c r="AA771" s="30">
        <v>18834.66</v>
      </c>
      <c r="AB771" s="29">
        <v>0.85815602836879401</v>
      </c>
      <c r="AC771" s="30">
        <v>17187.98</v>
      </c>
      <c r="AD771" s="30">
        <v>452.38536170212802</v>
      </c>
      <c r="AE771" s="27">
        <v>547.4</v>
      </c>
      <c r="AF771" s="29">
        <v>0.97990500548045301</v>
      </c>
      <c r="AG771" s="30">
        <v>1194.2946382978701</v>
      </c>
      <c r="AH771" s="31">
        <f t="shared" si="193"/>
        <v>0.90153452685421998</v>
      </c>
      <c r="AI771" s="31">
        <f t="shared" si="194"/>
        <v>0.14184397163120568</v>
      </c>
      <c r="AJ771" s="31">
        <f t="shared" si="195"/>
        <v>3.4042553191489362E-2</v>
      </c>
      <c r="AK771" s="31">
        <f t="shared" si="196"/>
        <v>0.85815602836879434</v>
      </c>
      <c r="AL771" s="29">
        <f t="shared" si="197"/>
        <v>0.18333333333333332</v>
      </c>
      <c r="AM771" s="29">
        <f t="shared" si="198"/>
        <v>536.4</v>
      </c>
      <c r="AN771" s="29">
        <f t="shared" si="199"/>
        <v>1.3143176733780761</v>
      </c>
      <c r="AO771" s="29">
        <f t="shared" si="200"/>
        <v>1.4285714285714286</v>
      </c>
      <c r="AP771" s="31">
        <f t="shared" si="201"/>
        <v>0.92002237136465326</v>
      </c>
      <c r="AQ771" s="31">
        <f t="shared" si="202"/>
        <v>0.85815602836879434</v>
      </c>
      <c r="AR771" s="31">
        <f t="shared" si="203"/>
        <v>0.77365728900255759</v>
      </c>
      <c r="AS771" s="29">
        <f t="shared" si="204"/>
        <v>24.380113475177303</v>
      </c>
      <c r="AT771" s="29">
        <f t="shared" si="205"/>
        <v>1.6940349479402412</v>
      </c>
      <c r="AU771" s="27" t="str">
        <f t="shared" si="206"/>
        <v>High</v>
      </c>
      <c r="AV771" s="27" t="str">
        <f t="shared" si="207"/>
        <v>Warning</v>
      </c>
      <c r="AW771" s="27"/>
    </row>
    <row r="772" spans="1:49" x14ac:dyDescent="0.25">
      <c r="A772" s="27">
        <v>771</v>
      </c>
      <c r="B772" s="28">
        <v>46107</v>
      </c>
      <c r="C772" s="28" t="str">
        <f t="shared" si="192"/>
        <v>March</v>
      </c>
      <c r="D772" s="27" t="s">
        <v>67</v>
      </c>
      <c r="E772" s="27" t="s">
        <v>98</v>
      </c>
      <c r="F772" s="27" t="s">
        <v>126</v>
      </c>
      <c r="G772" s="27" t="s">
        <v>63</v>
      </c>
      <c r="H772" s="27" t="s">
        <v>57</v>
      </c>
      <c r="I772" s="27" t="s">
        <v>895</v>
      </c>
      <c r="J772" s="27" t="s">
        <v>161</v>
      </c>
      <c r="K772" s="27">
        <v>947</v>
      </c>
      <c r="L772" s="27">
        <v>892</v>
      </c>
      <c r="M772" s="27">
        <v>819</v>
      </c>
      <c r="N772" s="27">
        <v>73</v>
      </c>
      <c r="O772" s="27">
        <v>26</v>
      </c>
      <c r="P772" s="27">
        <v>20</v>
      </c>
      <c r="Q772" s="27" t="s">
        <v>97</v>
      </c>
      <c r="R772" s="27">
        <v>45</v>
      </c>
      <c r="S772" s="27">
        <v>49</v>
      </c>
      <c r="T772" s="29">
        <v>66.599999999999994</v>
      </c>
      <c r="U772" s="29">
        <v>2.37</v>
      </c>
      <c r="V772" s="29">
        <v>31.47</v>
      </c>
      <c r="W772" s="30">
        <v>19057.580000000002</v>
      </c>
      <c r="X772" s="27">
        <v>7.86</v>
      </c>
      <c r="Y772" s="27" t="s">
        <v>55</v>
      </c>
      <c r="Z772" s="29">
        <v>29</v>
      </c>
      <c r="AA772" s="30">
        <v>29025.759999999998</v>
      </c>
      <c r="AB772" s="29">
        <v>0.91816143497757896</v>
      </c>
      <c r="AC772" s="30">
        <v>22877.81</v>
      </c>
      <c r="AD772" s="30">
        <v>555.49</v>
      </c>
      <c r="AE772" s="27">
        <v>710.25</v>
      </c>
      <c r="AF772" s="29">
        <v>0.97184090109116505</v>
      </c>
      <c r="AG772" s="30">
        <v>5592.46</v>
      </c>
      <c r="AH772" s="31">
        <f t="shared" si="193"/>
        <v>0.94192185850052801</v>
      </c>
      <c r="AI772" s="31">
        <f t="shared" si="194"/>
        <v>8.1838565022421525E-2</v>
      </c>
      <c r="AJ772" s="31">
        <f t="shared" si="195"/>
        <v>2.914798206278027E-2</v>
      </c>
      <c r="AK772" s="31">
        <f t="shared" si="196"/>
        <v>0.91816143497757852</v>
      </c>
      <c r="AL772" s="29">
        <f t="shared" si="197"/>
        <v>0.33333333333333331</v>
      </c>
      <c r="AM772" s="29">
        <f t="shared" si="198"/>
        <v>690.25</v>
      </c>
      <c r="AN772" s="29">
        <f t="shared" si="199"/>
        <v>1.2922854038391887</v>
      </c>
      <c r="AO772" s="29">
        <f t="shared" si="200"/>
        <v>1.3333333333333333</v>
      </c>
      <c r="AP772" s="31">
        <f t="shared" si="201"/>
        <v>0.96921405287939155</v>
      </c>
      <c r="AQ772" s="31">
        <f t="shared" si="202"/>
        <v>0.91816143497757852</v>
      </c>
      <c r="AR772" s="31">
        <f t="shared" si="203"/>
        <v>0.86483632523759246</v>
      </c>
      <c r="AS772" s="29">
        <f t="shared" si="204"/>
        <v>25.647769058295964</v>
      </c>
      <c r="AT772" s="29">
        <f t="shared" si="205"/>
        <v>6.2695739910313906</v>
      </c>
      <c r="AU772" s="27" t="str">
        <f t="shared" si="206"/>
        <v>Medium</v>
      </c>
      <c r="AV772" s="27" t="str">
        <f t="shared" si="207"/>
        <v>Warning</v>
      </c>
      <c r="AW772" s="27"/>
    </row>
    <row r="773" spans="1:49" x14ac:dyDescent="0.25">
      <c r="A773" s="27">
        <v>772</v>
      </c>
      <c r="B773" s="28">
        <v>46128</v>
      </c>
      <c r="C773" s="28" t="str">
        <f t="shared" si="192"/>
        <v>April</v>
      </c>
      <c r="D773" s="27" t="s">
        <v>67</v>
      </c>
      <c r="E773" s="27" t="s">
        <v>129</v>
      </c>
      <c r="F773" s="27" t="s">
        <v>151</v>
      </c>
      <c r="G773" s="27" t="s">
        <v>78</v>
      </c>
      <c r="H773" s="27" t="s">
        <v>51</v>
      </c>
      <c r="I773" s="27" t="s">
        <v>896</v>
      </c>
      <c r="J773" s="27" t="s">
        <v>153</v>
      </c>
      <c r="K773" s="27">
        <v>739</v>
      </c>
      <c r="L773" s="27">
        <v>571</v>
      </c>
      <c r="M773" s="27">
        <v>534</v>
      </c>
      <c r="N773" s="27">
        <v>37</v>
      </c>
      <c r="O773" s="27">
        <v>12</v>
      </c>
      <c r="P773" s="27">
        <v>34</v>
      </c>
      <c r="Q773" s="27" t="s">
        <v>104</v>
      </c>
      <c r="R773" s="27">
        <v>42</v>
      </c>
      <c r="S773" s="27">
        <v>43</v>
      </c>
      <c r="T773" s="29">
        <v>74.599999999999994</v>
      </c>
      <c r="U773" s="29">
        <v>1.96</v>
      </c>
      <c r="V773" s="29">
        <v>23.48</v>
      </c>
      <c r="W773" s="30">
        <v>10864.3</v>
      </c>
      <c r="X773" s="27">
        <v>6.47</v>
      </c>
      <c r="Y773" s="27" t="s">
        <v>55</v>
      </c>
      <c r="Z773" s="29">
        <v>26</v>
      </c>
      <c r="AA773" s="30">
        <v>16693.060000000001</v>
      </c>
      <c r="AB773" s="29">
        <v>0.93520140105078797</v>
      </c>
      <c r="AC773" s="30">
        <v>13987.12</v>
      </c>
      <c r="AD773" s="30">
        <v>228.32154115586701</v>
      </c>
      <c r="AE773" s="27">
        <v>517.29999999999995</v>
      </c>
      <c r="AF773" s="29">
        <v>0.93427411560023199</v>
      </c>
      <c r="AG773" s="30">
        <v>2477.6184588441402</v>
      </c>
      <c r="AH773" s="31">
        <f t="shared" si="193"/>
        <v>0.77266576454668467</v>
      </c>
      <c r="AI773" s="31">
        <f t="shared" si="194"/>
        <v>6.4798598949211902E-2</v>
      </c>
      <c r="AJ773" s="31">
        <f t="shared" si="195"/>
        <v>2.1015761821366025E-2</v>
      </c>
      <c r="AK773" s="31">
        <f t="shared" si="196"/>
        <v>0.93520140105078808</v>
      </c>
      <c r="AL773" s="29">
        <f t="shared" si="197"/>
        <v>0.56666666666666665</v>
      </c>
      <c r="AM773" s="29">
        <f t="shared" si="198"/>
        <v>483.29999999999995</v>
      </c>
      <c r="AN773" s="29">
        <f t="shared" si="199"/>
        <v>1.1814607903993379</v>
      </c>
      <c r="AO773" s="29">
        <f t="shared" si="200"/>
        <v>1.4285714285714286</v>
      </c>
      <c r="AP773" s="31">
        <f t="shared" si="201"/>
        <v>0.82702255327953655</v>
      </c>
      <c r="AQ773" s="31">
        <f t="shared" si="202"/>
        <v>0.93520140105078808</v>
      </c>
      <c r="AR773" s="31">
        <f t="shared" si="203"/>
        <v>0.72259810554803794</v>
      </c>
      <c r="AS773" s="29">
        <f t="shared" si="204"/>
        <v>24.495831873905431</v>
      </c>
      <c r="AT773" s="29">
        <f t="shared" si="205"/>
        <v>4.3390866179407004</v>
      </c>
      <c r="AU773" s="27" t="str">
        <f t="shared" si="206"/>
        <v>High</v>
      </c>
      <c r="AV773" s="27" t="str">
        <f t="shared" si="207"/>
        <v>Critical</v>
      </c>
      <c r="AW773" s="27"/>
    </row>
    <row r="774" spans="1:49" x14ac:dyDescent="0.25">
      <c r="A774" s="27">
        <v>773</v>
      </c>
      <c r="B774" s="28">
        <v>46141</v>
      </c>
      <c r="C774" s="28" t="str">
        <f t="shared" si="192"/>
        <v>April</v>
      </c>
      <c r="D774" s="27" t="s">
        <v>67</v>
      </c>
      <c r="E774" s="27" t="s">
        <v>61</v>
      </c>
      <c r="F774" s="27" t="s">
        <v>62</v>
      </c>
      <c r="G774" s="27" t="s">
        <v>63</v>
      </c>
      <c r="H774" s="27" t="s">
        <v>124</v>
      </c>
      <c r="I774" s="27" t="s">
        <v>897</v>
      </c>
      <c r="J774" s="27" t="s">
        <v>138</v>
      </c>
      <c r="K774" s="27">
        <v>604</v>
      </c>
      <c r="L774" s="27">
        <v>602</v>
      </c>
      <c r="M774" s="27">
        <v>574</v>
      </c>
      <c r="N774" s="27">
        <v>28</v>
      </c>
      <c r="O774" s="27">
        <v>11</v>
      </c>
      <c r="P774" s="27">
        <v>0</v>
      </c>
      <c r="Q774" s="27" t="s">
        <v>60</v>
      </c>
      <c r="R774" s="27">
        <v>57</v>
      </c>
      <c r="S774" s="27">
        <v>62</v>
      </c>
      <c r="T774" s="29">
        <v>70.2</v>
      </c>
      <c r="U774" s="29">
        <v>2.41</v>
      </c>
      <c r="V774" s="29">
        <v>18.899999999999999</v>
      </c>
      <c r="W774" s="30">
        <v>16154.39</v>
      </c>
      <c r="X774" s="27">
        <v>8.0299999999999994</v>
      </c>
      <c r="Y774" s="27" t="s">
        <v>55</v>
      </c>
      <c r="Z774" s="29">
        <v>8</v>
      </c>
      <c r="AA774" s="30">
        <v>26226.38</v>
      </c>
      <c r="AB774" s="29">
        <v>0.95348837209302295</v>
      </c>
      <c r="AC774" s="30">
        <v>19937.990000000002</v>
      </c>
      <c r="AD774" s="30">
        <v>295.17988372092998</v>
      </c>
      <c r="AE774" s="27">
        <v>573.79999999999995</v>
      </c>
      <c r="AF774" s="29">
        <v>1</v>
      </c>
      <c r="AG774" s="30">
        <v>5993.2101162790696</v>
      </c>
      <c r="AH774" s="31">
        <f t="shared" si="193"/>
        <v>0.99668874172185429</v>
      </c>
      <c r="AI774" s="31">
        <f t="shared" si="194"/>
        <v>4.6511627906976744E-2</v>
      </c>
      <c r="AJ774" s="31">
        <f t="shared" si="195"/>
        <v>1.8272425249169437E-2</v>
      </c>
      <c r="AK774" s="31">
        <f t="shared" si="196"/>
        <v>0.95348837209302328</v>
      </c>
      <c r="AL774" s="29">
        <f t="shared" si="197"/>
        <v>0</v>
      </c>
      <c r="AM774" s="29">
        <f t="shared" si="198"/>
        <v>573.79999999999995</v>
      </c>
      <c r="AN774" s="29">
        <f t="shared" si="199"/>
        <v>1.0491460439177414</v>
      </c>
      <c r="AO774" s="29">
        <f t="shared" si="200"/>
        <v>1.0526315789473684</v>
      </c>
      <c r="AP774" s="31">
        <f t="shared" si="201"/>
        <v>0.99668874172185429</v>
      </c>
      <c r="AQ774" s="31">
        <f t="shared" si="202"/>
        <v>0.95348837209302328</v>
      </c>
      <c r="AR774" s="31">
        <f t="shared" si="203"/>
        <v>0.95033112582781454</v>
      </c>
      <c r="AS774" s="29">
        <f t="shared" si="204"/>
        <v>33.119584717607978</v>
      </c>
      <c r="AT774" s="29">
        <f t="shared" si="205"/>
        <v>9.9554985320250324</v>
      </c>
      <c r="AU774" s="27" t="str">
        <f t="shared" si="206"/>
        <v>Low</v>
      </c>
      <c r="AV774" s="27" t="str">
        <f t="shared" si="207"/>
        <v>Normal</v>
      </c>
      <c r="AW774" s="27"/>
    </row>
    <row r="775" spans="1:49" x14ac:dyDescent="0.25">
      <c r="A775" s="27">
        <v>774</v>
      </c>
      <c r="B775" s="28">
        <v>46044</v>
      </c>
      <c r="C775" s="28" t="str">
        <f t="shared" si="192"/>
        <v>January</v>
      </c>
      <c r="D775" s="27" t="s">
        <v>47</v>
      </c>
      <c r="E775" s="27" t="s">
        <v>98</v>
      </c>
      <c r="F775" s="27" t="s">
        <v>126</v>
      </c>
      <c r="G775" s="27" t="s">
        <v>63</v>
      </c>
      <c r="H775" s="27" t="s">
        <v>51</v>
      </c>
      <c r="I775" s="27" t="s">
        <v>898</v>
      </c>
      <c r="J775" s="27" t="s">
        <v>161</v>
      </c>
      <c r="K775" s="27">
        <v>871</v>
      </c>
      <c r="L775" s="27">
        <v>873</v>
      </c>
      <c r="M775" s="27">
        <v>811</v>
      </c>
      <c r="N775" s="27">
        <v>62</v>
      </c>
      <c r="O775" s="27">
        <v>15</v>
      </c>
      <c r="P775" s="27">
        <v>29</v>
      </c>
      <c r="Q775" s="27" t="s">
        <v>91</v>
      </c>
      <c r="R775" s="27">
        <v>42</v>
      </c>
      <c r="S775" s="27">
        <v>41</v>
      </c>
      <c r="T775" s="29">
        <v>72</v>
      </c>
      <c r="U775" s="29">
        <v>2.5</v>
      </c>
      <c r="V775" s="29">
        <v>27.94</v>
      </c>
      <c r="W775" s="30">
        <v>15765.33</v>
      </c>
      <c r="X775" s="27">
        <v>9.41</v>
      </c>
      <c r="Y775" s="27" t="s">
        <v>66</v>
      </c>
      <c r="Z775" s="29">
        <v>1</v>
      </c>
      <c r="AA775" s="30">
        <v>25820.71</v>
      </c>
      <c r="AB775" s="29">
        <v>0.92898052691867095</v>
      </c>
      <c r="AC775" s="30">
        <v>20251.29</v>
      </c>
      <c r="AD775" s="30">
        <v>270.881958762887</v>
      </c>
      <c r="AE775" s="27">
        <v>609.70000000000005</v>
      </c>
      <c r="AF775" s="29">
        <v>0.952435624077415</v>
      </c>
      <c r="AG775" s="30">
        <v>5298.5380412371096</v>
      </c>
      <c r="AH775" s="31">
        <f t="shared" si="193"/>
        <v>1.0022962112514351</v>
      </c>
      <c r="AI775" s="31">
        <f t="shared" si="194"/>
        <v>7.1019473081328749E-2</v>
      </c>
      <c r="AJ775" s="31">
        <f t="shared" si="195"/>
        <v>1.7182130584192441E-2</v>
      </c>
      <c r="AK775" s="31">
        <f t="shared" si="196"/>
        <v>0.92898052691867128</v>
      </c>
      <c r="AL775" s="29">
        <f t="shared" si="197"/>
        <v>0.48333333333333334</v>
      </c>
      <c r="AM775" s="29">
        <f t="shared" si="198"/>
        <v>580.70000000000005</v>
      </c>
      <c r="AN775" s="29">
        <f t="shared" si="199"/>
        <v>1.5033580161873599</v>
      </c>
      <c r="AO775" s="29">
        <f t="shared" si="200"/>
        <v>1.4285714285714286</v>
      </c>
      <c r="AP775" s="31">
        <f t="shared" si="201"/>
        <v>1.0523506113311518</v>
      </c>
      <c r="AQ775" s="31">
        <f t="shared" si="202"/>
        <v>0.92898052691867128</v>
      </c>
      <c r="AR775" s="31">
        <f t="shared" si="203"/>
        <v>0.93111366245694582</v>
      </c>
      <c r="AS775" s="29">
        <f t="shared" si="204"/>
        <v>23.197353951890037</v>
      </c>
      <c r="AT775" s="29">
        <f t="shared" si="205"/>
        <v>6.0693448353231494</v>
      </c>
      <c r="AU775" s="27" t="str">
        <f t="shared" si="206"/>
        <v>Low</v>
      </c>
      <c r="AV775" s="27" t="str">
        <f t="shared" si="207"/>
        <v>Normal</v>
      </c>
      <c r="AW775" s="27"/>
    </row>
    <row r="776" spans="1:49" x14ac:dyDescent="0.25">
      <c r="A776" s="27">
        <v>775</v>
      </c>
      <c r="B776" s="28">
        <v>46200</v>
      </c>
      <c r="C776" s="28" t="str">
        <f t="shared" si="192"/>
        <v>June</v>
      </c>
      <c r="D776" s="27" t="s">
        <v>67</v>
      </c>
      <c r="E776" s="27" t="s">
        <v>76</v>
      </c>
      <c r="F776" s="27" t="s">
        <v>77</v>
      </c>
      <c r="G776" s="27" t="s">
        <v>50</v>
      </c>
      <c r="H776" s="27" t="s">
        <v>57</v>
      </c>
      <c r="I776" s="27" t="s">
        <v>899</v>
      </c>
      <c r="J776" s="27" t="s">
        <v>70</v>
      </c>
      <c r="K776" s="27">
        <v>752</v>
      </c>
      <c r="L776" s="27">
        <v>718</v>
      </c>
      <c r="M776" s="27">
        <v>666</v>
      </c>
      <c r="N776" s="27">
        <v>52</v>
      </c>
      <c r="O776" s="27">
        <v>10</v>
      </c>
      <c r="P776" s="27">
        <v>49</v>
      </c>
      <c r="Q776" s="27" t="s">
        <v>97</v>
      </c>
      <c r="R776" s="27">
        <v>45</v>
      </c>
      <c r="S776" s="27">
        <v>44</v>
      </c>
      <c r="T776" s="29">
        <v>70</v>
      </c>
      <c r="U776" s="29">
        <v>1.82</v>
      </c>
      <c r="V776" s="29">
        <v>26.23</v>
      </c>
      <c r="W776" s="30">
        <v>14369.45</v>
      </c>
      <c r="X776" s="27">
        <v>9.5299999999999994</v>
      </c>
      <c r="Y776" s="27" t="s">
        <v>55</v>
      </c>
      <c r="Z776" s="29">
        <v>20</v>
      </c>
      <c r="AA776" s="30">
        <v>22930.11</v>
      </c>
      <c r="AB776" s="29">
        <v>0.92757660167130895</v>
      </c>
      <c r="AC776" s="30">
        <v>18894.02</v>
      </c>
      <c r="AD776" s="30">
        <v>200.13161559888599</v>
      </c>
      <c r="AE776" s="27">
        <v>564</v>
      </c>
      <c r="AF776" s="29">
        <v>0.91312056737588698</v>
      </c>
      <c r="AG776" s="30">
        <v>3835.9583844011099</v>
      </c>
      <c r="AH776" s="31">
        <f t="shared" si="193"/>
        <v>0.95478723404255317</v>
      </c>
      <c r="AI776" s="31">
        <f t="shared" si="194"/>
        <v>7.2423398328690811E-2</v>
      </c>
      <c r="AJ776" s="31">
        <f t="shared" si="195"/>
        <v>1.3927576601671309E-2</v>
      </c>
      <c r="AK776" s="31">
        <f t="shared" si="196"/>
        <v>0.92757660167130918</v>
      </c>
      <c r="AL776" s="29">
        <f t="shared" si="197"/>
        <v>0.81666666666666665</v>
      </c>
      <c r="AM776" s="29">
        <f t="shared" si="198"/>
        <v>515</v>
      </c>
      <c r="AN776" s="29">
        <f t="shared" si="199"/>
        <v>1.3941747572815535</v>
      </c>
      <c r="AO776" s="29">
        <f t="shared" si="200"/>
        <v>1.3333333333333333</v>
      </c>
      <c r="AP776" s="31">
        <f t="shared" si="201"/>
        <v>1.0456310679611651</v>
      </c>
      <c r="AQ776" s="31">
        <f t="shared" si="202"/>
        <v>0.92757660167130918</v>
      </c>
      <c r="AR776" s="31">
        <f t="shared" si="203"/>
        <v>0.88563829787234094</v>
      </c>
      <c r="AS776" s="29">
        <f t="shared" si="204"/>
        <v>26.314791086350976</v>
      </c>
      <c r="AT776" s="29">
        <f t="shared" si="205"/>
        <v>5.3425604239569777</v>
      </c>
      <c r="AU776" s="27" t="str">
        <f t="shared" si="206"/>
        <v>Low</v>
      </c>
      <c r="AV776" s="27" t="str">
        <f t="shared" si="207"/>
        <v>Normal</v>
      </c>
      <c r="AW776" s="27"/>
    </row>
    <row r="777" spans="1:49" x14ac:dyDescent="0.25">
      <c r="A777" s="27">
        <v>776</v>
      </c>
      <c r="B777" s="28">
        <v>46116</v>
      </c>
      <c r="C777" s="28" t="str">
        <f t="shared" si="192"/>
        <v>April</v>
      </c>
      <c r="D777" s="27" t="s">
        <v>47</v>
      </c>
      <c r="E777" s="27" t="s">
        <v>98</v>
      </c>
      <c r="F777" s="27" t="s">
        <v>105</v>
      </c>
      <c r="G777" s="27" t="s">
        <v>78</v>
      </c>
      <c r="H777" s="27" t="s">
        <v>124</v>
      </c>
      <c r="I777" s="27" t="s">
        <v>900</v>
      </c>
      <c r="J777" s="27" t="s">
        <v>109</v>
      </c>
      <c r="K777" s="27">
        <v>628</v>
      </c>
      <c r="L777" s="27">
        <v>553</v>
      </c>
      <c r="M777" s="27">
        <v>517</v>
      </c>
      <c r="N777" s="27">
        <v>36</v>
      </c>
      <c r="O777" s="27">
        <v>15</v>
      </c>
      <c r="P777" s="27">
        <v>33</v>
      </c>
      <c r="Q777" s="27" t="s">
        <v>91</v>
      </c>
      <c r="R777" s="27">
        <v>57</v>
      </c>
      <c r="S777" s="27">
        <v>62</v>
      </c>
      <c r="T777" s="29">
        <v>72.2</v>
      </c>
      <c r="U777" s="29">
        <v>1.79</v>
      </c>
      <c r="V777" s="29">
        <v>21.43</v>
      </c>
      <c r="W777" s="30">
        <v>14543.77</v>
      </c>
      <c r="X777" s="27">
        <v>6.73</v>
      </c>
      <c r="Y777" s="27" t="s">
        <v>55</v>
      </c>
      <c r="Z777" s="29">
        <v>12</v>
      </c>
      <c r="AA777" s="30">
        <v>24483.34</v>
      </c>
      <c r="AB777" s="29">
        <v>0.93490054249547905</v>
      </c>
      <c r="AC777" s="30">
        <v>17765.14</v>
      </c>
      <c r="AD777" s="30">
        <v>394.49647377938498</v>
      </c>
      <c r="AE777" s="27">
        <v>596.6</v>
      </c>
      <c r="AF777" s="29">
        <v>0.94468655715722405</v>
      </c>
      <c r="AG777" s="30">
        <v>6323.70352622062</v>
      </c>
      <c r="AH777" s="31">
        <f t="shared" si="193"/>
        <v>0.88057324840764328</v>
      </c>
      <c r="AI777" s="31">
        <f t="shared" si="194"/>
        <v>6.50994575045208E-2</v>
      </c>
      <c r="AJ777" s="31">
        <f t="shared" si="195"/>
        <v>2.7124773960216998E-2</v>
      </c>
      <c r="AK777" s="31">
        <f t="shared" si="196"/>
        <v>0.93490054249547916</v>
      </c>
      <c r="AL777" s="29">
        <f t="shared" si="197"/>
        <v>0.55000000000000004</v>
      </c>
      <c r="AM777" s="29">
        <f t="shared" si="198"/>
        <v>563.6</v>
      </c>
      <c r="AN777" s="29">
        <f t="shared" si="199"/>
        <v>0.9811923349893541</v>
      </c>
      <c r="AO777" s="29">
        <f t="shared" si="200"/>
        <v>1.0526315789473684</v>
      </c>
      <c r="AP777" s="31">
        <f t="shared" si="201"/>
        <v>0.93213271823988642</v>
      </c>
      <c r="AQ777" s="31">
        <f t="shared" si="202"/>
        <v>0.93490054249547916</v>
      </c>
      <c r="AR777" s="31">
        <f t="shared" si="203"/>
        <v>0.82324840764331186</v>
      </c>
      <c r="AS777" s="29">
        <f t="shared" si="204"/>
        <v>32.125027124773958</v>
      </c>
      <c r="AT777" s="29">
        <f t="shared" si="205"/>
        <v>11.435268582677432</v>
      </c>
      <c r="AU777" s="27" t="str">
        <f t="shared" si="206"/>
        <v>Medium</v>
      </c>
      <c r="AV777" s="27" t="str">
        <f t="shared" si="207"/>
        <v>Warning</v>
      </c>
      <c r="AW777" s="27"/>
    </row>
    <row r="778" spans="1:49" x14ac:dyDescent="0.25">
      <c r="A778" s="27">
        <v>777</v>
      </c>
      <c r="B778" s="28">
        <v>46078</v>
      </c>
      <c r="C778" s="28" t="str">
        <f t="shared" si="192"/>
        <v>February</v>
      </c>
      <c r="D778" s="27" t="s">
        <v>47</v>
      </c>
      <c r="E778" s="27" t="s">
        <v>48</v>
      </c>
      <c r="F778" s="27" t="s">
        <v>72</v>
      </c>
      <c r="G778" s="27" t="s">
        <v>50</v>
      </c>
      <c r="H778" s="27" t="s">
        <v>51</v>
      </c>
      <c r="I778" s="27" t="s">
        <v>901</v>
      </c>
      <c r="J778" s="27" t="s">
        <v>107</v>
      </c>
      <c r="K778" s="27">
        <v>959</v>
      </c>
      <c r="L778" s="27">
        <v>936</v>
      </c>
      <c r="M778" s="27">
        <v>899</v>
      </c>
      <c r="N778" s="27">
        <v>37</v>
      </c>
      <c r="O778" s="27">
        <v>12</v>
      </c>
      <c r="P778" s="27">
        <v>11</v>
      </c>
      <c r="Q778" s="27" t="s">
        <v>97</v>
      </c>
      <c r="R778" s="27">
        <v>42</v>
      </c>
      <c r="S778" s="27">
        <v>45</v>
      </c>
      <c r="T778" s="29">
        <v>78.900000000000006</v>
      </c>
      <c r="U778" s="29">
        <v>1.6</v>
      </c>
      <c r="V778" s="29">
        <v>31.18</v>
      </c>
      <c r="W778" s="30">
        <v>16794.7</v>
      </c>
      <c r="X778" s="27">
        <v>9.44</v>
      </c>
      <c r="Y778" s="27" t="s">
        <v>55</v>
      </c>
      <c r="Z778" s="29">
        <v>23</v>
      </c>
      <c r="AA778" s="30">
        <v>29012.68</v>
      </c>
      <c r="AB778" s="29">
        <v>0.96047008547008605</v>
      </c>
      <c r="AC778" s="30">
        <v>21323.32</v>
      </c>
      <c r="AD778" s="30">
        <v>215.316666666667</v>
      </c>
      <c r="AE778" s="27">
        <v>671.3</v>
      </c>
      <c r="AF778" s="29">
        <v>0.98361388350960799</v>
      </c>
      <c r="AG778" s="30">
        <v>7474.0433333333303</v>
      </c>
      <c r="AH778" s="31">
        <f t="shared" si="193"/>
        <v>0.97601668404588116</v>
      </c>
      <c r="AI778" s="31">
        <f t="shared" si="194"/>
        <v>3.9529914529914528E-2</v>
      </c>
      <c r="AJ778" s="31">
        <f t="shared" si="195"/>
        <v>1.282051282051282E-2</v>
      </c>
      <c r="AK778" s="31">
        <f t="shared" si="196"/>
        <v>0.9604700854700855</v>
      </c>
      <c r="AL778" s="29">
        <f t="shared" si="197"/>
        <v>0.18333333333333332</v>
      </c>
      <c r="AM778" s="29">
        <f t="shared" si="198"/>
        <v>660.3</v>
      </c>
      <c r="AN778" s="29">
        <f t="shared" si="199"/>
        <v>1.41753748296229</v>
      </c>
      <c r="AO778" s="29">
        <f t="shared" si="200"/>
        <v>1.4285714285714286</v>
      </c>
      <c r="AP778" s="31">
        <f t="shared" si="201"/>
        <v>0.99227623807360299</v>
      </c>
      <c r="AQ778" s="31">
        <f t="shared" si="202"/>
        <v>0.9604700854700855</v>
      </c>
      <c r="AR778" s="31">
        <f t="shared" si="203"/>
        <v>0.93743482794577671</v>
      </c>
      <c r="AS778" s="29">
        <f t="shared" si="204"/>
        <v>22.781324786324785</v>
      </c>
      <c r="AT778" s="29">
        <f t="shared" si="205"/>
        <v>7.9850890313390277</v>
      </c>
      <c r="AU778" s="27" t="str">
        <f t="shared" si="206"/>
        <v>Low</v>
      </c>
      <c r="AV778" s="27" t="str">
        <f t="shared" si="207"/>
        <v>Normal</v>
      </c>
      <c r="AW778" s="27"/>
    </row>
    <row r="779" spans="1:49" x14ac:dyDescent="0.25">
      <c r="A779" s="27">
        <v>778</v>
      </c>
      <c r="B779" s="28">
        <v>46076</v>
      </c>
      <c r="C779" s="28" t="str">
        <f t="shared" si="192"/>
        <v>February</v>
      </c>
      <c r="D779" s="27" t="s">
        <v>47</v>
      </c>
      <c r="E779" s="27" t="s">
        <v>48</v>
      </c>
      <c r="F779" s="27" t="s">
        <v>72</v>
      </c>
      <c r="G779" s="27" t="s">
        <v>78</v>
      </c>
      <c r="H779" s="27" t="s">
        <v>57</v>
      </c>
      <c r="I779" s="27" t="s">
        <v>902</v>
      </c>
      <c r="J779" s="27" t="s">
        <v>59</v>
      </c>
      <c r="K779" s="27">
        <v>929</v>
      </c>
      <c r="L779" s="27">
        <v>764</v>
      </c>
      <c r="M779" s="27">
        <v>732</v>
      </c>
      <c r="N779" s="27">
        <v>32</v>
      </c>
      <c r="O779" s="27">
        <v>13</v>
      </c>
      <c r="P779" s="27">
        <v>32</v>
      </c>
      <c r="Q779" s="27" t="s">
        <v>97</v>
      </c>
      <c r="R779" s="27">
        <v>45</v>
      </c>
      <c r="S779" s="27">
        <v>50</v>
      </c>
      <c r="T779" s="29">
        <v>78</v>
      </c>
      <c r="U779" s="29">
        <v>2.2000000000000002</v>
      </c>
      <c r="V779" s="29">
        <v>31.49</v>
      </c>
      <c r="W779" s="30">
        <v>16220.5</v>
      </c>
      <c r="X779" s="27">
        <v>8.41</v>
      </c>
      <c r="Y779" s="27" t="s">
        <v>55</v>
      </c>
      <c r="Z779" s="29">
        <v>28</v>
      </c>
      <c r="AA779" s="30">
        <v>25549.63</v>
      </c>
      <c r="AB779" s="29">
        <v>0.95811518324607303</v>
      </c>
      <c r="AC779" s="30">
        <v>20288.41</v>
      </c>
      <c r="AD779" s="30">
        <v>276.003272251309</v>
      </c>
      <c r="AE779" s="27">
        <v>696.75</v>
      </c>
      <c r="AF779" s="29">
        <v>0.95407247936849704</v>
      </c>
      <c r="AG779" s="30">
        <v>4985.2167277486897</v>
      </c>
      <c r="AH779" s="31">
        <f t="shared" si="193"/>
        <v>0.82238966630785792</v>
      </c>
      <c r="AI779" s="31">
        <f t="shared" si="194"/>
        <v>4.1884816753926704E-2</v>
      </c>
      <c r="AJ779" s="31">
        <f t="shared" si="195"/>
        <v>1.7015706806282723E-2</v>
      </c>
      <c r="AK779" s="31">
        <f t="shared" si="196"/>
        <v>0.95811518324607325</v>
      </c>
      <c r="AL779" s="29">
        <f t="shared" si="197"/>
        <v>0.53333333333333333</v>
      </c>
      <c r="AM779" s="29">
        <f t="shared" si="198"/>
        <v>664.75</v>
      </c>
      <c r="AN779" s="29">
        <f t="shared" si="199"/>
        <v>1.1493042497179391</v>
      </c>
      <c r="AO779" s="29">
        <f t="shared" si="200"/>
        <v>1.3333333333333333</v>
      </c>
      <c r="AP779" s="31">
        <f t="shared" si="201"/>
        <v>0.86197818728845432</v>
      </c>
      <c r="AQ779" s="31">
        <f t="shared" si="202"/>
        <v>0.95811518324607325</v>
      </c>
      <c r="AR779" s="31">
        <f t="shared" si="203"/>
        <v>0.78794402583423073</v>
      </c>
      <c r="AS779" s="29">
        <f t="shared" si="204"/>
        <v>26.555510471204187</v>
      </c>
      <c r="AT779" s="29">
        <f t="shared" si="205"/>
        <v>6.5251527850113735</v>
      </c>
      <c r="AU779" s="27" t="str">
        <f t="shared" si="206"/>
        <v>High</v>
      </c>
      <c r="AV779" s="27" t="str">
        <f t="shared" si="207"/>
        <v>Warning</v>
      </c>
      <c r="AW779" s="27"/>
    </row>
    <row r="780" spans="1:49" x14ac:dyDescent="0.25">
      <c r="A780" s="27">
        <v>779</v>
      </c>
      <c r="B780" s="28">
        <v>46064</v>
      </c>
      <c r="C780" s="28" t="str">
        <f t="shared" si="192"/>
        <v>February</v>
      </c>
      <c r="D780" s="27" t="s">
        <v>47</v>
      </c>
      <c r="E780" s="27" t="s">
        <v>98</v>
      </c>
      <c r="F780" s="27" t="s">
        <v>99</v>
      </c>
      <c r="G780" s="27" t="s">
        <v>50</v>
      </c>
      <c r="H780" s="27" t="s">
        <v>79</v>
      </c>
      <c r="I780" s="27" t="s">
        <v>903</v>
      </c>
      <c r="J780" s="27" t="s">
        <v>218</v>
      </c>
      <c r="K780" s="27">
        <v>831</v>
      </c>
      <c r="L780" s="27">
        <v>862</v>
      </c>
      <c r="M780" s="27">
        <v>827</v>
      </c>
      <c r="N780" s="27">
        <v>35</v>
      </c>
      <c r="O780" s="27">
        <v>8</v>
      </c>
      <c r="P780" s="27">
        <v>53</v>
      </c>
      <c r="Q780" s="27" t="s">
        <v>104</v>
      </c>
      <c r="R780" s="27">
        <v>49</v>
      </c>
      <c r="S780" s="27">
        <v>52</v>
      </c>
      <c r="T780" s="29">
        <v>78.7</v>
      </c>
      <c r="U780" s="29">
        <v>1.62</v>
      </c>
      <c r="V780" s="29">
        <v>28.85</v>
      </c>
      <c r="W780" s="30">
        <v>19193.21</v>
      </c>
      <c r="X780" s="27">
        <v>10.42</v>
      </c>
      <c r="Y780" s="27" t="s">
        <v>71</v>
      </c>
      <c r="Z780" s="29">
        <v>22</v>
      </c>
      <c r="AA780" s="30">
        <v>30577.59</v>
      </c>
      <c r="AB780" s="29">
        <v>0.95939675174013905</v>
      </c>
      <c r="AC780" s="30">
        <v>24141.86</v>
      </c>
      <c r="AD780" s="30">
        <v>178.127238979118</v>
      </c>
      <c r="AE780" s="27">
        <v>678.65</v>
      </c>
      <c r="AF780" s="29">
        <v>0.92190377956236702</v>
      </c>
      <c r="AG780" s="30">
        <v>6257.6027610208803</v>
      </c>
      <c r="AH780" s="31">
        <f t="shared" si="193"/>
        <v>1.0373044524669073</v>
      </c>
      <c r="AI780" s="31">
        <f t="shared" si="194"/>
        <v>4.0603248259860787E-2</v>
      </c>
      <c r="AJ780" s="31">
        <f t="shared" si="195"/>
        <v>9.2807424593967514E-3</v>
      </c>
      <c r="AK780" s="31">
        <f t="shared" si="196"/>
        <v>0.95939675174013916</v>
      </c>
      <c r="AL780" s="29">
        <f t="shared" si="197"/>
        <v>0.8833333333333333</v>
      </c>
      <c r="AM780" s="29">
        <f t="shared" si="198"/>
        <v>625.65</v>
      </c>
      <c r="AN780" s="29">
        <f t="shared" si="199"/>
        <v>1.3777671221929195</v>
      </c>
      <c r="AO780" s="29">
        <f t="shared" si="200"/>
        <v>1.2244897959183674</v>
      </c>
      <c r="AP780" s="31">
        <f t="shared" si="201"/>
        <v>1.1251764831242177</v>
      </c>
      <c r="AQ780" s="31">
        <f t="shared" si="202"/>
        <v>0.95939675174013916</v>
      </c>
      <c r="AR780" s="31">
        <f t="shared" si="203"/>
        <v>0.99518652226233528</v>
      </c>
      <c r="AS780" s="29">
        <f t="shared" si="204"/>
        <v>28.006798143851508</v>
      </c>
      <c r="AT780" s="29">
        <f t="shared" si="205"/>
        <v>7.2593999547806032</v>
      </c>
      <c r="AU780" s="27" t="str">
        <f t="shared" si="206"/>
        <v>High</v>
      </c>
      <c r="AV780" s="27" t="str">
        <f t="shared" si="207"/>
        <v>Normal</v>
      </c>
      <c r="AW780" s="27"/>
    </row>
    <row r="781" spans="1:49" x14ac:dyDescent="0.25">
      <c r="A781" s="27">
        <v>780</v>
      </c>
      <c r="B781" s="28">
        <v>46115</v>
      </c>
      <c r="C781" s="28" t="str">
        <f t="shared" si="192"/>
        <v>April</v>
      </c>
      <c r="D781" s="27" t="s">
        <v>47</v>
      </c>
      <c r="E781" s="27" t="s">
        <v>76</v>
      </c>
      <c r="F781" s="27" t="s">
        <v>119</v>
      </c>
      <c r="G781" s="27" t="s">
        <v>50</v>
      </c>
      <c r="H781" s="27" t="s">
        <v>57</v>
      </c>
      <c r="I781" s="27" t="s">
        <v>904</v>
      </c>
      <c r="J781" s="27" t="s">
        <v>101</v>
      </c>
      <c r="K781" s="27">
        <v>853</v>
      </c>
      <c r="L781" s="27">
        <v>814</v>
      </c>
      <c r="M781" s="27">
        <v>739</v>
      </c>
      <c r="N781" s="27">
        <v>75</v>
      </c>
      <c r="O781" s="27">
        <v>23</v>
      </c>
      <c r="P781" s="27">
        <v>34</v>
      </c>
      <c r="Q781" s="27" t="s">
        <v>54</v>
      </c>
      <c r="R781" s="27">
        <v>45</v>
      </c>
      <c r="S781" s="27">
        <v>51</v>
      </c>
      <c r="T781" s="29">
        <v>72.900000000000006</v>
      </c>
      <c r="U781" s="29">
        <v>1.74</v>
      </c>
      <c r="V781" s="29">
        <v>32.770000000000003</v>
      </c>
      <c r="W781" s="30">
        <v>17136.96</v>
      </c>
      <c r="X781" s="27">
        <v>7.34</v>
      </c>
      <c r="Y781" s="27" t="s">
        <v>55</v>
      </c>
      <c r="Z781" s="29">
        <v>9</v>
      </c>
      <c r="AA781" s="30">
        <v>25475.63</v>
      </c>
      <c r="AB781" s="29">
        <v>0.90786240786240802</v>
      </c>
      <c r="AC781" s="30">
        <v>20734.89</v>
      </c>
      <c r="AD781" s="30">
        <v>484.21385749385701</v>
      </c>
      <c r="AE781" s="27">
        <v>639.75</v>
      </c>
      <c r="AF781" s="29">
        <v>0.94685423993747597</v>
      </c>
      <c r="AG781" s="30">
        <v>4256.5261425061399</v>
      </c>
      <c r="AH781" s="31">
        <f t="shared" si="193"/>
        <v>0.95427901524032821</v>
      </c>
      <c r="AI781" s="31">
        <f t="shared" si="194"/>
        <v>9.2137592137592136E-2</v>
      </c>
      <c r="AJ781" s="31">
        <f t="shared" si="195"/>
        <v>2.8255528255528257E-2</v>
      </c>
      <c r="AK781" s="31">
        <f t="shared" si="196"/>
        <v>0.90786240786240791</v>
      </c>
      <c r="AL781" s="29">
        <f t="shared" si="197"/>
        <v>0.56666666666666665</v>
      </c>
      <c r="AM781" s="29">
        <f t="shared" si="198"/>
        <v>605.75</v>
      </c>
      <c r="AN781" s="29">
        <f t="shared" si="199"/>
        <v>1.3437886917044986</v>
      </c>
      <c r="AO781" s="29">
        <f t="shared" si="200"/>
        <v>1.3333333333333333</v>
      </c>
      <c r="AP781" s="31">
        <f t="shared" si="201"/>
        <v>1.007841518778374</v>
      </c>
      <c r="AQ781" s="31">
        <f t="shared" si="202"/>
        <v>0.90786240786240791</v>
      </c>
      <c r="AR781" s="31">
        <f t="shared" si="203"/>
        <v>0.86635404454865228</v>
      </c>
      <c r="AS781" s="29">
        <f t="shared" si="204"/>
        <v>25.472837837837837</v>
      </c>
      <c r="AT781" s="29">
        <f t="shared" si="205"/>
        <v>5.2291475952163884</v>
      </c>
      <c r="AU781" s="27" t="str">
        <f t="shared" si="206"/>
        <v>Medium</v>
      </c>
      <c r="AV781" s="27" t="str">
        <f t="shared" si="207"/>
        <v>Warning</v>
      </c>
      <c r="AW781" s="27"/>
    </row>
    <row r="782" spans="1:49" x14ac:dyDescent="0.25">
      <c r="A782" s="27">
        <v>781</v>
      </c>
      <c r="B782" s="28">
        <v>46071</v>
      </c>
      <c r="C782" s="28" t="str">
        <f t="shared" si="192"/>
        <v>February</v>
      </c>
      <c r="D782" s="27" t="s">
        <v>67</v>
      </c>
      <c r="E782" s="27" t="s">
        <v>76</v>
      </c>
      <c r="F782" s="27" t="s">
        <v>77</v>
      </c>
      <c r="G782" s="27" t="s">
        <v>78</v>
      </c>
      <c r="H782" s="27" t="s">
        <v>51</v>
      </c>
      <c r="I782" s="27" t="s">
        <v>905</v>
      </c>
      <c r="J782" s="27" t="s">
        <v>140</v>
      </c>
      <c r="K782" s="27">
        <v>764</v>
      </c>
      <c r="L782" s="27">
        <v>671</v>
      </c>
      <c r="M782" s="27">
        <v>621</v>
      </c>
      <c r="N782" s="27">
        <v>50</v>
      </c>
      <c r="O782" s="27">
        <v>17</v>
      </c>
      <c r="P782" s="27">
        <v>36</v>
      </c>
      <c r="Q782" s="27" t="s">
        <v>94</v>
      </c>
      <c r="R782" s="27">
        <v>42</v>
      </c>
      <c r="S782" s="27">
        <v>43</v>
      </c>
      <c r="T782" s="29">
        <v>78.3</v>
      </c>
      <c r="U782" s="29">
        <v>1.22</v>
      </c>
      <c r="V782" s="29">
        <v>29.11</v>
      </c>
      <c r="W782" s="30">
        <v>12345.6</v>
      </c>
      <c r="X782" s="27">
        <v>6.47</v>
      </c>
      <c r="Y782" s="27" t="s">
        <v>110</v>
      </c>
      <c r="Z782" s="29">
        <v>33</v>
      </c>
      <c r="AA782" s="30">
        <v>19623.22</v>
      </c>
      <c r="AB782" s="29">
        <v>0.92548435171386001</v>
      </c>
      <c r="AC782" s="30">
        <v>15519.09</v>
      </c>
      <c r="AD782" s="30">
        <v>312.77973174366599</v>
      </c>
      <c r="AE782" s="27">
        <v>534.79999999999995</v>
      </c>
      <c r="AF782" s="29">
        <v>0.93268511593118897</v>
      </c>
      <c r="AG782" s="30">
        <v>3791.3502682563399</v>
      </c>
      <c r="AH782" s="31">
        <f t="shared" si="193"/>
        <v>0.87827225130890052</v>
      </c>
      <c r="AI782" s="31">
        <f t="shared" si="194"/>
        <v>7.4515648286140088E-2</v>
      </c>
      <c r="AJ782" s="31">
        <f t="shared" si="195"/>
        <v>2.533532041728763E-2</v>
      </c>
      <c r="AK782" s="31">
        <f t="shared" si="196"/>
        <v>0.9254843517138599</v>
      </c>
      <c r="AL782" s="29">
        <f t="shared" si="197"/>
        <v>0.6</v>
      </c>
      <c r="AM782" s="29">
        <f t="shared" si="198"/>
        <v>498.79999999999995</v>
      </c>
      <c r="AN782" s="29">
        <f t="shared" si="199"/>
        <v>1.3452285485164395</v>
      </c>
      <c r="AO782" s="29">
        <f t="shared" si="200"/>
        <v>1.4285714285714286</v>
      </c>
      <c r="AP782" s="31">
        <f t="shared" si="201"/>
        <v>0.94165998396150763</v>
      </c>
      <c r="AQ782" s="31">
        <f t="shared" si="202"/>
        <v>0.9254843517138599</v>
      </c>
      <c r="AR782" s="31">
        <f t="shared" si="203"/>
        <v>0.81282722513088979</v>
      </c>
      <c r="AS782" s="29">
        <f t="shared" si="204"/>
        <v>23.128301043219075</v>
      </c>
      <c r="AT782" s="29">
        <f t="shared" si="205"/>
        <v>5.6502984623790464</v>
      </c>
      <c r="AU782" s="27" t="str">
        <f t="shared" si="206"/>
        <v>Medium</v>
      </c>
      <c r="AV782" s="27" t="str">
        <f t="shared" si="207"/>
        <v>Warning</v>
      </c>
      <c r="AW782" s="27"/>
    </row>
    <row r="783" spans="1:49" x14ac:dyDescent="0.25">
      <c r="A783" s="27">
        <v>782</v>
      </c>
      <c r="B783" s="28">
        <v>46032</v>
      </c>
      <c r="C783" s="28" t="str">
        <f t="shared" si="192"/>
        <v>January</v>
      </c>
      <c r="D783" s="27" t="s">
        <v>47</v>
      </c>
      <c r="E783" s="27" t="s">
        <v>76</v>
      </c>
      <c r="F783" s="27" t="s">
        <v>77</v>
      </c>
      <c r="G783" s="27" t="s">
        <v>50</v>
      </c>
      <c r="H783" s="27" t="s">
        <v>124</v>
      </c>
      <c r="I783" s="27" t="s">
        <v>906</v>
      </c>
      <c r="J783" s="27" t="s">
        <v>59</v>
      </c>
      <c r="K783" s="27">
        <v>697</v>
      </c>
      <c r="L783" s="27">
        <v>661</v>
      </c>
      <c r="M783" s="27">
        <v>613</v>
      </c>
      <c r="N783" s="27">
        <v>48</v>
      </c>
      <c r="O783" s="27">
        <v>20</v>
      </c>
      <c r="P783" s="27">
        <v>6</v>
      </c>
      <c r="Q783" s="27" t="s">
        <v>97</v>
      </c>
      <c r="R783" s="27">
        <v>57</v>
      </c>
      <c r="S783" s="27">
        <v>56</v>
      </c>
      <c r="T783" s="29">
        <v>74.5</v>
      </c>
      <c r="U783" s="29">
        <v>2.2599999999999998</v>
      </c>
      <c r="V783" s="29">
        <v>25.21</v>
      </c>
      <c r="W783" s="30">
        <v>18303.05</v>
      </c>
      <c r="X783" s="27">
        <v>7.4</v>
      </c>
      <c r="Y783" s="27" t="s">
        <v>55</v>
      </c>
      <c r="Z783" s="29">
        <v>37</v>
      </c>
      <c r="AA783" s="30">
        <v>28802.26</v>
      </c>
      <c r="AB783" s="29">
        <v>0.92738275340393295</v>
      </c>
      <c r="AC783" s="30">
        <v>21859.94</v>
      </c>
      <c r="AD783" s="30">
        <v>553.79878971255698</v>
      </c>
      <c r="AE783" s="27">
        <v>662.15</v>
      </c>
      <c r="AF783" s="29">
        <v>0.990938609076493</v>
      </c>
      <c r="AG783" s="30">
        <v>6388.5212102874402</v>
      </c>
      <c r="AH783" s="31">
        <f t="shared" si="193"/>
        <v>0.94835007173601149</v>
      </c>
      <c r="AI783" s="31">
        <f t="shared" si="194"/>
        <v>7.2617246596066568E-2</v>
      </c>
      <c r="AJ783" s="31">
        <f t="shared" si="195"/>
        <v>3.0257186081694403E-2</v>
      </c>
      <c r="AK783" s="31">
        <f t="shared" si="196"/>
        <v>0.92738275340393339</v>
      </c>
      <c r="AL783" s="29">
        <f t="shared" si="197"/>
        <v>0.1</v>
      </c>
      <c r="AM783" s="29">
        <f t="shared" si="198"/>
        <v>656.15</v>
      </c>
      <c r="AN783" s="29">
        <f t="shared" si="199"/>
        <v>1.0073916025299094</v>
      </c>
      <c r="AO783" s="29">
        <f t="shared" si="200"/>
        <v>1.0526315789473684</v>
      </c>
      <c r="AP783" s="31">
        <f t="shared" si="201"/>
        <v>0.95702202240341405</v>
      </c>
      <c r="AQ783" s="31">
        <f t="shared" si="202"/>
        <v>0.92738275340393339</v>
      </c>
      <c r="AR783" s="31">
        <f t="shared" si="203"/>
        <v>0.87948350071736003</v>
      </c>
      <c r="AS783" s="29">
        <f t="shared" si="204"/>
        <v>33.071013615733733</v>
      </c>
      <c r="AT783" s="29">
        <f t="shared" si="205"/>
        <v>9.6649337523259309</v>
      </c>
      <c r="AU783" s="27" t="str">
        <f t="shared" si="206"/>
        <v>Medium</v>
      </c>
      <c r="AV783" s="27" t="str">
        <f t="shared" si="207"/>
        <v>Normal</v>
      </c>
      <c r="AW783" s="27"/>
    </row>
    <row r="784" spans="1:49" x14ac:dyDescent="0.25">
      <c r="A784" s="27">
        <v>783</v>
      </c>
      <c r="B784" s="28">
        <v>46061</v>
      </c>
      <c r="C784" s="28" t="str">
        <f t="shared" si="192"/>
        <v>February</v>
      </c>
      <c r="D784" s="27" t="s">
        <v>47</v>
      </c>
      <c r="E784" s="27" t="s">
        <v>48</v>
      </c>
      <c r="F784" s="27" t="s">
        <v>56</v>
      </c>
      <c r="G784" s="27" t="s">
        <v>50</v>
      </c>
      <c r="H784" s="27" t="s">
        <v>57</v>
      </c>
      <c r="I784" s="27" t="s">
        <v>907</v>
      </c>
      <c r="J784" s="27" t="s">
        <v>59</v>
      </c>
      <c r="K784" s="27">
        <v>875</v>
      </c>
      <c r="L784" s="27">
        <v>923</v>
      </c>
      <c r="M784" s="27">
        <v>866</v>
      </c>
      <c r="N784" s="27">
        <v>57</v>
      </c>
      <c r="O784" s="27">
        <v>22</v>
      </c>
      <c r="P784" s="27">
        <v>31</v>
      </c>
      <c r="Q784" s="27" t="s">
        <v>91</v>
      </c>
      <c r="R784" s="27">
        <v>45</v>
      </c>
      <c r="S784" s="27">
        <v>48</v>
      </c>
      <c r="T784" s="29">
        <v>68.900000000000006</v>
      </c>
      <c r="U784" s="29">
        <v>1.98</v>
      </c>
      <c r="V784" s="29">
        <v>31.63</v>
      </c>
      <c r="W784" s="30">
        <v>18919.45</v>
      </c>
      <c r="X784" s="27">
        <v>9.68</v>
      </c>
      <c r="Y784" s="27" t="s">
        <v>71</v>
      </c>
      <c r="Z784" s="29">
        <v>26</v>
      </c>
      <c r="AA784" s="30">
        <v>29422.06</v>
      </c>
      <c r="AB784" s="29">
        <v>0.93824485373781197</v>
      </c>
      <c r="AC784" s="30">
        <v>23560.12</v>
      </c>
      <c r="AD784" s="30">
        <v>450.9511375948</v>
      </c>
      <c r="AE784" s="27">
        <v>656.25</v>
      </c>
      <c r="AF784" s="29">
        <v>0.95276190476190503</v>
      </c>
      <c r="AG784" s="30">
        <v>5410.9888624052001</v>
      </c>
      <c r="AH784" s="31">
        <f t="shared" si="193"/>
        <v>1.0548571428571429</v>
      </c>
      <c r="AI784" s="31">
        <f t="shared" si="194"/>
        <v>6.1755146262188518E-2</v>
      </c>
      <c r="AJ784" s="31">
        <f t="shared" si="195"/>
        <v>2.3835319609967497E-2</v>
      </c>
      <c r="AK784" s="31">
        <f t="shared" si="196"/>
        <v>0.93824485373781152</v>
      </c>
      <c r="AL784" s="29">
        <f t="shared" si="197"/>
        <v>0.51666666666666672</v>
      </c>
      <c r="AM784" s="29">
        <f t="shared" si="198"/>
        <v>625.25</v>
      </c>
      <c r="AN784" s="29">
        <f t="shared" si="199"/>
        <v>1.4762095161935227</v>
      </c>
      <c r="AO784" s="29">
        <f t="shared" si="200"/>
        <v>1.3333333333333333</v>
      </c>
      <c r="AP784" s="31">
        <f t="shared" si="201"/>
        <v>1.1071571371451421</v>
      </c>
      <c r="AQ784" s="31">
        <f t="shared" si="202"/>
        <v>0.93824485373781152</v>
      </c>
      <c r="AR784" s="31">
        <f t="shared" si="203"/>
        <v>0.98971428571428621</v>
      </c>
      <c r="AS784" s="29">
        <f t="shared" si="204"/>
        <v>25.525590465872156</v>
      </c>
      <c r="AT784" s="29">
        <f t="shared" si="205"/>
        <v>5.8623931337001087</v>
      </c>
      <c r="AU784" s="27" t="str">
        <f t="shared" si="206"/>
        <v>High</v>
      </c>
      <c r="AV784" s="27" t="str">
        <f t="shared" si="207"/>
        <v>Normal</v>
      </c>
      <c r="AW784" s="27"/>
    </row>
    <row r="785" spans="1:49" x14ac:dyDescent="0.25">
      <c r="A785" s="27">
        <v>784</v>
      </c>
      <c r="B785" s="28">
        <v>46141</v>
      </c>
      <c r="C785" s="28" t="str">
        <f t="shared" si="192"/>
        <v>April</v>
      </c>
      <c r="D785" s="27" t="s">
        <v>47</v>
      </c>
      <c r="E785" s="27" t="s">
        <v>98</v>
      </c>
      <c r="F785" s="27" t="s">
        <v>105</v>
      </c>
      <c r="G785" s="27" t="s">
        <v>78</v>
      </c>
      <c r="H785" s="27" t="s">
        <v>124</v>
      </c>
      <c r="I785" s="27" t="s">
        <v>908</v>
      </c>
      <c r="J785" s="27" t="s">
        <v>90</v>
      </c>
      <c r="K785" s="27">
        <v>716</v>
      </c>
      <c r="L785" s="27">
        <v>651</v>
      </c>
      <c r="M785" s="27">
        <v>602</v>
      </c>
      <c r="N785" s="27">
        <v>49</v>
      </c>
      <c r="O785" s="27">
        <v>19</v>
      </c>
      <c r="P785" s="27">
        <v>11</v>
      </c>
      <c r="Q785" s="27" t="s">
        <v>97</v>
      </c>
      <c r="R785" s="27">
        <v>57</v>
      </c>
      <c r="S785" s="27">
        <v>58</v>
      </c>
      <c r="T785" s="29">
        <v>69.599999999999994</v>
      </c>
      <c r="U785" s="29">
        <v>1.61</v>
      </c>
      <c r="V785" s="29">
        <v>22.25</v>
      </c>
      <c r="W785" s="30">
        <v>17277.78</v>
      </c>
      <c r="X785" s="27">
        <v>9.39</v>
      </c>
      <c r="Y785" s="27" t="s">
        <v>66</v>
      </c>
      <c r="Z785" s="29">
        <v>33</v>
      </c>
      <c r="AA785" s="30">
        <v>27387.16</v>
      </c>
      <c r="AB785" s="29">
        <v>0.92473118279569899</v>
      </c>
      <c r="AC785" s="30">
        <v>21703.53</v>
      </c>
      <c r="AD785" s="30">
        <v>504.267004608295</v>
      </c>
      <c r="AE785" s="27">
        <v>680.2</v>
      </c>
      <c r="AF785" s="29">
        <v>0.98382828579829495</v>
      </c>
      <c r="AG785" s="30">
        <v>5179.3629953917098</v>
      </c>
      <c r="AH785" s="31">
        <f t="shared" si="193"/>
        <v>0.90921787709497204</v>
      </c>
      <c r="AI785" s="31">
        <f t="shared" si="194"/>
        <v>7.5268817204301078E-2</v>
      </c>
      <c r="AJ785" s="31">
        <f t="shared" si="195"/>
        <v>2.9185867895545316E-2</v>
      </c>
      <c r="AK785" s="31">
        <f t="shared" si="196"/>
        <v>0.92473118279569888</v>
      </c>
      <c r="AL785" s="29">
        <f t="shared" si="197"/>
        <v>0.18333333333333332</v>
      </c>
      <c r="AM785" s="29">
        <f t="shared" si="198"/>
        <v>669.2</v>
      </c>
      <c r="AN785" s="29">
        <f t="shared" si="199"/>
        <v>0.97280334728033468</v>
      </c>
      <c r="AO785" s="29">
        <f t="shared" si="200"/>
        <v>1.0526315789473684</v>
      </c>
      <c r="AP785" s="31">
        <f t="shared" si="201"/>
        <v>0.92416317991631802</v>
      </c>
      <c r="AQ785" s="31">
        <f t="shared" si="202"/>
        <v>0.92473118279569888</v>
      </c>
      <c r="AR785" s="31">
        <f t="shared" si="203"/>
        <v>0.84078212290502818</v>
      </c>
      <c r="AS785" s="29">
        <f t="shared" si="204"/>
        <v>33.338755760368663</v>
      </c>
      <c r="AT785" s="29">
        <f t="shared" si="205"/>
        <v>7.9560107456093849</v>
      </c>
      <c r="AU785" s="27" t="str">
        <f t="shared" si="206"/>
        <v>Medium</v>
      </c>
      <c r="AV785" s="27" t="str">
        <f t="shared" si="207"/>
        <v>Warning</v>
      </c>
      <c r="AW785" s="27"/>
    </row>
    <row r="786" spans="1:49" x14ac:dyDescent="0.25">
      <c r="A786" s="27">
        <v>785</v>
      </c>
      <c r="B786" s="28">
        <v>46082</v>
      </c>
      <c r="C786" s="28" t="str">
        <f t="shared" si="192"/>
        <v>March</v>
      </c>
      <c r="D786" s="27" t="s">
        <v>67</v>
      </c>
      <c r="E786" s="27" t="s">
        <v>98</v>
      </c>
      <c r="F786" s="27" t="s">
        <v>99</v>
      </c>
      <c r="G786" s="27" t="s">
        <v>78</v>
      </c>
      <c r="H786" s="27" t="s">
        <v>124</v>
      </c>
      <c r="I786" s="27" t="s">
        <v>909</v>
      </c>
      <c r="J786" s="27" t="s">
        <v>65</v>
      </c>
      <c r="K786" s="27">
        <v>560</v>
      </c>
      <c r="L786" s="27">
        <v>495</v>
      </c>
      <c r="M786" s="27">
        <v>470</v>
      </c>
      <c r="N786" s="27">
        <v>25</v>
      </c>
      <c r="O786" s="27">
        <v>9</v>
      </c>
      <c r="P786" s="27">
        <v>19</v>
      </c>
      <c r="Q786" s="27" t="s">
        <v>54</v>
      </c>
      <c r="R786" s="27">
        <v>57</v>
      </c>
      <c r="S786" s="27">
        <v>60</v>
      </c>
      <c r="T786" s="29">
        <v>71.3</v>
      </c>
      <c r="U786" s="29">
        <v>1.97</v>
      </c>
      <c r="V786" s="29">
        <v>15.99</v>
      </c>
      <c r="W786" s="30">
        <v>12986.91</v>
      </c>
      <c r="X786" s="27">
        <v>7.31</v>
      </c>
      <c r="Y786" s="27" t="s">
        <v>71</v>
      </c>
      <c r="Z786" s="29">
        <v>21</v>
      </c>
      <c r="AA786" s="30">
        <v>22176.42</v>
      </c>
      <c r="AB786" s="29">
        <v>0.94949494949494995</v>
      </c>
      <c r="AC786" s="30">
        <v>16420.32</v>
      </c>
      <c r="AD786" s="30">
        <v>236.125636363636</v>
      </c>
      <c r="AE786" s="27">
        <v>532</v>
      </c>
      <c r="AF786" s="29">
        <v>0.96428571428571397</v>
      </c>
      <c r="AG786" s="30">
        <v>5519.9743636363601</v>
      </c>
      <c r="AH786" s="31">
        <f t="shared" si="193"/>
        <v>0.8839285714285714</v>
      </c>
      <c r="AI786" s="31">
        <f t="shared" si="194"/>
        <v>5.0505050505050504E-2</v>
      </c>
      <c r="AJ786" s="31">
        <f t="shared" si="195"/>
        <v>1.8181818181818181E-2</v>
      </c>
      <c r="AK786" s="31">
        <f t="shared" si="196"/>
        <v>0.9494949494949495</v>
      </c>
      <c r="AL786" s="29">
        <f t="shared" si="197"/>
        <v>0.31666666666666665</v>
      </c>
      <c r="AM786" s="29">
        <f t="shared" si="198"/>
        <v>513</v>
      </c>
      <c r="AN786" s="29">
        <f t="shared" si="199"/>
        <v>0.96491228070175439</v>
      </c>
      <c r="AO786" s="29">
        <f t="shared" si="200"/>
        <v>1.0526315789473684</v>
      </c>
      <c r="AP786" s="31">
        <f t="shared" si="201"/>
        <v>0.91666666666666674</v>
      </c>
      <c r="AQ786" s="31">
        <f t="shared" si="202"/>
        <v>0.9494949494949495</v>
      </c>
      <c r="AR786" s="31">
        <f t="shared" si="203"/>
        <v>0.83928571428571408</v>
      </c>
      <c r="AS786" s="29">
        <f t="shared" si="204"/>
        <v>33.172363636363634</v>
      </c>
      <c r="AT786" s="29">
        <f t="shared" si="205"/>
        <v>11.151463360881536</v>
      </c>
      <c r="AU786" s="27" t="str">
        <f t="shared" si="206"/>
        <v>High</v>
      </c>
      <c r="AV786" s="27" t="str">
        <f t="shared" si="207"/>
        <v>Warning</v>
      </c>
      <c r="AW786" s="27"/>
    </row>
    <row r="787" spans="1:49" x14ac:dyDescent="0.25">
      <c r="A787" s="27">
        <v>786</v>
      </c>
      <c r="B787" s="28">
        <v>46128</v>
      </c>
      <c r="C787" s="28" t="str">
        <f t="shared" si="192"/>
        <v>April</v>
      </c>
      <c r="D787" s="27" t="s">
        <v>47</v>
      </c>
      <c r="E787" s="27" t="s">
        <v>48</v>
      </c>
      <c r="F787" s="27" t="s">
        <v>72</v>
      </c>
      <c r="G787" s="27" t="s">
        <v>63</v>
      </c>
      <c r="H787" s="27" t="s">
        <v>79</v>
      </c>
      <c r="I787" s="27" t="s">
        <v>910</v>
      </c>
      <c r="J787" s="27" t="s">
        <v>191</v>
      </c>
      <c r="K787" s="27">
        <v>739</v>
      </c>
      <c r="L787" s="27">
        <v>742</v>
      </c>
      <c r="M787" s="27">
        <v>713</v>
      </c>
      <c r="N787" s="27">
        <v>29</v>
      </c>
      <c r="O787" s="27">
        <v>10</v>
      </c>
      <c r="P787" s="27">
        <v>0</v>
      </c>
      <c r="Q787" s="27" t="s">
        <v>60</v>
      </c>
      <c r="R787" s="27">
        <v>49</v>
      </c>
      <c r="S787" s="27">
        <v>48</v>
      </c>
      <c r="T787" s="29">
        <v>64.099999999999994</v>
      </c>
      <c r="U787" s="29">
        <v>2.4900000000000002</v>
      </c>
      <c r="V787" s="29">
        <v>29.98</v>
      </c>
      <c r="W787" s="30">
        <v>16083.02</v>
      </c>
      <c r="X787" s="27">
        <v>8.34</v>
      </c>
      <c r="Y787" s="27" t="s">
        <v>55</v>
      </c>
      <c r="Z787" s="29">
        <v>22</v>
      </c>
      <c r="AA787" s="30">
        <v>27117.360000000001</v>
      </c>
      <c r="AB787" s="29">
        <v>0.960916442048518</v>
      </c>
      <c r="AC787" s="30">
        <v>20105.84</v>
      </c>
      <c r="AD787" s="30">
        <v>216.752291105121</v>
      </c>
      <c r="AE787" s="27">
        <v>603.51666666666699</v>
      </c>
      <c r="AF787" s="29">
        <v>1</v>
      </c>
      <c r="AG787" s="30">
        <v>6794.7677088948803</v>
      </c>
      <c r="AH787" s="31">
        <f t="shared" si="193"/>
        <v>1.0040595399188093</v>
      </c>
      <c r="AI787" s="31">
        <f t="shared" si="194"/>
        <v>3.9083557951482481E-2</v>
      </c>
      <c r="AJ787" s="31">
        <f t="shared" si="195"/>
        <v>1.3477088948787063E-2</v>
      </c>
      <c r="AK787" s="31">
        <f t="shared" si="196"/>
        <v>0.96091644204851756</v>
      </c>
      <c r="AL787" s="29">
        <f t="shared" si="197"/>
        <v>0</v>
      </c>
      <c r="AM787" s="29">
        <f t="shared" si="198"/>
        <v>603.51666666666699</v>
      </c>
      <c r="AN787" s="29">
        <f t="shared" si="199"/>
        <v>1.2294606611250718</v>
      </c>
      <c r="AO787" s="29">
        <f t="shared" si="200"/>
        <v>1.2244897959183674</v>
      </c>
      <c r="AP787" s="31">
        <f t="shared" si="201"/>
        <v>1.0040595399188086</v>
      </c>
      <c r="AQ787" s="31">
        <f t="shared" si="202"/>
        <v>0.96091644204851756</v>
      </c>
      <c r="AR787" s="31">
        <f t="shared" si="203"/>
        <v>0.964817320703653</v>
      </c>
      <c r="AS787" s="29">
        <f t="shared" si="204"/>
        <v>27.096819407008088</v>
      </c>
      <c r="AT787" s="29">
        <f t="shared" si="205"/>
        <v>9.1573688799122372</v>
      </c>
      <c r="AU787" s="27" t="str">
        <f t="shared" si="206"/>
        <v>Low</v>
      </c>
      <c r="AV787" s="27" t="str">
        <f t="shared" si="207"/>
        <v>Normal</v>
      </c>
      <c r="AW787" s="27"/>
    </row>
    <row r="788" spans="1:49" x14ac:dyDescent="0.25">
      <c r="A788" s="27">
        <v>787</v>
      </c>
      <c r="B788" s="28">
        <v>46188</v>
      </c>
      <c r="C788" s="28" t="str">
        <f t="shared" si="192"/>
        <v>June</v>
      </c>
      <c r="D788" s="27" t="s">
        <v>67</v>
      </c>
      <c r="E788" s="27" t="s">
        <v>48</v>
      </c>
      <c r="F788" s="27" t="s">
        <v>72</v>
      </c>
      <c r="G788" s="27" t="s">
        <v>50</v>
      </c>
      <c r="H788" s="27" t="s">
        <v>51</v>
      </c>
      <c r="I788" s="27" t="s">
        <v>911</v>
      </c>
      <c r="J788" s="27" t="s">
        <v>128</v>
      </c>
      <c r="K788" s="27">
        <v>740</v>
      </c>
      <c r="L788" s="27">
        <v>744</v>
      </c>
      <c r="M788" s="27">
        <v>712</v>
      </c>
      <c r="N788" s="27">
        <v>32</v>
      </c>
      <c r="O788" s="27">
        <v>7</v>
      </c>
      <c r="P788" s="27">
        <v>5</v>
      </c>
      <c r="Q788" s="27" t="s">
        <v>54</v>
      </c>
      <c r="R788" s="27">
        <v>42</v>
      </c>
      <c r="S788" s="27">
        <v>45</v>
      </c>
      <c r="T788" s="29">
        <v>74.8</v>
      </c>
      <c r="U788" s="29">
        <v>2.15</v>
      </c>
      <c r="V788" s="29">
        <v>21.89</v>
      </c>
      <c r="W788" s="30">
        <v>13782.77</v>
      </c>
      <c r="X788" s="27">
        <v>10.26</v>
      </c>
      <c r="Y788" s="27" t="s">
        <v>55</v>
      </c>
      <c r="Z788" s="29">
        <v>3</v>
      </c>
      <c r="AA788" s="30">
        <v>22609.69</v>
      </c>
      <c r="AB788" s="29">
        <v>0.956989247311828</v>
      </c>
      <c r="AC788" s="30">
        <v>18596.78</v>
      </c>
      <c r="AD788" s="30">
        <v>129.676599462366</v>
      </c>
      <c r="AE788" s="27">
        <v>518</v>
      </c>
      <c r="AF788" s="29">
        <v>0.99034749034749003</v>
      </c>
      <c r="AG788" s="30">
        <v>3883.2334005376301</v>
      </c>
      <c r="AH788" s="31">
        <f t="shared" si="193"/>
        <v>1.0054054054054054</v>
      </c>
      <c r="AI788" s="31">
        <f t="shared" si="194"/>
        <v>4.3010752688172046E-2</v>
      </c>
      <c r="AJ788" s="31">
        <f t="shared" si="195"/>
        <v>9.4086021505376347E-3</v>
      </c>
      <c r="AK788" s="31">
        <f t="shared" si="196"/>
        <v>0.956989247311828</v>
      </c>
      <c r="AL788" s="29">
        <f t="shared" si="197"/>
        <v>8.3333333333333329E-2</v>
      </c>
      <c r="AM788" s="29">
        <f t="shared" si="198"/>
        <v>513</v>
      </c>
      <c r="AN788" s="29">
        <f t="shared" si="199"/>
        <v>1.4502923976608186</v>
      </c>
      <c r="AO788" s="29">
        <f t="shared" si="200"/>
        <v>1.4285714285714286</v>
      </c>
      <c r="AP788" s="31">
        <f t="shared" si="201"/>
        <v>1.015204678362573</v>
      </c>
      <c r="AQ788" s="31">
        <f t="shared" si="202"/>
        <v>0.956989247311828</v>
      </c>
      <c r="AR788" s="31">
        <f t="shared" si="203"/>
        <v>0.96216216216216177</v>
      </c>
      <c r="AS788" s="29">
        <f t="shared" si="204"/>
        <v>24.99567204301075</v>
      </c>
      <c r="AT788" s="29">
        <f t="shared" si="205"/>
        <v>5.2193997319054173</v>
      </c>
      <c r="AU788" s="27" t="str">
        <f t="shared" si="206"/>
        <v>Low</v>
      </c>
      <c r="AV788" s="27" t="str">
        <f t="shared" si="207"/>
        <v>Normal</v>
      </c>
      <c r="AW788" s="27"/>
    </row>
    <row r="789" spans="1:49" x14ac:dyDescent="0.25">
      <c r="A789" s="27">
        <v>788</v>
      </c>
      <c r="B789" s="28">
        <v>46062</v>
      </c>
      <c r="C789" s="28" t="str">
        <f t="shared" si="192"/>
        <v>February</v>
      </c>
      <c r="D789" s="27" t="s">
        <v>67</v>
      </c>
      <c r="E789" s="27" t="s">
        <v>76</v>
      </c>
      <c r="F789" s="27" t="s">
        <v>119</v>
      </c>
      <c r="G789" s="27" t="s">
        <v>63</v>
      </c>
      <c r="H789" s="27" t="s">
        <v>68</v>
      </c>
      <c r="I789" s="27" t="s">
        <v>912</v>
      </c>
      <c r="J789" s="27" t="s">
        <v>121</v>
      </c>
      <c r="K789" s="27">
        <v>678</v>
      </c>
      <c r="L789" s="27">
        <v>569</v>
      </c>
      <c r="M789" s="27">
        <v>515</v>
      </c>
      <c r="N789" s="27">
        <v>54</v>
      </c>
      <c r="O789" s="27">
        <v>21</v>
      </c>
      <c r="P789" s="27">
        <v>26</v>
      </c>
      <c r="Q789" s="27" t="s">
        <v>94</v>
      </c>
      <c r="R789" s="27">
        <v>64</v>
      </c>
      <c r="S789" s="27">
        <v>65</v>
      </c>
      <c r="T789" s="29">
        <v>70.400000000000006</v>
      </c>
      <c r="U789" s="29">
        <v>2.5</v>
      </c>
      <c r="V789" s="29">
        <v>17.68</v>
      </c>
      <c r="W789" s="30">
        <v>16956.71</v>
      </c>
      <c r="X789" s="27">
        <v>8.61</v>
      </c>
      <c r="Y789" s="27" t="s">
        <v>71</v>
      </c>
      <c r="Z789" s="29">
        <v>30</v>
      </c>
      <c r="AA789" s="30">
        <v>26776.51</v>
      </c>
      <c r="AB789" s="29">
        <v>0.90509666080843598</v>
      </c>
      <c r="AC789" s="30">
        <v>20990.33</v>
      </c>
      <c r="AD789" s="30">
        <v>625.81882249560601</v>
      </c>
      <c r="AE789" s="27">
        <v>723.2</v>
      </c>
      <c r="AF789" s="29">
        <v>0.96404867256637194</v>
      </c>
      <c r="AG789" s="30">
        <v>5160.3611775043901</v>
      </c>
      <c r="AH789" s="31">
        <f t="shared" si="193"/>
        <v>0.83923303834808261</v>
      </c>
      <c r="AI789" s="31">
        <f t="shared" si="194"/>
        <v>9.4903339191564143E-2</v>
      </c>
      <c r="AJ789" s="31">
        <f t="shared" si="195"/>
        <v>3.6906854130052721E-2</v>
      </c>
      <c r="AK789" s="31">
        <f t="shared" si="196"/>
        <v>0.90509666080843587</v>
      </c>
      <c r="AL789" s="29">
        <f t="shared" si="197"/>
        <v>0.43333333333333335</v>
      </c>
      <c r="AM789" s="29">
        <f t="shared" si="198"/>
        <v>697.2</v>
      </c>
      <c r="AN789" s="29">
        <f t="shared" si="199"/>
        <v>0.81612162937464139</v>
      </c>
      <c r="AO789" s="29">
        <f t="shared" si="200"/>
        <v>0.9375</v>
      </c>
      <c r="AP789" s="31">
        <f t="shared" si="201"/>
        <v>0.87052973799961753</v>
      </c>
      <c r="AQ789" s="31">
        <f t="shared" si="202"/>
        <v>0.90509666080843587</v>
      </c>
      <c r="AR789" s="31">
        <f t="shared" si="203"/>
        <v>0.75958702064896777</v>
      </c>
      <c r="AS789" s="29">
        <f t="shared" si="204"/>
        <v>36.889859402460459</v>
      </c>
      <c r="AT789" s="29">
        <f t="shared" si="205"/>
        <v>9.0691760588829347</v>
      </c>
      <c r="AU789" s="27" t="str">
        <f t="shared" si="206"/>
        <v>High</v>
      </c>
      <c r="AV789" s="27" t="str">
        <f t="shared" si="207"/>
        <v>Warning</v>
      </c>
      <c r="AW789" s="27"/>
    </row>
    <row r="790" spans="1:49" x14ac:dyDescent="0.25">
      <c r="A790" s="27">
        <v>789</v>
      </c>
      <c r="B790" s="28">
        <v>46186</v>
      </c>
      <c r="C790" s="28" t="str">
        <f t="shared" si="192"/>
        <v>June</v>
      </c>
      <c r="D790" s="27" t="s">
        <v>67</v>
      </c>
      <c r="E790" s="27" t="s">
        <v>98</v>
      </c>
      <c r="F790" s="27" t="s">
        <v>99</v>
      </c>
      <c r="G790" s="27" t="s">
        <v>63</v>
      </c>
      <c r="H790" s="27" t="s">
        <v>57</v>
      </c>
      <c r="I790" s="27" t="s">
        <v>913</v>
      </c>
      <c r="J790" s="27" t="s">
        <v>90</v>
      </c>
      <c r="K790" s="27">
        <v>885</v>
      </c>
      <c r="L790" s="27">
        <v>798</v>
      </c>
      <c r="M790" s="27">
        <v>761</v>
      </c>
      <c r="N790" s="27">
        <v>37</v>
      </c>
      <c r="O790" s="27">
        <v>13</v>
      </c>
      <c r="P790" s="27">
        <v>6</v>
      </c>
      <c r="Q790" s="27" t="s">
        <v>82</v>
      </c>
      <c r="R790" s="27">
        <v>45</v>
      </c>
      <c r="S790" s="27">
        <v>44</v>
      </c>
      <c r="T790" s="29">
        <v>73</v>
      </c>
      <c r="U790" s="29">
        <v>1.97</v>
      </c>
      <c r="V790" s="29">
        <v>27.11</v>
      </c>
      <c r="W790" s="30">
        <v>15524.89</v>
      </c>
      <c r="X790" s="27">
        <v>7.04</v>
      </c>
      <c r="Y790" s="27" t="s">
        <v>55</v>
      </c>
      <c r="Z790" s="29">
        <v>37</v>
      </c>
      <c r="AA790" s="30">
        <v>25938.17</v>
      </c>
      <c r="AB790" s="29">
        <v>0.95363408521303294</v>
      </c>
      <c r="AC790" s="30">
        <v>18936.88</v>
      </c>
      <c r="AD790" s="30">
        <v>252.911741854637</v>
      </c>
      <c r="AE790" s="27">
        <v>663.75</v>
      </c>
      <c r="AF790" s="29">
        <v>0.99096045197740101</v>
      </c>
      <c r="AG790" s="30">
        <v>6748.3782581453597</v>
      </c>
      <c r="AH790" s="31">
        <f t="shared" si="193"/>
        <v>0.90169491525423728</v>
      </c>
      <c r="AI790" s="31">
        <f t="shared" si="194"/>
        <v>4.6365914786967416E-2</v>
      </c>
      <c r="AJ790" s="31">
        <f t="shared" si="195"/>
        <v>1.6290726817042606E-2</v>
      </c>
      <c r="AK790" s="31">
        <f t="shared" si="196"/>
        <v>0.95363408521303261</v>
      </c>
      <c r="AL790" s="29">
        <f t="shared" si="197"/>
        <v>0.1</v>
      </c>
      <c r="AM790" s="29">
        <f t="shared" si="198"/>
        <v>657.75</v>
      </c>
      <c r="AN790" s="29">
        <f t="shared" si="199"/>
        <v>1.2132269099201825</v>
      </c>
      <c r="AO790" s="29">
        <f t="shared" si="200"/>
        <v>1.3333333333333333</v>
      </c>
      <c r="AP790" s="31">
        <f t="shared" si="201"/>
        <v>0.90992018244013684</v>
      </c>
      <c r="AQ790" s="31">
        <f t="shared" si="202"/>
        <v>0.95363408521303261</v>
      </c>
      <c r="AR790" s="31">
        <f t="shared" si="203"/>
        <v>0.85988700564971743</v>
      </c>
      <c r="AS790" s="29">
        <f t="shared" si="204"/>
        <v>23.730426065162909</v>
      </c>
      <c r="AT790" s="29">
        <f t="shared" si="205"/>
        <v>8.456614358578145</v>
      </c>
      <c r="AU790" s="27" t="str">
        <f t="shared" si="206"/>
        <v>Medium</v>
      </c>
      <c r="AV790" s="27" t="str">
        <f t="shared" si="207"/>
        <v>Normal</v>
      </c>
      <c r="AW790" s="27"/>
    </row>
    <row r="791" spans="1:49" x14ac:dyDescent="0.25">
      <c r="A791" s="27">
        <v>790</v>
      </c>
      <c r="B791" s="28">
        <v>46095</v>
      </c>
      <c r="C791" s="28" t="str">
        <f t="shared" si="192"/>
        <v>March</v>
      </c>
      <c r="D791" s="27" t="s">
        <v>47</v>
      </c>
      <c r="E791" s="27" t="s">
        <v>76</v>
      </c>
      <c r="F791" s="27" t="s">
        <v>119</v>
      </c>
      <c r="G791" s="27" t="s">
        <v>63</v>
      </c>
      <c r="H791" s="27" t="s">
        <v>57</v>
      </c>
      <c r="I791" s="27" t="s">
        <v>914</v>
      </c>
      <c r="J791" s="27" t="s">
        <v>197</v>
      </c>
      <c r="K791" s="27">
        <v>824</v>
      </c>
      <c r="L791" s="27">
        <v>733</v>
      </c>
      <c r="M791" s="27">
        <v>664</v>
      </c>
      <c r="N791" s="27">
        <v>69</v>
      </c>
      <c r="O791" s="27">
        <v>26</v>
      </c>
      <c r="P791" s="27">
        <v>59</v>
      </c>
      <c r="Q791" s="27" t="s">
        <v>97</v>
      </c>
      <c r="R791" s="27">
        <v>45</v>
      </c>
      <c r="S791" s="27">
        <v>50</v>
      </c>
      <c r="T791" s="29">
        <v>80.400000000000006</v>
      </c>
      <c r="U791" s="29">
        <v>2.62</v>
      </c>
      <c r="V791" s="29">
        <v>27.9</v>
      </c>
      <c r="W791" s="30">
        <v>15886.19</v>
      </c>
      <c r="X791" s="27">
        <v>7.22</v>
      </c>
      <c r="Y791" s="27" t="s">
        <v>110</v>
      </c>
      <c r="Z791" s="29">
        <v>31</v>
      </c>
      <c r="AA791" s="30">
        <v>22677.41</v>
      </c>
      <c r="AB791" s="29">
        <v>0.90586630286493897</v>
      </c>
      <c r="AC791" s="30">
        <v>19386.29</v>
      </c>
      <c r="AD791" s="30">
        <v>563.49377899044998</v>
      </c>
      <c r="AE791" s="27">
        <v>618</v>
      </c>
      <c r="AF791" s="29">
        <v>0.90453074433656999</v>
      </c>
      <c r="AG791" s="30">
        <v>2727.6262210095501</v>
      </c>
      <c r="AH791" s="31">
        <f t="shared" si="193"/>
        <v>0.8895631067961165</v>
      </c>
      <c r="AI791" s="31">
        <f t="shared" si="194"/>
        <v>9.4133697135061395E-2</v>
      </c>
      <c r="AJ791" s="31">
        <f t="shared" si="195"/>
        <v>3.5470668485675309E-2</v>
      </c>
      <c r="AK791" s="31">
        <f t="shared" si="196"/>
        <v>0.90586630286493863</v>
      </c>
      <c r="AL791" s="29">
        <f t="shared" si="197"/>
        <v>0.98333333333333328</v>
      </c>
      <c r="AM791" s="29">
        <f t="shared" si="198"/>
        <v>559</v>
      </c>
      <c r="AN791" s="29">
        <f t="shared" si="199"/>
        <v>1.3112701252236136</v>
      </c>
      <c r="AO791" s="29">
        <f t="shared" si="200"/>
        <v>1.3333333333333333</v>
      </c>
      <c r="AP791" s="31">
        <f t="shared" si="201"/>
        <v>0.98345259391771023</v>
      </c>
      <c r="AQ791" s="31">
        <f t="shared" si="202"/>
        <v>0.90586630286493863</v>
      </c>
      <c r="AR791" s="31">
        <f t="shared" si="203"/>
        <v>0.80582524271844702</v>
      </c>
      <c r="AS791" s="29">
        <f t="shared" si="204"/>
        <v>26.447871759890862</v>
      </c>
      <c r="AT791" s="29">
        <f t="shared" si="205"/>
        <v>3.7211817476255802</v>
      </c>
      <c r="AU791" s="27" t="str">
        <f t="shared" si="206"/>
        <v>Medium</v>
      </c>
      <c r="AV791" s="27" t="str">
        <f t="shared" si="207"/>
        <v>Warning</v>
      </c>
      <c r="AW791" s="27"/>
    </row>
    <row r="792" spans="1:49" x14ac:dyDescent="0.25">
      <c r="A792" s="27">
        <v>791</v>
      </c>
      <c r="B792" s="28">
        <v>46064</v>
      </c>
      <c r="C792" s="28" t="str">
        <f t="shared" si="192"/>
        <v>February</v>
      </c>
      <c r="D792" s="27" t="s">
        <v>47</v>
      </c>
      <c r="E792" s="27" t="s">
        <v>48</v>
      </c>
      <c r="F792" s="27" t="s">
        <v>49</v>
      </c>
      <c r="G792" s="27" t="s">
        <v>63</v>
      </c>
      <c r="H792" s="27" t="s">
        <v>51</v>
      </c>
      <c r="I792" s="27" t="s">
        <v>915</v>
      </c>
      <c r="J792" s="27" t="s">
        <v>74</v>
      </c>
      <c r="K792" s="27">
        <v>936</v>
      </c>
      <c r="L792" s="27">
        <v>946</v>
      </c>
      <c r="M792" s="27">
        <v>907</v>
      </c>
      <c r="N792" s="27">
        <v>39</v>
      </c>
      <c r="O792" s="27">
        <v>12</v>
      </c>
      <c r="P792" s="27">
        <v>0</v>
      </c>
      <c r="Q792" s="27" t="s">
        <v>60</v>
      </c>
      <c r="R792" s="27">
        <v>42</v>
      </c>
      <c r="S792" s="27">
        <v>44</v>
      </c>
      <c r="T792" s="29">
        <v>73.8</v>
      </c>
      <c r="U792" s="29">
        <v>2.14</v>
      </c>
      <c r="V792" s="29">
        <v>28.81</v>
      </c>
      <c r="W792" s="30">
        <v>17126.689999999999</v>
      </c>
      <c r="X792" s="27">
        <v>7.43</v>
      </c>
      <c r="Y792" s="27" t="s">
        <v>110</v>
      </c>
      <c r="Z792" s="29">
        <v>22</v>
      </c>
      <c r="AA792" s="30">
        <v>28623.73</v>
      </c>
      <c r="AB792" s="29">
        <v>0.95877378435518001</v>
      </c>
      <c r="AC792" s="30">
        <v>20729.48</v>
      </c>
      <c r="AD792" s="30">
        <v>217.25188160676501</v>
      </c>
      <c r="AE792" s="27">
        <v>655.20000000000005</v>
      </c>
      <c r="AF792" s="29">
        <v>1</v>
      </c>
      <c r="AG792" s="30">
        <v>7676.9981183932396</v>
      </c>
      <c r="AH792" s="31">
        <f t="shared" si="193"/>
        <v>1.0106837606837606</v>
      </c>
      <c r="AI792" s="31">
        <f t="shared" si="194"/>
        <v>4.1226215644820298E-2</v>
      </c>
      <c r="AJ792" s="31">
        <f t="shared" si="195"/>
        <v>1.2684989429175475E-2</v>
      </c>
      <c r="AK792" s="31">
        <f t="shared" si="196"/>
        <v>0.95877378435517968</v>
      </c>
      <c r="AL792" s="29">
        <f t="shared" si="197"/>
        <v>0</v>
      </c>
      <c r="AM792" s="29">
        <f t="shared" si="198"/>
        <v>655.20000000000005</v>
      </c>
      <c r="AN792" s="29">
        <f t="shared" si="199"/>
        <v>1.4438339438339438</v>
      </c>
      <c r="AO792" s="29">
        <f t="shared" si="200"/>
        <v>1.4285714285714286</v>
      </c>
      <c r="AP792" s="31">
        <f t="shared" si="201"/>
        <v>1.0106837606837606</v>
      </c>
      <c r="AQ792" s="31">
        <f t="shared" si="202"/>
        <v>0.95877378435517968</v>
      </c>
      <c r="AR792" s="31">
        <f t="shared" si="203"/>
        <v>0.96901709401709391</v>
      </c>
      <c r="AS792" s="29">
        <f t="shared" si="204"/>
        <v>21.912769556025371</v>
      </c>
      <c r="AT792" s="29">
        <f t="shared" si="205"/>
        <v>8.1152199983015212</v>
      </c>
      <c r="AU792" s="27" t="str">
        <f t="shared" si="206"/>
        <v>Medium</v>
      </c>
      <c r="AV792" s="27" t="str">
        <f t="shared" si="207"/>
        <v>Normal</v>
      </c>
      <c r="AW792" s="27"/>
    </row>
    <row r="793" spans="1:49" x14ac:dyDescent="0.25">
      <c r="A793" s="27">
        <v>792</v>
      </c>
      <c r="B793" s="28">
        <v>46158</v>
      </c>
      <c r="C793" s="28" t="str">
        <f t="shared" si="192"/>
        <v>May</v>
      </c>
      <c r="D793" s="27" t="s">
        <v>47</v>
      </c>
      <c r="E793" s="27" t="s">
        <v>76</v>
      </c>
      <c r="F793" s="27" t="s">
        <v>113</v>
      </c>
      <c r="G793" s="27" t="s">
        <v>50</v>
      </c>
      <c r="H793" s="27" t="s">
        <v>79</v>
      </c>
      <c r="I793" s="27" t="s">
        <v>916</v>
      </c>
      <c r="J793" s="27" t="s">
        <v>65</v>
      </c>
      <c r="K793" s="27">
        <v>833</v>
      </c>
      <c r="L793" s="27">
        <v>868</v>
      </c>
      <c r="M793" s="27">
        <v>831</v>
      </c>
      <c r="N793" s="27">
        <v>37</v>
      </c>
      <c r="O793" s="27">
        <v>13</v>
      </c>
      <c r="P793" s="27">
        <v>0</v>
      </c>
      <c r="Q793" s="27" t="s">
        <v>60</v>
      </c>
      <c r="R793" s="27">
        <v>49</v>
      </c>
      <c r="S793" s="27">
        <v>51</v>
      </c>
      <c r="T793" s="29">
        <v>70.7</v>
      </c>
      <c r="U793" s="29">
        <v>1.95</v>
      </c>
      <c r="V793" s="29">
        <v>26.15</v>
      </c>
      <c r="W793" s="30">
        <v>18949.68</v>
      </c>
      <c r="X793" s="27">
        <v>8.34</v>
      </c>
      <c r="Y793" s="27" t="s">
        <v>55</v>
      </c>
      <c r="Z793" s="29">
        <v>30</v>
      </c>
      <c r="AA793" s="30">
        <v>32229.46</v>
      </c>
      <c r="AB793" s="29">
        <v>0.95737327188940102</v>
      </c>
      <c r="AC793" s="30">
        <v>22938.03</v>
      </c>
      <c r="AD793" s="30">
        <v>283.80857142857099</v>
      </c>
      <c r="AE793" s="27">
        <v>680.28333333333296</v>
      </c>
      <c r="AF793" s="29">
        <v>1</v>
      </c>
      <c r="AG793" s="30">
        <v>9007.6214285714304</v>
      </c>
      <c r="AH793" s="31">
        <f t="shared" si="193"/>
        <v>1.0420168067226891</v>
      </c>
      <c r="AI793" s="31">
        <f t="shared" si="194"/>
        <v>4.2626728110599081E-2</v>
      </c>
      <c r="AJ793" s="31">
        <f t="shared" si="195"/>
        <v>1.4976958525345621E-2</v>
      </c>
      <c r="AK793" s="31">
        <f t="shared" si="196"/>
        <v>0.95737327188940091</v>
      </c>
      <c r="AL793" s="29">
        <f t="shared" si="197"/>
        <v>0</v>
      </c>
      <c r="AM793" s="29">
        <f t="shared" si="198"/>
        <v>680.28333333333296</v>
      </c>
      <c r="AN793" s="29">
        <f t="shared" si="199"/>
        <v>1.275938947007375</v>
      </c>
      <c r="AO793" s="29">
        <f t="shared" si="200"/>
        <v>1.2244897959183674</v>
      </c>
      <c r="AP793" s="31">
        <f t="shared" si="201"/>
        <v>1.0420168067226896</v>
      </c>
      <c r="AQ793" s="31">
        <f t="shared" si="202"/>
        <v>0.95737327188940091</v>
      </c>
      <c r="AR793" s="31">
        <f t="shared" si="203"/>
        <v>0.99759903961584684</v>
      </c>
      <c r="AS793" s="29">
        <f t="shared" si="204"/>
        <v>26.426301843317972</v>
      </c>
      <c r="AT793" s="29">
        <f t="shared" si="205"/>
        <v>10.377444042132984</v>
      </c>
      <c r="AU793" s="27" t="str">
        <f t="shared" si="206"/>
        <v>Medium</v>
      </c>
      <c r="AV793" s="27" t="str">
        <f t="shared" si="207"/>
        <v>Normal</v>
      </c>
      <c r="AW793" s="27"/>
    </row>
    <row r="794" spans="1:49" x14ac:dyDescent="0.25">
      <c r="A794" s="27">
        <v>793</v>
      </c>
      <c r="B794" s="28">
        <v>46075</v>
      </c>
      <c r="C794" s="28" t="str">
        <f t="shared" si="192"/>
        <v>February</v>
      </c>
      <c r="D794" s="27" t="s">
        <v>67</v>
      </c>
      <c r="E794" s="27" t="s">
        <v>98</v>
      </c>
      <c r="F794" s="27" t="s">
        <v>105</v>
      </c>
      <c r="G794" s="27" t="s">
        <v>78</v>
      </c>
      <c r="H794" s="27" t="s">
        <v>79</v>
      </c>
      <c r="I794" s="27" t="s">
        <v>917</v>
      </c>
      <c r="J794" s="27" t="s">
        <v>140</v>
      </c>
      <c r="K794" s="27">
        <v>878</v>
      </c>
      <c r="L794" s="27">
        <v>708</v>
      </c>
      <c r="M794" s="27">
        <v>658</v>
      </c>
      <c r="N794" s="27">
        <v>50</v>
      </c>
      <c r="O794" s="27">
        <v>13</v>
      </c>
      <c r="P794" s="27">
        <v>41</v>
      </c>
      <c r="Q794" s="27" t="s">
        <v>94</v>
      </c>
      <c r="R794" s="27">
        <v>49</v>
      </c>
      <c r="S794" s="27">
        <v>54</v>
      </c>
      <c r="T794" s="29">
        <v>67.5</v>
      </c>
      <c r="U794" s="29">
        <v>1.92</v>
      </c>
      <c r="V794" s="29">
        <v>28.41</v>
      </c>
      <c r="W794" s="30">
        <v>14780.48</v>
      </c>
      <c r="X794" s="27">
        <v>6.22</v>
      </c>
      <c r="Y794" s="27" t="s">
        <v>66</v>
      </c>
      <c r="Z794" s="29">
        <v>36</v>
      </c>
      <c r="AA794" s="30">
        <v>24489.19</v>
      </c>
      <c r="AB794" s="29">
        <v>0.92937853107344603</v>
      </c>
      <c r="AC794" s="30">
        <v>17835.169999999998</v>
      </c>
      <c r="AD794" s="30">
        <v>271.392994350283</v>
      </c>
      <c r="AE794" s="27">
        <v>717.03333333333296</v>
      </c>
      <c r="AF794" s="29">
        <v>0.94281995258240003</v>
      </c>
      <c r="AG794" s="30">
        <v>6382.6270056497196</v>
      </c>
      <c r="AH794" s="31">
        <f t="shared" si="193"/>
        <v>0.806378132118451</v>
      </c>
      <c r="AI794" s="31">
        <f t="shared" si="194"/>
        <v>7.0621468926553674E-2</v>
      </c>
      <c r="AJ794" s="31">
        <f t="shared" si="195"/>
        <v>1.8361581920903956E-2</v>
      </c>
      <c r="AK794" s="31">
        <f t="shared" si="196"/>
        <v>0.92937853107344637</v>
      </c>
      <c r="AL794" s="29">
        <f t="shared" si="197"/>
        <v>0.68333333333333335</v>
      </c>
      <c r="AM794" s="29">
        <f t="shared" si="198"/>
        <v>676.03333333333296</v>
      </c>
      <c r="AN794" s="29">
        <f t="shared" si="199"/>
        <v>1.0472856368029195</v>
      </c>
      <c r="AO794" s="29">
        <f t="shared" si="200"/>
        <v>1.2244897959183674</v>
      </c>
      <c r="AP794" s="31">
        <f t="shared" si="201"/>
        <v>0.85528327005571758</v>
      </c>
      <c r="AQ794" s="31">
        <f t="shared" si="202"/>
        <v>0.92937853107344637</v>
      </c>
      <c r="AR794" s="31">
        <f t="shared" si="203"/>
        <v>0.74943052391799603</v>
      </c>
      <c r="AS794" s="29">
        <f t="shared" si="204"/>
        <v>25.190918079096043</v>
      </c>
      <c r="AT794" s="29">
        <f t="shared" si="205"/>
        <v>9.0150098949854804</v>
      </c>
      <c r="AU794" s="27" t="str">
        <f t="shared" si="206"/>
        <v>High</v>
      </c>
      <c r="AV794" s="27" t="str">
        <f t="shared" si="207"/>
        <v>Critical</v>
      </c>
      <c r="AW794" s="27"/>
    </row>
    <row r="795" spans="1:49" x14ac:dyDescent="0.25">
      <c r="A795" s="27">
        <v>794</v>
      </c>
      <c r="B795" s="28">
        <v>46080</v>
      </c>
      <c r="C795" s="28" t="str">
        <f t="shared" si="192"/>
        <v>February</v>
      </c>
      <c r="D795" s="27" t="s">
        <v>47</v>
      </c>
      <c r="E795" s="27" t="s">
        <v>48</v>
      </c>
      <c r="F795" s="27" t="s">
        <v>49</v>
      </c>
      <c r="G795" s="27" t="s">
        <v>63</v>
      </c>
      <c r="H795" s="27" t="s">
        <v>124</v>
      </c>
      <c r="I795" s="27" t="s">
        <v>918</v>
      </c>
      <c r="J795" s="27" t="s">
        <v>286</v>
      </c>
      <c r="K795" s="27">
        <v>609</v>
      </c>
      <c r="L795" s="27">
        <v>657</v>
      </c>
      <c r="M795" s="27">
        <v>622</v>
      </c>
      <c r="N795" s="27">
        <v>35</v>
      </c>
      <c r="O795" s="27">
        <v>12</v>
      </c>
      <c r="P795" s="27">
        <v>0</v>
      </c>
      <c r="Q795" s="27" t="s">
        <v>60</v>
      </c>
      <c r="R795" s="27">
        <v>57</v>
      </c>
      <c r="S795" s="27">
        <v>62</v>
      </c>
      <c r="T795" s="29">
        <v>67.599999999999994</v>
      </c>
      <c r="U795" s="29">
        <v>1.98</v>
      </c>
      <c r="V795" s="29">
        <v>24.38</v>
      </c>
      <c r="W795" s="30">
        <v>18925.32</v>
      </c>
      <c r="X795" s="27">
        <v>9.52</v>
      </c>
      <c r="Y795" s="27" t="s">
        <v>55</v>
      </c>
      <c r="Z795" s="29">
        <v>27</v>
      </c>
      <c r="AA795" s="30">
        <v>27828.23</v>
      </c>
      <c r="AB795" s="29">
        <v>0.946727549467275</v>
      </c>
      <c r="AC795" s="30">
        <v>23428.74</v>
      </c>
      <c r="AD795" s="30">
        <v>345.66794520547899</v>
      </c>
      <c r="AE795" s="27">
        <v>578.54999999999995</v>
      </c>
      <c r="AF795" s="29">
        <v>1</v>
      </c>
      <c r="AG795" s="30">
        <v>4053.8220547945202</v>
      </c>
      <c r="AH795" s="31">
        <f t="shared" si="193"/>
        <v>1.0788177339901477</v>
      </c>
      <c r="AI795" s="31">
        <f t="shared" si="194"/>
        <v>5.3272450532724502E-2</v>
      </c>
      <c r="AJ795" s="31">
        <f t="shared" si="195"/>
        <v>1.8264840182648401E-2</v>
      </c>
      <c r="AK795" s="31">
        <f t="shared" si="196"/>
        <v>0.94672754946727544</v>
      </c>
      <c r="AL795" s="29">
        <f t="shared" si="197"/>
        <v>0</v>
      </c>
      <c r="AM795" s="29">
        <f t="shared" si="198"/>
        <v>578.54999999999995</v>
      </c>
      <c r="AN795" s="29">
        <f t="shared" si="199"/>
        <v>1.1355976147264715</v>
      </c>
      <c r="AO795" s="29">
        <f t="shared" si="200"/>
        <v>1.0526315789473684</v>
      </c>
      <c r="AP795" s="31">
        <f t="shared" si="201"/>
        <v>1.0788177339901479</v>
      </c>
      <c r="AQ795" s="31">
        <f t="shared" si="202"/>
        <v>0.94672754946727544</v>
      </c>
      <c r="AR795" s="31">
        <f t="shared" si="203"/>
        <v>1.0213464696223318</v>
      </c>
      <c r="AS795" s="29">
        <f t="shared" si="204"/>
        <v>35.660182648401829</v>
      </c>
      <c r="AT795" s="29">
        <f t="shared" si="205"/>
        <v>6.1702009966431053</v>
      </c>
      <c r="AU795" s="27" t="str">
        <f t="shared" si="206"/>
        <v>Low</v>
      </c>
      <c r="AV795" s="27" t="str">
        <f t="shared" si="207"/>
        <v>Normal</v>
      </c>
      <c r="AW795" s="27"/>
    </row>
    <row r="796" spans="1:49" x14ac:dyDescent="0.25">
      <c r="A796" s="27">
        <v>795</v>
      </c>
      <c r="B796" s="28">
        <v>46184</v>
      </c>
      <c r="C796" s="28" t="str">
        <f t="shared" si="192"/>
        <v>June</v>
      </c>
      <c r="D796" s="27" t="s">
        <v>67</v>
      </c>
      <c r="E796" s="27" t="s">
        <v>76</v>
      </c>
      <c r="F796" s="27" t="s">
        <v>77</v>
      </c>
      <c r="G796" s="27" t="s">
        <v>50</v>
      </c>
      <c r="H796" s="27" t="s">
        <v>68</v>
      </c>
      <c r="I796" s="27" t="s">
        <v>919</v>
      </c>
      <c r="J796" s="27" t="s">
        <v>128</v>
      </c>
      <c r="K796" s="27">
        <v>583</v>
      </c>
      <c r="L796" s="27">
        <v>515</v>
      </c>
      <c r="M796" s="27">
        <v>478</v>
      </c>
      <c r="N796" s="27">
        <v>37</v>
      </c>
      <c r="O796" s="27">
        <v>8</v>
      </c>
      <c r="P796" s="27">
        <v>12</v>
      </c>
      <c r="Q796" s="27" t="s">
        <v>82</v>
      </c>
      <c r="R796" s="27">
        <v>64</v>
      </c>
      <c r="S796" s="27">
        <v>67</v>
      </c>
      <c r="T796" s="29">
        <v>73.099999999999994</v>
      </c>
      <c r="U796" s="29">
        <v>1.67</v>
      </c>
      <c r="V796" s="29">
        <v>21.53</v>
      </c>
      <c r="W796" s="30">
        <v>16641.72</v>
      </c>
      <c r="X796" s="27">
        <v>8.24</v>
      </c>
      <c r="Y796" s="27" t="s">
        <v>55</v>
      </c>
      <c r="Z796" s="29">
        <v>18</v>
      </c>
      <c r="AA796" s="30">
        <v>24556.1</v>
      </c>
      <c r="AB796" s="29">
        <v>0.92815533980582499</v>
      </c>
      <c r="AC796" s="30">
        <v>20543.490000000002</v>
      </c>
      <c r="AD796" s="30">
        <v>258.51215533980599</v>
      </c>
      <c r="AE796" s="27">
        <v>621.86666666666702</v>
      </c>
      <c r="AF796" s="29">
        <v>0.98070325900514599</v>
      </c>
      <c r="AG796" s="30">
        <v>3754.0978446601898</v>
      </c>
      <c r="AH796" s="31">
        <f t="shared" si="193"/>
        <v>0.88336192109777012</v>
      </c>
      <c r="AI796" s="31">
        <f t="shared" si="194"/>
        <v>7.184466019417475E-2</v>
      </c>
      <c r="AJ796" s="31">
        <f t="shared" si="195"/>
        <v>1.5533980582524271E-2</v>
      </c>
      <c r="AK796" s="31">
        <f t="shared" si="196"/>
        <v>0.92815533980582521</v>
      </c>
      <c r="AL796" s="29">
        <f t="shared" si="197"/>
        <v>0.2</v>
      </c>
      <c r="AM796" s="29">
        <f t="shared" si="198"/>
        <v>609.86666666666702</v>
      </c>
      <c r="AN796" s="29">
        <f t="shared" si="199"/>
        <v>0.84444687363358062</v>
      </c>
      <c r="AO796" s="29">
        <f t="shared" si="200"/>
        <v>0.9375</v>
      </c>
      <c r="AP796" s="31">
        <f t="shared" si="201"/>
        <v>0.90074333187581934</v>
      </c>
      <c r="AQ796" s="31">
        <f t="shared" si="202"/>
        <v>0.92815533980582521</v>
      </c>
      <c r="AR796" s="31">
        <f t="shared" si="203"/>
        <v>0.81989708404802708</v>
      </c>
      <c r="AS796" s="29">
        <f t="shared" si="204"/>
        <v>39.890271844660198</v>
      </c>
      <c r="AT796" s="29">
        <f t="shared" si="205"/>
        <v>7.2895103779809514</v>
      </c>
      <c r="AU796" s="27" t="str">
        <f t="shared" si="206"/>
        <v>Medium</v>
      </c>
      <c r="AV796" s="27" t="str">
        <f t="shared" si="207"/>
        <v>Warning</v>
      </c>
      <c r="AW796" s="27"/>
    </row>
    <row r="797" spans="1:49" x14ac:dyDescent="0.25">
      <c r="A797" s="27">
        <v>796</v>
      </c>
      <c r="B797" s="28">
        <v>46192</v>
      </c>
      <c r="C797" s="28" t="str">
        <f t="shared" si="192"/>
        <v>June</v>
      </c>
      <c r="D797" s="27" t="s">
        <v>67</v>
      </c>
      <c r="E797" s="27" t="s">
        <v>98</v>
      </c>
      <c r="F797" s="27" t="s">
        <v>126</v>
      </c>
      <c r="G797" s="27" t="s">
        <v>63</v>
      </c>
      <c r="H797" s="27" t="s">
        <v>68</v>
      </c>
      <c r="I797" s="27" t="s">
        <v>920</v>
      </c>
      <c r="J797" s="27" t="s">
        <v>101</v>
      </c>
      <c r="K797" s="27">
        <v>629</v>
      </c>
      <c r="L797" s="27">
        <v>644</v>
      </c>
      <c r="M797" s="27">
        <v>589</v>
      </c>
      <c r="N797" s="27">
        <v>55</v>
      </c>
      <c r="O797" s="27">
        <v>11</v>
      </c>
      <c r="P797" s="27">
        <v>0</v>
      </c>
      <c r="Q797" s="27" t="s">
        <v>60</v>
      </c>
      <c r="R797" s="27">
        <v>64</v>
      </c>
      <c r="S797" s="27">
        <v>65</v>
      </c>
      <c r="T797" s="29">
        <v>76.8</v>
      </c>
      <c r="U797" s="29">
        <v>2.91</v>
      </c>
      <c r="V797" s="29">
        <v>20.74</v>
      </c>
      <c r="W797" s="30">
        <v>20243.68</v>
      </c>
      <c r="X797" s="27">
        <v>9.3800000000000008</v>
      </c>
      <c r="Y797" s="27" t="s">
        <v>71</v>
      </c>
      <c r="Z797" s="29">
        <v>31</v>
      </c>
      <c r="AA797" s="30">
        <v>30007.8</v>
      </c>
      <c r="AB797" s="29">
        <v>0.91459627329192605</v>
      </c>
      <c r="AC797" s="30">
        <v>24651.34</v>
      </c>
      <c r="AD797" s="30">
        <v>345.77714285714302</v>
      </c>
      <c r="AE797" s="27">
        <v>670.93333333333305</v>
      </c>
      <c r="AF797" s="29">
        <v>1</v>
      </c>
      <c r="AG797" s="30">
        <v>5010.6828571428596</v>
      </c>
      <c r="AH797" s="31">
        <f t="shared" si="193"/>
        <v>1.0238473767885532</v>
      </c>
      <c r="AI797" s="31">
        <f t="shared" si="194"/>
        <v>8.5403726708074529E-2</v>
      </c>
      <c r="AJ797" s="31">
        <f t="shared" si="195"/>
        <v>1.7080745341614908E-2</v>
      </c>
      <c r="AK797" s="31">
        <f t="shared" si="196"/>
        <v>0.9145962732919255</v>
      </c>
      <c r="AL797" s="29">
        <f t="shared" si="197"/>
        <v>0</v>
      </c>
      <c r="AM797" s="29">
        <f t="shared" si="198"/>
        <v>670.93333333333305</v>
      </c>
      <c r="AN797" s="29">
        <f t="shared" si="199"/>
        <v>0.95985691573926912</v>
      </c>
      <c r="AO797" s="29">
        <f t="shared" si="200"/>
        <v>0.9375</v>
      </c>
      <c r="AP797" s="31">
        <f t="shared" si="201"/>
        <v>1.0238473767885536</v>
      </c>
      <c r="AQ797" s="31">
        <f t="shared" si="202"/>
        <v>0.9145962732919255</v>
      </c>
      <c r="AR797" s="31">
        <f t="shared" si="203"/>
        <v>0.93640699523052506</v>
      </c>
      <c r="AS797" s="29">
        <f t="shared" si="204"/>
        <v>38.278478260869562</v>
      </c>
      <c r="AT797" s="29">
        <f t="shared" si="205"/>
        <v>7.7805634427684156</v>
      </c>
      <c r="AU797" s="27" t="str">
        <f t="shared" si="206"/>
        <v>High</v>
      </c>
      <c r="AV797" s="27" t="str">
        <f t="shared" si="207"/>
        <v>Warning</v>
      </c>
      <c r="AW797" s="27"/>
    </row>
    <row r="798" spans="1:49" x14ac:dyDescent="0.25">
      <c r="A798" s="27">
        <v>797</v>
      </c>
      <c r="B798" s="28">
        <v>46106</v>
      </c>
      <c r="C798" s="28" t="str">
        <f t="shared" si="192"/>
        <v>March</v>
      </c>
      <c r="D798" s="27" t="s">
        <v>47</v>
      </c>
      <c r="E798" s="27" t="s">
        <v>76</v>
      </c>
      <c r="F798" s="27" t="s">
        <v>119</v>
      </c>
      <c r="G798" s="27" t="s">
        <v>63</v>
      </c>
      <c r="H798" s="27" t="s">
        <v>124</v>
      </c>
      <c r="I798" s="27" t="s">
        <v>921</v>
      </c>
      <c r="J798" s="27" t="s">
        <v>132</v>
      </c>
      <c r="K798" s="27">
        <v>715</v>
      </c>
      <c r="L798" s="27">
        <v>608</v>
      </c>
      <c r="M798" s="27">
        <v>545</v>
      </c>
      <c r="N798" s="27">
        <v>63</v>
      </c>
      <c r="O798" s="27">
        <v>12</v>
      </c>
      <c r="P798" s="27">
        <v>33</v>
      </c>
      <c r="Q798" s="27" t="s">
        <v>54</v>
      </c>
      <c r="R798" s="27">
        <v>57</v>
      </c>
      <c r="S798" s="27">
        <v>59</v>
      </c>
      <c r="T798" s="29">
        <v>73.3</v>
      </c>
      <c r="U798" s="29">
        <v>1.63</v>
      </c>
      <c r="V798" s="29">
        <v>22.46</v>
      </c>
      <c r="W798" s="30">
        <v>16688.759999999998</v>
      </c>
      <c r="X798" s="27">
        <v>7.7</v>
      </c>
      <c r="Y798" s="27" t="s">
        <v>66</v>
      </c>
      <c r="Z798" s="29">
        <v>22</v>
      </c>
      <c r="AA798" s="30">
        <v>25213.33</v>
      </c>
      <c r="AB798" s="29">
        <v>0.89638157894736903</v>
      </c>
      <c r="AC798" s="30">
        <v>20355.900000000001</v>
      </c>
      <c r="AD798" s="30">
        <v>329.383421052632</v>
      </c>
      <c r="AE798" s="27">
        <v>679.25</v>
      </c>
      <c r="AF798" s="29">
        <v>0.95141700404858298</v>
      </c>
      <c r="AG798" s="30">
        <v>4528.0465789473701</v>
      </c>
      <c r="AH798" s="31">
        <f t="shared" si="193"/>
        <v>0.85034965034965038</v>
      </c>
      <c r="AI798" s="31">
        <f t="shared" si="194"/>
        <v>0.10361842105263158</v>
      </c>
      <c r="AJ798" s="31">
        <f t="shared" si="195"/>
        <v>1.9736842105263157E-2</v>
      </c>
      <c r="AK798" s="31">
        <f t="shared" si="196"/>
        <v>0.89638157894736847</v>
      </c>
      <c r="AL798" s="29">
        <f t="shared" si="197"/>
        <v>0.55000000000000004</v>
      </c>
      <c r="AM798" s="29">
        <f t="shared" si="198"/>
        <v>646.25</v>
      </c>
      <c r="AN798" s="29">
        <f t="shared" si="199"/>
        <v>0.9408123791102514</v>
      </c>
      <c r="AO798" s="29">
        <f t="shared" si="200"/>
        <v>1.0526315789473684</v>
      </c>
      <c r="AP798" s="31">
        <f t="shared" si="201"/>
        <v>0.89377176015473891</v>
      </c>
      <c r="AQ798" s="31">
        <f t="shared" si="202"/>
        <v>0.89638157894736847</v>
      </c>
      <c r="AR798" s="31">
        <f t="shared" si="203"/>
        <v>0.7622377622377623</v>
      </c>
      <c r="AS798" s="29">
        <f t="shared" si="204"/>
        <v>33.480098684210532</v>
      </c>
      <c r="AT798" s="29">
        <f t="shared" si="205"/>
        <v>7.4474450311634373</v>
      </c>
      <c r="AU798" s="27" t="str">
        <f t="shared" si="206"/>
        <v>High</v>
      </c>
      <c r="AV798" s="27" t="str">
        <f t="shared" si="207"/>
        <v>Warning</v>
      </c>
      <c r="AW798" s="27"/>
    </row>
    <row r="799" spans="1:49" x14ac:dyDescent="0.25">
      <c r="A799" s="27">
        <v>798</v>
      </c>
      <c r="B799" s="28">
        <v>46101</v>
      </c>
      <c r="C799" s="28" t="str">
        <f t="shared" si="192"/>
        <v>March</v>
      </c>
      <c r="D799" s="27" t="s">
        <v>67</v>
      </c>
      <c r="E799" s="27" t="s">
        <v>129</v>
      </c>
      <c r="F799" s="27" t="s">
        <v>130</v>
      </c>
      <c r="G799" s="27" t="s">
        <v>50</v>
      </c>
      <c r="H799" s="27" t="s">
        <v>124</v>
      </c>
      <c r="I799" s="27" t="s">
        <v>922</v>
      </c>
      <c r="J799" s="27" t="s">
        <v>143</v>
      </c>
      <c r="K799" s="27">
        <v>623</v>
      </c>
      <c r="L799" s="27">
        <v>564</v>
      </c>
      <c r="M799" s="27">
        <v>467</v>
      </c>
      <c r="N799" s="27">
        <v>97</v>
      </c>
      <c r="O799" s="27">
        <v>30</v>
      </c>
      <c r="P799" s="27">
        <v>51</v>
      </c>
      <c r="Q799" s="27" t="s">
        <v>75</v>
      </c>
      <c r="R799" s="27">
        <v>57</v>
      </c>
      <c r="S799" s="27">
        <v>60</v>
      </c>
      <c r="T799" s="29">
        <v>81.099999999999994</v>
      </c>
      <c r="U799" s="29">
        <v>5</v>
      </c>
      <c r="V799" s="29">
        <v>25.49</v>
      </c>
      <c r="W799" s="30">
        <v>15666.86</v>
      </c>
      <c r="X799" s="27">
        <v>6.6</v>
      </c>
      <c r="Y799" s="27" t="s">
        <v>66</v>
      </c>
      <c r="Z799" s="29">
        <v>53</v>
      </c>
      <c r="AA799" s="30">
        <v>20850.27</v>
      </c>
      <c r="AB799" s="29">
        <v>0.82801418439716301</v>
      </c>
      <c r="AC799" s="30">
        <v>18866.27</v>
      </c>
      <c r="AD799" s="30">
        <v>833.34361702127705</v>
      </c>
      <c r="AE799" s="27">
        <v>591.85</v>
      </c>
      <c r="AF799" s="29">
        <v>0.91382951761426001</v>
      </c>
      <c r="AG799" s="30">
        <v>1150.6563829787201</v>
      </c>
      <c r="AH799" s="31">
        <f t="shared" si="193"/>
        <v>0.9052969502407705</v>
      </c>
      <c r="AI799" s="31">
        <f t="shared" si="194"/>
        <v>0.17198581560283688</v>
      </c>
      <c r="AJ799" s="31">
        <f t="shared" si="195"/>
        <v>5.3191489361702128E-2</v>
      </c>
      <c r="AK799" s="31">
        <f t="shared" si="196"/>
        <v>0.82801418439716312</v>
      </c>
      <c r="AL799" s="29">
        <f t="shared" si="197"/>
        <v>0.85</v>
      </c>
      <c r="AM799" s="29">
        <f t="shared" si="198"/>
        <v>540.85</v>
      </c>
      <c r="AN799" s="29">
        <f t="shared" si="199"/>
        <v>1.0428029952851992</v>
      </c>
      <c r="AO799" s="29">
        <f t="shared" si="200"/>
        <v>1.0526315789473684</v>
      </c>
      <c r="AP799" s="31">
        <f t="shared" si="201"/>
        <v>0.99066284552093919</v>
      </c>
      <c r="AQ799" s="31">
        <f t="shared" si="202"/>
        <v>0.82801418439716312</v>
      </c>
      <c r="AR799" s="31">
        <f t="shared" si="203"/>
        <v>0.74959871589085036</v>
      </c>
      <c r="AS799" s="29">
        <f t="shared" si="204"/>
        <v>33.450833333333335</v>
      </c>
      <c r="AT799" s="29">
        <f t="shared" si="205"/>
        <v>2.0401708918062411</v>
      </c>
      <c r="AU799" s="27" t="str">
        <f t="shared" si="206"/>
        <v>High</v>
      </c>
      <c r="AV799" s="27" t="str">
        <f t="shared" si="207"/>
        <v>Critical</v>
      </c>
      <c r="AW799" s="27"/>
    </row>
    <row r="800" spans="1:49" x14ac:dyDescent="0.25">
      <c r="A800" s="27">
        <v>799</v>
      </c>
      <c r="B800" s="28">
        <v>46177</v>
      </c>
      <c r="C800" s="28" t="str">
        <f t="shared" si="192"/>
        <v>June</v>
      </c>
      <c r="D800" s="27" t="s">
        <v>47</v>
      </c>
      <c r="E800" s="27" t="s">
        <v>76</v>
      </c>
      <c r="F800" s="27" t="s">
        <v>119</v>
      </c>
      <c r="G800" s="27" t="s">
        <v>78</v>
      </c>
      <c r="H800" s="27" t="s">
        <v>79</v>
      </c>
      <c r="I800" s="27" t="s">
        <v>923</v>
      </c>
      <c r="J800" s="27" t="s">
        <v>65</v>
      </c>
      <c r="K800" s="27">
        <v>680</v>
      </c>
      <c r="L800" s="27">
        <v>608</v>
      </c>
      <c r="M800" s="27">
        <v>548</v>
      </c>
      <c r="N800" s="27">
        <v>60</v>
      </c>
      <c r="O800" s="27">
        <v>18</v>
      </c>
      <c r="P800" s="27">
        <v>25</v>
      </c>
      <c r="Q800" s="27" t="s">
        <v>104</v>
      </c>
      <c r="R800" s="27">
        <v>49</v>
      </c>
      <c r="S800" s="27">
        <v>53</v>
      </c>
      <c r="T800" s="29">
        <v>78.599999999999994</v>
      </c>
      <c r="U800" s="29">
        <v>2.94</v>
      </c>
      <c r="V800" s="29">
        <v>20.420000000000002</v>
      </c>
      <c r="W800" s="30">
        <v>13809.66</v>
      </c>
      <c r="X800" s="27">
        <v>6.44</v>
      </c>
      <c r="Y800" s="27" t="s">
        <v>71</v>
      </c>
      <c r="Z800" s="29">
        <v>31</v>
      </c>
      <c r="AA800" s="30">
        <v>20915.38</v>
      </c>
      <c r="AB800" s="29">
        <v>0.90131578947368396</v>
      </c>
      <c r="AC800" s="30">
        <v>16891.439999999999</v>
      </c>
      <c r="AD800" s="30">
        <v>408.83861842105301</v>
      </c>
      <c r="AE800" s="27">
        <v>555.33333333333303</v>
      </c>
      <c r="AF800" s="29">
        <v>0.95498199279711904</v>
      </c>
      <c r="AG800" s="30">
        <v>3615.1013815789502</v>
      </c>
      <c r="AH800" s="31">
        <f t="shared" si="193"/>
        <v>0.89411764705882357</v>
      </c>
      <c r="AI800" s="31">
        <f t="shared" si="194"/>
        <v>9.8684210526315791E-2</v>
      </c>
      <c r="AJ800" s="31">
        <f t="shared" si="195"/>
        <v>2.9605263157894735E-2</v>
      </c>
      <c r="AK800" s="31">
        <f t="shared" si="196"/>
        <v>0.90131578947368418</v>
      </c>
      <c r="AL800" s="29">
        <f t="shared" si="197"/>
        <v>0.41666666666666669</v>
      </c>
      <c r="AM800" s="29">
        <f t="shared" si="198"/>
        <v>530.33333333333303</v>
      </c>
      <c r="AN800" s="29">
        <f t="shared" si="199"/>
        <v>1.1464487743557517</v>
      </c>
      <c r="AO800" s="29">
        <f t="shared" si="200"/>
        <v>1.2244897959183674</v>
      </c>
      <c r="AP800" s="31">
        <f t="shared" si="201"/>
        <v>0.93626649905719717</v>
      </c>
      <c r="AQ800" s="31">
        <f t="shared" si="202"/>
        <v>0.90131578947368418</v>
      </c>
      <c r="AR800" s="31">
        <f t="shared" si="203"/>
        <v>0.80588235294117694</v>
      </c>
      <c r="AS800" s="29">
        <f t="shared" si="204"/>
        <v>27.781973684210524</v>
      </c>
      <c r="AT800" s="29">
        <f t="shared" si="205"/>
        <v>5.9458904302285367</v>
      </c>
      <c r="AU800" s="27" t="str">
        <f t="shared" si="206"/>
        <v>High</v>
      </c>
      <c r="AV800" s="27" t="str">
        <f t="shared" si="207"/>
        <v>Warning</v>
      </c>
      <c r="AW800" s="27"/>
    </row>
    <row r="801" spans="1:49" x14ac:dyDescent="0.25">
      <c r="A801" s="27">
        <v>800</v>
      </c>
      <c r="B801" s="28">
        <v>46071</v>
      </c>
      <c r="C801" s="28" t="str">
        <f t="shared" si="192"/>
        <v>February</v>
      </c>
      <c r="D801" s="27" t="s">
        <v>47</v>
      </c>
      <c r="E801" s="27" t="s">
        <v>129</v>
      </c>
      <c r="F801" s="27" t="s">
        <v>151</v>
      </c>
      <c r="G801" s="27" t="s">
        <v>50</v>
      </c>
      <c r="H801" s="27" t="s">
        <v>57</v>
      </c>
      <c r="I801" s="27" t="s">
        <v>924</v>
      </c>
      <c r="J801" s="27" t="s">
        <v>115</v>
      </c>
      <c r="K801" s="27">
        <v>922</v>
      </c>
      <c r="L801" s="27">
        <v>703</v>
      </c>
      <c r="M801" s="27">
        <v>659</v>
      </c>
      <c r="N801" s="27">
        <v>44</v>
      </c>
      <c r="O801" s="27">
        <v>13</v>
      </c>
      <c r="P801" s="27">
        <v>54</v>
      </c>
      <c r="Q801" s="27" t="s">
        <v>94</v>
      </c>
      <c r="R801" s="27">
        <v>45</v>
      </c>
      <c r="S801" s="27">
        <v>46</v>
      </c>
      <c r="T801" s="29">
        <v>72.599999999999994</v>
      </c>
      <c r="U801" s="29">
        <v>2.0099999999999998</v>
      </c>
      <c r="V801" s="29">
        <v>24.99</v>
      </c>
      <c r="W801" s="30">
        <v>13547.9</v>
      </c>
      <c r="X801" s="27">
        <v>5.61</v>
      </c>
      <c r="Y801" s="27" t="s">
        <v>55</v>
      </c>
      <c r="Z801" s="29">
        <v>32</v>
      </c>
      <c r="AA801" s="30">
        <v>22913.29</v>
      </c>
      <c r="AB801" s="29">
        <v>0.937411095305832</v>
      </c>
      <c r="AC801" s="30">
        <v>16297.31</v>
      </c>
      <c r="AD801" s="30">
        <v>250.53015647226201</v>
      </c>
      <c r="AE801" s="27">
        <v>691.5</v>
      </c>
      <c r="AF801" s="29">
        <v>0.92190889370932805</v>
      </c>
      <c r="AG801" s="30">
        <v>6365.4498435277401</v>
      </c>
      <c r="AH801" s="31">
        <f t="shared" si="193"/>
        <v>0.76247288503253796</v>
      </c>
      <c r="AI801" s="31">
        <f t="shared" si="194"/>
        <v>6.2588904694167849E-2</v>
      </c>
      <c r="AJ801" s="31">
        <f t="shared" si="195"/>
        <v>1.849217638691323E-2</v>
      </c>
      <c r="AK801" s="31">
        <f t="shared" si="196"/>
        <v>0.93741109530583211</v>
      </c>
      <c r="AL801" s="29">
        <f t="shared" si="197"/>
        <v>0.9</v>
      </c>
      <c r="AM801" s="29">
        <f t="shared" si="198"/>
        <v>637.5</v>
      </c>
      <c r="AN801" s="29">
        <f t="shared" si="199"/>
        <v>1.1027450980392157</v>
      </c>
      <c r="AO801" s="29">
        <f t="shared" si="200"/>
        <v>1.3333333333333333</v>
      </c>
      <c r="AP801" s="31">
        <f t="shared" si="201"/>
        <v>0.82705882352941185</v>
      </c>
      <c r="AQ801" s="31">
        <f t="shared" si="202"/>
        <v>0.93741109530583211</v>
      </c>
      <c r="AR801" s="31">
        <f t="shared" si="203"/>
        <v>0.71475054229934964</v>
      </c>
      <c r="AS801" s="29">
        <f t="shared" si="204"/>
        <v>23.182517780938834</v>
      </c>
      <c r="AT801" s="29">
        <f t="shared" si="205"/>
        <v>9.0546939452741686</v>
      </c>
      <c r="AU801" s="27" t="str">
        <f t="shared" si="206"/>
        <v>High</v>
      </c>
      <c r="AV801" s="27" t="str">
        <f t="shared" si="207"/>
        <v>Critical</v>
      </c>
      <c r="AW801" s="27"/>
    </row>
    <row r="802" spans="1:49" x14ac:dyDescent="0.25">
      <c r="A802" s="27">
        <v>801</v>
      </c>
      <c r="B802" s="28">
        <v>46196</v>
      </c>
      <c r="C802" s="28" t="str">
        <f t="shared" si="192"/>
        <v>June</v>
      </c>
      <c r="D802" s="27" t="s">
        <v>67</v>
      </c>
      <c r="E802" s="27" t="s">
        <v>48</v>
      </c>
      <c r="F802" s="27" t="s">
        <v>49</v>
      </c>
      <c r="G802" s="27" t="s">
        <v>78</v>
      </c>
      <c r="H802" s="27" t="s">
        <v>57</v>
      </c>
      <c r="I802" s="27" t="s">
        <v>925</v>
      </c>
      <c r="J802" s="27" t="s">
        <v>170</v>
      </c>
      <c r="K802" s="27">
        <v>784</v>
      </c>
      <c r="L802" s="27">
        <v>640</v>
      </c>
      <c r="M802" s="27">
        <v>602</v>
      </c>
      <c r="N802" s="27">
        <v>38</v>
      </c>
      <c r="O802" s="27">
        <v>16</v>
      </c>
      <c r="P802" s="27">
        <v>21</v>
      </c>
      <c r="Q802" s="27" t="s">
        <v>75</v>
      </c>
      <c r="R802" s="27">
        <v>45</v>
      </c>
      <c r="S802" s="27">
        <v>48</v>
      </c>
      <c r="T802" s="29">
        <v>68.8</v>
      </c>
      <c r="U802" s="29">
        <v>1.53</v>
      </c>
      <c r="V802" s="29">
        <v>22.73</v>
      </c>
      <c r="W802" s="30">
        <v>13124.18</v>
      </c>
      <c r="X802" s="27">
        <v>7.17</v>
      </c>
      <c r="Y802" s="27" t="s">
        <v>110</v>
      </c>
      <c r="Z802" s="29">
        <v>35</v>
      </c>
      <c r="AA802" s="30">
        <v>20462.560000000001</v>
      </c>
      <c r="AB802" s="29">
        <v>0.94062500000000004</v>
      </c>
      <c r="AC802" s="30">
        <v>16555.25</v>
      </c>
      <c r="AD802" s="30">
        <v>328.10449999999997</v>
      </c>
      <c r="AE802" s="27">
        <v>588</v>
      </c>
      <c r="AF802" s="29">
        <v>0.96428571428571397</v>
      </c>
      <c r="AG802" s="30">
        <v>3579.2055</v>
      </c>
      <c r="AH802" s="31">
        <f t="shared" si="193"/>
        <v>0.81632653061224492</v>
      </c>
      <c r="AI802" s="31">
        <f t="shared" si="194"/>
        <v>5.9374999999999997E-2</v>
      </c>
      <c r="AJ802" s="31">
        <f t="shared" si="195"/>
        <v>2.5000000000000001E-2</v>
      </c>
      <c r="AK802" s="31">
        <f t="shared" si="196"/>
        <v>0.94062500000000004</v>
      </c>
      <c r="AL802" s="29">
        <f t="shared" si="197"/>
        <v>0.35</v>
      </c>
      <c r="AM802" s="29">
        <f t="shared" si="198"/>
        <v>567</v>
      </c>
      <c r="AN802" s="29">
        <f t="shared" si="199"/>
        <v>1.128747795414462</v>
      </c>
      <c r="AO802" s="29">
        <f t="shared" si="200"/>
        <v>1.3333333333333333</v>
      </c>
      <c r="AP802" s="31">
        <f t="shared" si="201"/>
        <v>0.84656084656084651</v>
      </c>
      <c r="AQ802" s="31">
        <f t="shared" si="202"/>
        <v>0.94062500000000004</v>
      </c>
      <c r="AR802" s="31">
        <f t="shared" si="203"/>
        <v>0.76785714285714257</v>
      </c>
      <c r="AS802" s="29">
        <f t="shared" si="204"/>
        <v>25.867578125000001</v>
      </c>
      <c r="AT802" s="29">
        <f t="shared" si="205"/>
        <v>5.5925085937499999</v>
      </c>
      <c r="AU802" s="27" t="str">
        <f t="shared" si="206"/>
        <v>High</v>
      </c>
      <c r="AV802" s="27" t="str">
        <f t="shared" si="207"/>
        <v>Warning</v>
      </c>
      <c r="AW802" s="27"/>
    </row>
    <row r="803" spans="1:49" x14ac:dyDescent="0.25">
      <c r="A803" s="27">
        <v>802</v>
      </c>
      <c r="B803" s="28">
        <v>46053</v>
      </c>
      <c r="C803" s="28" t="str">
        <f t="shared" si="192"/>
        <v>January</v>
      </c>
      <c r="D803" s="27" t="s">
        <v>67</v>
      </c>
      <c r="E803" s="27" t="s">
        <v>98</v>
      </c>
      <c r="F803" s="27" t="s">
        <v>99</v>
      </c>
      <c r="G803" s="27" t="s">
        <v>78</v>
      </c>
      <c r="H803" s="27" t="s">
        <v>57</v>
      </c>
      <c r="I803" s="27" t="s">
        <v>926</v>
      </c>
      <c r="J803" s="27" t="s">
        <v>164</v>
      </c>
      <c r="K803" s="27">
        <v>737</v>
      </c>
      <c r="L803" s="27">
        <v>660</v>
      </c>
      <c r="M803" s="27">
        <v>620</v>
      </c>
      <c r="N803" s="27">
        <v>40</v>
      </c>
      <c r="O803" s="27">
        <v>10</v>
      </c>
      <c r="P803" s="27">
        <v>25</v>
      </c>
      <c r="Q803" s="27" t="s">
        <v>102</v>
      </c>
      <c r="R803" s="27">
        <v>45</v>
      </c>
      <c r="S803" s="27">
        <v>45</v>
      </c>
      <c r="T803" s="29">
        <v>71.400000000000006</v>
      </c>
      <c r="U803" s="29">
        <v>2.4300000000000002</v>
      </c>
      <c r="V803" s="29">
        <v>25.45</v>
      </c>
      <c r="W803" s="30">
        <v>13356.92</v>
      </c>
      <c r="X803" s="27">
        <v>7.26</v>
      </c>
      <c r="Y803" s="27" t="s">
        <v>55</v>
      </c>
      <c r="Z803" s="29">
        <v>29</v>
      </c>
      <c r="AA803" s="30">
        <v>21598.37</v>
      </c>
      <c r="AB803" s="29">
        <v>0.939393939393939</v>
      </c>
      <c r="AC803" s="30">
        <v>16852.97</v>
      </c>
      <c r="AD803" s="30">
        <v>202.37757575757601</v>
      </c>
      <c r="AE803" s="27">
        <v>552.75</v>
      </c>
      <c r="AF803" s="29">
        <v>0.95477159656264099</v>
      </c>
      <c r="AG803" s="30">
        <v>4543.0224242424301</v>
      </c>
      <c r="AH803" s="31">
        <f t="shared" si="193"/>
        <v>0.89552238805970152</v>
      </c>
      <c r="AI803" s="31">
        <f t="shared" si="194"/>
        <v>6.0606060606060608E-2</v>
      </c>
      <c r="AJ803" s="31">
        <f t="shared" si="195"/>
        <v>1.5151515151515152E-2</v>
      </c>
      <c r="AK803" s="31">
        <f t="shared" si="196"/>
        <v>0.93939393939393945</v>
      </c>
      <c r="AL803" s="29">
        <f t="shared" si="197"/>
        <v>0.41666666666666669</v>
      </c>
      <c r="AM803" s="29">
        <f t="shared" si="198"/>
        <v>527.75</v>
      </c>
      <c r="AN803" s="29">
        <f t="shared" si="199"/>
        <v>1.2505921364282331</v>
      </c>
      <c r="AO803" s="29">
        <f t="shared" si="200"/>
        <v>1.3333333333333333</v>
      </c>
      <c r="AP803" s="31">
        <f t="shared" si="201"/>
        <v>0.93794410232117487</v>
      </c>
      <c r="AQ803" s="31">
        <f t="shared" si="202"/>
        <v>0.93939393939393945</v>
      </c>
      <c r="AR803" s="31">
        <f t="shared" si="203"/>
        <v>0.84124830393487082</v>
      </c>
      <c r="AS803" s="29">
        <f t="shared" si="204"/>
        <v>25.534803030303031</v>
      </c>
      <c r="AT803" s="29">
        <f t="shared" si="205"/>
        <v>6.8833673094582277</v>
      </c>
      <c r="AU803" s="27" t="str">
        <f t="shared" si="206"/>
        <v>Medium</v>
      </c>
      <c r="AV803" s="27" t="str">
        <f t="shared" si="207"/>
        <v>Warning</v>
      </c>
      <c r="AW803" s="27"/>
    </row>
    <row r="804" spans="1:49" x14ac:dyDescent="0.25">
      <c r="A804" s="27">
        <v>803</v>
      </c>
      <c r="B804" s="28">
        <v>46125</v>
      </c>
      <c r="C804" s="28" t="str">
        <f t="shared" si="192"/>
        <v>April</v>
      </c>
      <c r="D804" s="27" t="s">
        <v>67</v>
      </c>
      <c r="E804" s="27" t="s">
        <v>98</v>
      </c>
      <c r="F804" s="27" t="s">
        <v>99</v>
      </c>
      <c r="G804" s="27" t="s">
        <v>78</v>
      </c>
      <c r="H804" s="27" t="s">
        <v>79</v>
      </c>
      <c r="I804" s="27" t="s">
        <v>927</v>
      </c>
      <c r="J804" s="27" t="s">
        <v>153</v>
      </c>
      <c r="K804" s="27">
        <v>679</v>
      </c>
      <c r="L804" s="27">
        <v>583</v>
      </c>
      <c r="M804" s="27">
        <v>557</v>
      </c>
      <c r="N804" s="27">
        <v>26</v>
      </c>
      <c r="O804" s="27">
        <v>5</v>
      </c>
      <c r="P804" s="27">
        <v>38</v>
      </c>
      <c r="Q804" s="27" t="s">
        <v>97</v>
      </c>
      <c r="R804" s="27">
        <v>49</v>
      </c>
      <c r="S804" s="27">
        <v>49</v>
      </c>
      <c r="T804" s="29">
        <v>68.5</v>
      </c>
      <c r="U804" s="29">
        <v>2.41</v>
      </c>
      <c r="V804" s="29">
        <v>20.86</v>
      </c>
      <c r="W804" s="30">
        <v>13053.05</v>
      </c>
      <c r="X804" s="27">
        <v>7.02</v>
      </c>
      <c r="Y804" s="27" t="s">
        <v>66</v>
      </c>
      <c r="Z804" s="29">
        <v>14</v>
      </c>
      <c r="AA804" s="30">
        <v>20859.46</v>
      </c>
      <c r="AB804" s="29">
        <v>0.95540308747855895</v>
      </c>
      <c r="AC804" s="30">
        <v>16399.79</v>
      </c>
      <c r="AD804" s="30">
        <v>111.947255574614</v>
      </c>
      <c r="AE804" s="27">
        <v>554.51666666666699</v>
      </c>
      <c r="AF804" s="29">
        <v>0.93147185236392105</v>
      </c>
      <c r="AG804" s="30">
        <v>4347.7227444253804</v>
      </c>
      <c r="AH804" s="31">
        <f t="shared" si="193"/>
        <v>0.85861561119293073</v>
      </c>
      <c r="AI804" s="31">
        <f t="shared" si="194"/>
        <v>4.4596912521440824E-2</v>
      </c>
      <c r="AJ804" s="31">
        <f t="shared" si="195"/>
        <v>8.5763293310463125E-3</v>
      </c>
      <c r="AK804" s="31">
        <f t="shared" si="196"/>
        <v>0.95540308747855918</v>
      </c>
      <c r="AL804" s="29">
        <f t="shared" si="197"/>
        <v>0.6333333333333333</v>
      </c>
      <c r="AM804" s="29">
        <f t="shared" si="198"/>
        <v>516.51666666666699</v>
      </c>
      <c r="AN804" s="29">
        <f t="shared" si="199"/>
        <v>1.1287147881643051</v>
      </c>
      <c r="AO804" s="29">
        <f t="shared" si="200"/>
        <v>1.2244897959183674</v>
      </c>
      <c r="AP804" s="31">
        <f t="shared" si="201"/>
        <v>0.92178374366751581</v>
      </c>
      <c r="AQ804" s="31">
        <f t="shared" si="202"/>
        <v>0.95540308747855918</v>
      </c>
      <c r="AR804" s="31">
        <f t="shared" si="203"/>
        <v>0.82032400589101617</v>
      </c>
      <c r="AS804" s="29">
        <f t="shared" si="204"/>
        <v>28.130000000000003</v>
      </c>
      <c r="AT804" s="29">
        <f t="shared" si="205"/>
        <v>7.4575004192545116</v>
      </c>
      <c r="AU804" s="27" t="str">
        <f t="shared" si="206"/>
        <v>Medium</v>
      </c>
      <c r="AV804" s="27" t="str">
        <f t="shared" si="207"/>
        <v>Warning</v>
      </c>
      <c r="AW804" s="27"/>
    </row>
    <row r="805" spans="1:49" x14ac:dyDescent="0.25">
      <c r="A805" s="27">
        <v>804</v>
      </c>
      <c r="B805" s="28">
        <v>46101</v>
      </c>
      <c r="C805" s="28" t="str">
        <f t="shared" si="192"/>
        <v>March</v>
      </c>
      <c r="D805" s="27" t="s">
        <v>67</v>
      </c>
      <c r="E805" s="27" t="s">
        <v>61</v>
      </c>
      <c r="F805" s="27" t="s">
        <v>62</v>
      </c>
      <c r="G805" s="27" t="s">
        <v>63</v>
      </c>
      <c r="H805" s="27" t="s">
        <v>57</v>
      </c>
      <c r="I805" s="27" t="s">
        <v>928</v>
      </c>
      <c r="J805" s="27" t="s">
        <v>70</v>
      </c>
      <c r="K805" s="27">
        <v>870</v>
      </c>
      <c r="L805" s="27">
        <v>868</v>
      </c>
      <c r="M805" s="27">
        <v>838</v>
      </c>
      <c r="N805" s="27">
        <v>30</v>
      </c>
      <c r="O805" s="27">
        <v>11</v>
      </c>
      <c r="P805" s="27">
        <v>19</v>
      </c>
      <c r="Q805" s="27" t="s">
        <v>54</v>
      </c>
      <c r="R805" s="27">
        <v>45</v>
      </c>
      <c r="S805" s="27">
        <v>48</v>
      </c>
      <c r="T805" s="29">
        <v>72.400000000000006</v>
      </c>
      <c r="U805" s="29">
        <v>2.37</v>
      </c>
      <c r="V805" s="29">
        <v>36.130000000000003</v>
      </c>
      <c r="W805" s="30">
        <v>18282.240000000002</v>
      </c>
      <c r="X805" s="27">
        <v>7.9</v>
      </c>
      <c r="Y805" s="27" t="s">
        <v>66</v>
      </c>
      <c r="Z805" s="29">
        <v>45</v>
      </c>
      <c r="AA805" s="30">
        <v>29908.799999999999</v>
      </c>
      <c r="AB805" s="29">
        <v>0.96543778801843305</v>
      </c>
      <c r="AC805" s="30">
        <v>22162.41</v>
      </c>
      <c r="AD805" s="30">
        <v>231.68737327188899</v>
      </c>
      <c r="AE805" s="27">
        <v>652.5</v>
      </c>
      <c r="AF805" s="29">
        <v>0.97088122605364002</v>
      </c>
      <c r="AG805" s="30">
        <v>7514.7026267281099</v>
      </c>
      <c r="AH805" s="31">
        <f t="shared" si="193"/>
        <v>0.99770114942528731</v>
      </c>
      <c r="AI805" s="31">
        <f t="shared" si="194"/>
        <v>3.4562211981566823E-2</v>
      </c>
      <c r="AJ805" s="31">
        <f t="shared" si="195"/>
        <v>1.2672811059907835E-2</v>
      </c>
      <c r="AK805" s="31">
        <f t="shared" si="196"/>
        <v>0.96543778801843316</v>
      </c>
      <c r="AL805" s="29">
        <f t="shared" si="197"/>
        <v>0.31666666666666665</v>
      </c>
      <c r="AM805" s="29">
        <f t="shared" si="198"/>
        <v>633.5</v>
      </c>
      <c r="AN805" s="29">
        <f t="shared" si="199"/>
        <v>1.3701657458563536</v>
      </c>
      <c r="AO805" s="29">
        <f t="shared" si="200"/>
        <v>1.3333333333333333</v>
      </c>
      <c r="AP805" s="31">
        <f t="shared" si="201"/>
        <v>1.0276243093922652</v>
      </c>
      <c r="AQ805" s="31">
        <f t="shared" si="202"/>
        <v>0.96543778801843316</v>
      </c>
      <c r="AR805" s="31">
        <f t="shared" si="203"/>
        <v>0.96321839080459781</v>
      </c>
      <c r="AS805" s="29">
        <f t="shared" si="204"/>
        <v>25.532730414746542</v>
      </c>
      <c r="AT805" s="29">
        <f t="shared" si="205"/>
        <v>8.6574915054471315</v>
      </c>
      <c r="AU805" s="27" t="str">
        <f t="shared" si="206"/>
        <v>Medium</v>
      </c>
      <c r="AV805" s="27" t="str">
        <f t="shared" si="207"/>
        <v>Normal</v>
      </c>
      <c r="AW805" s="27"/>
    </row>
    <row r="806" spans="1:49" x14ac:dyDescent="0.25">
      <c r="A806" s="27">
        <v>805</v>
      </c>
      <c r="B806" s="28">
        <v>46175</v>
      </c>
      <c r="C806" s="28" t="str">
        <f t="shared" si="192"/>
        <v>June</v>
      </c>
      <c r="D806" s="27" t="s">
        <v>47</v>
      </c>
      <c r="E806" s="27" t="s">
        <v>48</v>
      </c>
      <c r="F806" s="27" t="s">
        <v>49</v>
      </c>
      <c r="G806" s="27" t="s">
        <v>50</v>
      </c>
      <c r="H806" s="27" t="s">
        <v>51</v>
      </c>
      <c r="I806" s="27" t="s">
        <v>929</v>
      </c>
      <c r="J806" s="27" t="s">
        <v>134</v>
      </c>
      <c r="K806" s="27">
        <v>766</v>
      </c>
      <c r="L806" s="27">
        <v>776</v>
      </c>
      <c r="M806" s="27">
        <v>737</v>
      </c>
      <c r="N806" s="27">
        <v>39</v>
      </c>
      <c r="O806" s="27">
        <v>12</v>
      </c>
      <c r="P806" s="27">
        <v>39</v>
      </c>
      <c r="Q806" s="27" t="s">
        <v>94</v>
      </c>
      <c r="R806" s="27">
        <v>42</v>
      </c>
      <c r="S806" s="27">
        <v>46</v>
      </c>
      <c r="T806" s="29">
        <v>66.5</v>
      </c>
      <c r="U806" s="29">
        <v>1.8</v>
      </c>
      <c r="V806" s="29">
        <v>28.98</v>
      </c>
      <c r="W806" s="30">
        <v>14091.57</v>
      </c>
      <c r="X806" s="27">
        <v>8.3699999999999992</v>
      </c>
      <c r="Y806" s="27" t="s">
        <v>71</v>
      </c>
      <c r="Z806" s="29">
        <v>41</v>
      </c>
      <c r="AA806" s="30">
        <v>23660.62</v>
      </c>
      <c r="AB806" s="29">
        <v>0.94974226804123696</v>
      </c>
      <c r="AC806" s="30">
        <v>18118.89</v>
      </c>
      <c r="AD806" s="30">
        <v>217.91087628866001</v>
      </c>
      <c r="AE806" s="27">
        <v>536.20000000000005</v>
      </c>
      <c r="AF806" s="29">
        <v>0.92726594554270803</v>
      </c>
      <c r="AG806" s="30">
        <v>5323.8191237113397</v>
      </c>
      <c r="AH806" s="31">
        <f t="shared" si="193"/>
        <v>1.0130548302872062</v>
      </c>
      <c r="AI806" s="31">
        <f t="shared" si="194"/>
        <v>5.0257731958762888E-2</v>
      </c>
      <c r="AJ806" s="31">
        <f t="shared" si="195"/>
        <v>1.5463917525773196E-2</v>
      </c>
      <c r="AK806" s="31">
        <f t="shared" si="196"/>
        <v>0.94974226804123707</v>
      </c>
      <c r="AL806" s="29">
        <f t="shared" si="197"/>
        <v>0.65</v>
      </c>
      <c r="AM806" s="29">
        <f t="shared" si="198"/>
        <v>497.20000000000005</v>
      </c>
      <c r="AN806" s="29">
        <f t="shared" si="199"/>
        <v>1.560740144810941</v>
      </c>
      <c r="AO806" s="29">
        <f t="shared" si="200"/>
        <v>1.4285714285714286</v>
      </c>
      <c r="AP806" s="31">
        <f t="shared" si="201"/>
        <v>1.0925181013676586</v>
      </c>
      <c r="AQ806" s="31">
        <f t="shared" si="202"/>
        <v>0.94974226804123707</v>
      </c>
      <c r="AR806" s="31">
        <f t="shared" si="203"/>
        <v>0.96214099216710158</v>
      </c>
      <c r="AS806" s="29">
        <f t="shared" si="204"/>
        <v>23.349085051546393</v>
      </c>
      <c r="AT806" s="29">
        <f t="shared" si="205"/>
        <v>6.8605916542671901</v>
      </c>
      <c r="AU806" s="27" t="str">
        <f t="shared" si="206"/>
        <v>High</v>
      </c>
      <c r="AV806" s="27" t="str">
        <f t="shared" si="207"/>
        <v>Normal</v>
      </c>
      <c r="AW806" s="27"/>
    </row>
    <row r="807" spans="1:49" x14ac:dyDescent="0.25">
      <c r="A807" s="27">
        <v>806</v>
      </c>
      <c r="B807" s="28">
        <v>46066</v>
      </c>
      <c r="C807" s="28" t="str">
        <f t="shared" si="192"/>
        <v>February</v>
      </c>
      <c r="D807" s="27" t="s">
        <v>47</v>
      </c>
      <c r="E807" s="27" t="s">
        <v>76</v>
      </c>
      <c r="F807" s="27" t="s">
        <v>113</v>
      </c>
      <c r="G807" s="27" t="s">
        <v>50</v>
      </c>
      <c r="H807" s="27" t="s">
        <v>57</v>
      </c>
      <c r="I807" s="27" t="s">
        <v>930</v>
      </c>
      <c r="J807" s="27" t="s">
        <v>170</v>
      </c>
      <c r="K807" s="27">
        <v>751</v>
      </c>
      <c r="L807" s="27">
        <v>800</v>
      </c>
      <c r="M807" s="27">
        <v>771</v>
      </c>
      <c r="N807" s="27">
        <v>29</v>
      </c>
      <c r="O807" s="27">
        <v>8</v>
      </c>
      <c r="P807" s="27">
        <v>14</v>
      </c>
      <c r="Q807" s="27" t="s">
        <v>97</v>
      </c>
      <c r="R807" s="27">
        <v>45</v>
      </c>
      <c r="S807" s="27">
        <v>45</v>
      </c>
      <c r="T807" s="29">
        <v>70.599999999999994</v>
      </c>
      <c r="U807" s="29">
        <v>2.19</v>
      </c>
      <c r="V807" s="29">
        <v>23.91</v>
      </c>
      <c r="W807" s="30">
        <v>15508.82</v>
      </c>
      <c r="X807" s="27">
        <v>8.75</v>
      </c>
      <c r="Y807" s="27" t="s">
        <v>55</v>
      </c>
      <c r="Z807" s="29">
        <v>25</v>
      </c>
      <c r="AA807" s="30">
        <v>26901.19</v>
      </c>
      <c r="AB807" s="29">
        <v>0.96375</v>
      </c>
      <c r="AC807" s="30">
        <v>19661.509999999998</v>
      </c>
      <c r="AD807" s="30">
        <v>155.0882</v>
      </c>
      <c r="AE807" s="27">
        <v>563.25</v>
      </c>
      <c r="AF807" s="29">
        <v>0.97514425210830002</v>
      </c>
      <c r="AG807" s="30">
        <v>7084.5918000000001</v>
      </c>
      <c r="AH807" s="31">
        <f t="shared" si="193"/>
        <v>1.0652463382157125</v>
      </c>
      <c r="AI807" s="31">
        <f t="shared" si="194"/>
        <v>3.6249999999999998E-2</v>
      </c>
      <c r="AJ807" s="31">
        <f t="shared" si="195"/>
        <v>0.01</v>
      </c>
      <c r="AK807" s="31">
        <f t="shared" si="196"/>
        <v>0.96375</v>
      </c>
      <c r="AL807" s="29">
        <f t="shared" si="197"/>
        <v>0.23333333333333334</v>
      </c>
      <c r="AM807" s="29">
        <f t="shared" si="198"/>
        <v>549.25</v>
      </c>
      <c r="AN807" s="29">
        <f t="shared" si="199"/>
        <v>1.4565316340464269</v>
      </c>
      <c r="AO807" s="29">
        <f t="shared" si="200"/>
        <v>1.3333333333333333</v>
      </c>
      <c r="AP807" s="31">
        <f t="shared" si="201"/>
        <v>1.0923987255348202</v>
      </c>
      <c r="AQ807" s="31">
        <f t="shared" si="202"/>
        <v>0.96375</v>
      </c>
      <c r="AR807" s="31">
        <f t="shared" si="203"/>
        <v>1.0266311584553929</v>
      </c>
      <c r="AS807" s="29">
        <f t="shared" si="204"/>
        <v>24.576887499999998</v>
      </c>
      <c r="AT807" s="29">
        <f t="shared" si="205"/>
        <v>8.8557397499999997</v>
      </c>
      <c r="AU807" s="27" t="str">
        <f t="shared" si="206"/>
        <v>Low</v>
      </c>
      <c r="AV807" s="27" t="str">
        <f t="shared" si="207"/>
        <v>Normal</v>
      </c>
      <c r="AW807" s="27"/>
    </row>
    <row r="808" spans="1:49" x14ac:dyDescent="0.25">
      <c r="A808" s="27">
        <v>807</v>
      </c>
      <c r="B808" s="28">
        <v>46101</v>
      </c>
      <c r="C808" s="28" t="str">
        <f t="shared" si="192"/>
        <v>March</v>
      </c>
      <c r="D808" s="27" t="s">
        <v>67</v>
      </c>
      <c r="E808" s="27" t="s">
        <v>61</v>
      </c>
      <c r="F808" s="27" t="s">
        <v>88</v>
      </c>
      <c r="G808" s="27" t="s">
        <v>63</v>
      </c>
      <c r="H808" s="27" t="s">
        <v>124</v>
      </c>
      <c r="I808" s="27" t="s">
        <v>931</v>
      </c>
      <c r="J808" s="27" t="s">
        <v>170</v>
      </c>
      <c r="K808" s="27">
        <v>717</v>
      </c>
      <c r="L808" s="27">
        <v>702</v>
      </c>
      <c r="M808" s="27">
        <v>680</v>
      </c>
      <c r="N808" s="27">
        <v>22</v>
      </c>
      <c r="O808" s="27">
        <v>8</v>
      </c>
      <c r="P808" s="27">
        <v>27</v>
      </c>
      <c r="Q808" s="27" t="s">
        <v>91</v>
      </c>
      <c r="R808" s="27">
        <v>57</v>
      </c>
      <c r="S808" s="27">
        <v>61</v>
      </c>
      <c r="T808" s="29">
        <v>77.7</v>
      </c>
      <c r="U808" s="29">
        <v>1.63</v>
      </c>
      <c r="V808" s="29">
        <v>26.03</v>
      </c>
      <c r="W808" s="30">
        <v>18817.09</v>
      </c>
      <c r="X808" s="27">
        <v>9.9600000000000009</v>
      </c>
      <c r="Y808" s="27" t="s">
        <v>55</v>
      </c>
      <c r="Z808" s="29">
        <v>10</v>
      </c>
      <c r="AA808" s="30">
        <v>30967.27</v>
      </c>
      <c r="AB808" s="29">
        <v>0.96866096866096896</v>
      </c>
      <c r="AC808" s="30">
        <v>23533.360000000001</v>
      </c>
      <c r="AD808" s="30">
        <v>214.43977207977201</v>
      </c>
      <c r="AE808" s="27">
        <v>681.15</v>
      </c>
      <c r="AF808" s="29">
        <v>0.96036115393085197</v>
      </c>
      <c r="AG808" s="30">
        <v>7219.4702279202302</v>
      </c>
      <c r="AH808" s="31">
        <f t="shared" si="193"/>
        <v>0.97907949790794979</v>
      </c>
      <c r="AI808" s="31">
        <f t="shared" si="194"/>
        <v>3.1339031339031341E-2</v>
      </c>
      <c r="AJ808" s="31">
        <f t="shared" si="195"/>
        <v>1.1396011396011397E-2</v>
      </c>
      <c r="AK808" s="31">
        <f t="shared" si="196"/>
        <v>0.96866096866096862</v>
      </c>
      <c r="AL808" s="29">
        <f t="shared" si="197"/>
        <v>0.45</v>
      </c>
      <c r="AM808" s="29">
        <f t="shared" si="198"/>
        <v>654.15</v>
      </c>
      <c r="AN808" s="29">
        <f t="shared" si="199"/>
        <v>1.0731483604677827</v>
      </c>
      <c r="AO808" s="29">
        <f t="shared" si="200"/>
        <v>1.0526315789473684</v>
      </c>
      <c r="AP808" s="31">
        <f t="shared" si="201"/>
        <v>1.0194909424443936</v>
      </c>
      <c r="AQ808" s="31">
        <f t="shared" si="202"/>
        <v>0.96866096866096862</v>
      </c>
      <c r="AR808" s="31">
        <f t="shared" si="203"/>
        <v>0.94839609483960929</v>
      </c>
      <c r="AS808" s="29">
        <f t="shared" si="204"/>
        <v>33.523304843304842</v>
      </c>
      <c r="AT808" s="29">
        <f t="shared" si="205"/>
        <v>10.284145623817992</v>
      </c>
      <c r="AU808" s="27" t="str">
        <f t="shared" si="206"/>
        <v>Low</v>
      </c>
      <c r="AV808" s="27" t="str">
        <f t="shared" si="207"/>
        <v>Normal</v>
      </c>
      <c r="AW808" s="27"/>
    </row>
    <row r="809" spans="1:49" x14ac:dyDescent="0.25">
      <c r="A809" s="27">
        <v>808</v>
      </c>
      <c r="B809" s="28">
        <v>46148</v>
      </c>
      <c r="C809" s="28" t="str">
        <f t="shared" si="192"/>
        <v>May</v>
      </c>
      <c r="D809" s="27" t="s">
        <v>47</v>
      </c>
      <c r="E809" s="27" t="s">
        <v>98</v>
      </c>
      <c r="F809" s="27" t="s">
        <v>105</v>
      </c>
      <c r="G809" s="27" t="s">
        <v>50</v>
      </c>
      <c r="H809" s="27" t="s">
        <v>51</v>
      </c>
      <c r="I809" s="27" t="s">
        <v>932</v>
      </c>
      <c r="J809" s="27" t="s">
        <v>140</v>
      </c>
      <c r="K809" s="27">
        <v>755</v>
      </c>
      <c r="L809" s="27">
        <v>786</v>
      </c>
      <c r="M809" s="27">
        <v>736</v>
      </c>
      <c r="N809" s="27">
        <v>50</v>
      </c>
      <c r="O809" s="27">
        <v>15</v>
      </c>
      <c r="P809" s="27">
        <v>24</v>
      </c>
      <c r="Q809" s="27" t="s">
        <v>97</v>
      </c>
      <c r="R809" s="27">
        <v>42</v>
      </c>
      <c r="S809" s="27">
        <v>46</v>
      </c>
      <c r="T809" s="29">
        <v>70.8</v>
      </c>
      <c r="U809" s="29">
        <v>2.14</v>
      </c>
      <c r="V809" s="29">
        <v>25.51</v>
      </c>
      <c r="W809" s="30">
        <v>13787.75</v>
      </c>
      <c r="X809" s="27">
        <v>10.220000000000001</v>
      </c>
      <c r="Y809" s="27" t="s">
        <v>66</v>
      </c>
      <c r="Z809" s="29">
        <v>26</v>
      </c>
      <c r="AA809" s="30">
        <v>23516.98</v>
      </c>
      <c r="AB809" s="29">
        <v>0.93638676844783697</v>
      </c>
      <c r="AC809" s="30">
        <v>18616.34</v>
      </c>
      <c r="AD809" s="30">
        <v>263.125</v>
      </c>
      <c r="AE809" s="27">
        <v>528.5</v>
      </c>
      <c r="AF809" s="29">
        <v>0.95458845789971603</v>
      </c>
      <c r="AG809" s="30">
        <v>4637.5150000000003</v>
      </c>
      <c r="AH809" s="31">
        <f t="shared" si="193"/>
        <v>1.0410596026490067</v>
      </c>
      <c r="AI809" s="31">
        <f t="shared" si="194"/>
        <v>6.3613231552162849E-2</v>
      </c>
      <c r="AJ809" s="31">
        <f t="shared" si="195"/>
        <v>1.9083969465648856E-2</v>
      </c>
      <c r="AK809" s="31">
        <f t="shared" si="196"/>
        <v>0.93638676844783719</v>
      </c>
      <c r="AL809" s="29">
        <f t="shared" si="197"/>
        <v>0.4</v>
      </c>
      <c r="AM809" s="29">
        <f t="shared" si="198"/>
        <v>504.5</v>
      </c>
      <c r="AN809" s="29">
        <f t="shared" si="199"/>
        <v>1.557978196233895</v>
      </c>
      <c r="AO809" s="29">
        <f t="shared" si="200"/>
        <v>1.4285714285714286</v>
      </c>
      <c r="AP809" s="31">
        <f t="shared" si="201"/>
        <v>1.0905847373637265</v>
      </c>
      <c r="AQ809" s="31">
        <f t="shared" si="202"/>
        <v>0.93638676844783719</v>
      </c>
      <c r="AR809" s="31">
        <f t="shared" si="203"/>
        <v>0.97483443708609263</v>
      </c>
      <c r="AS809" s="29">
        <f t="shared" si="204"/>
        <v>23.684910941475827</v>
      </c>
      <c r="AT809" s="29">
        <f t="shared" si="205"/>
        <v>5.9001463104325707</v>
      </c>
      <c r="AU809" s="27" t="str">
        <f t="shared" si="206"/>
        <v>Low</v>
      </c>
      <c r="AV809" s="27" t="str">
        <f t="shared" si="207"/>
        <v>Normal</v>
      </c>
      <c r="AW809" s="27"/>
    </row>
    <row r="810" spans="1:49" x14ac:dyDescent="0.25">
      <c r="A810" s="27">
        <v>809</v>
      </c>
      <c r="B810" s="28">
        <v>46025</v>
      </c>
      <c r="C810" s="28" t="str">
        <f t="shared" si="192"/>
        <v>January</v>
      </c>
      <c r="D810" s="27" t="s">
        <v>67</v>
      </c>
      <c r="E810" s="27" t="s">
        <v>76</v>
      </c>
      <c r="F810" s="27" t="s">
        <v>119</v>
      </c>
      <c r="G810" s="27" t="s">
        <v>50</v>
      </c>
      <c r="H810" s="27" t="s">
        <v>57</v>
      </c>
      <c r="I810" s="27" t="s">
        <v>933</v>
      </c>
      <c r="J810" s="27" t="s">
        <v>70</v>
      </c>
      <c r="K810" s="27">
        <v>772</v>
      </c>
      <c r="L810" s="27">
        <v>734</v>
      </c>
      <c r="M810" s="27">
        <v>664</v>
      </c>
      <c r="N810" s="27">
        <v>70</v>
      </c>
      <c r="O810" s="27">
        <v>27</v>
      </c>
      <c r="P810" s="27">
        <v>10</v>
      </c>
      <c r="Q810" s="27" t="s">
        <v>54</v>
      </c>
      <c r="R810" s="27">
        <v>45</v>
      </c>
      <c r="S810" s="27">
        <v>47</v>
      </c>
      <c r="T810" s="29">
        <v>81</v>
      </c>
      <c r="U810" s="29">
        <v>2.17</v>
      </c>
      <c r="V810" s="29">
        <v>24.58</v>
      </c>
      <c r="W810" s="30">
        <v>14483.63</v>
      </c>
      <c r="X810" s="27">
        <v>7.72</v>
      </c>
      <c r="Y810" s="27" t="s">
        <v>55</v>
      </c>
      <c r="Z810" s="29">
        <v>19</v>
      </c>
      <c r="AA810" s="30">
        <v>22664.98</v>
      </c>
      <c r="AB810" s="29">
        <v>0.904632152588556</v>
      </c>
      <c r="AC810" s="30">
        <v>18178.849999999999</v>
      </c>
      <c r="AD810" s="30">
        <v>532.77658038147104</v>
      </c>
      <c r="AE810" s="27">
        <v>579</v>
      </c>
      <c r="AF810" s="29">
        <v>0.98272884283246997</v>
      </c>
      <c r="AG810" s="30">
        <v>3953.3534196185301</v>
      </c>
      <c r="AH810" s="31">
        <f t="shared" si="193"/>
        <v>0.95077720207253891</v>
      </c>
      <c r="AI810" s="31">
        <f t="shared" si="194"/>
        <v>9.5367847411444148E-2</v>
      </c>
      <c r="AJ810" s="31">
        <f t="shared" si="195"/>
        <v>3.6784741144414171E-2</v>
      </c>
      <c r="AK810" s="31">
        <f t="shared" si="196"/>
        <v>0.90463215258855589</v>
      </c>
      <c r="AL810" s="29">
        <f t="shared" si="197"/>
        <v>0.16666666666666666</v>
      </c>
      <c r="AM810" s="29">
        <f t="shared" si="198"/>
        <v>569</v>
      </c>
      <c r="AN810" s="29">
        <f t="shared" si="199"/>
        <v>1.2899824253075571</v>
      </c>
      <c r="AO810" s="29">
        <f t="shared" si="200"/>
        <v>1.3333333333333333</v>
      </c>
      <c r="AP810" s="31">
        <f t="shared" si="201"/>
        <v>0.96748681898066791</v>
      </c>
      <c r="AQ810" s="31">
        <f t="shared" si="202"/>
        <v>0.90463215258855589</v>
      </c>
      <c r="AR810" s="31">
        <f t="shared" si="203"/>
        <v>0.86010362694300546</v>
      </c>
      <c r="AS810" s="29">
        <f t="shared" si="204"/>
        <v>24.766825613079018</v>
      </c>
      <c r="AT810" s="29">
        <f t="shared" si="205"/>
        <v>5.3860400812241558</v>
      </c>
      <c r="AU810" s="27" t="str">
        <f t="shared" si="206"/>
        <v>Medium</v>
      </c>
      <c r="AV810" s="27" t="str">
        <f t="shared" si="207"/>
        <v>Warning</v>
      </c>
      <c r="AW810" s="27"/>
    </row>
    <row r="811" spans="1:49" x14ac:dyDescent="0.25">
      <c r="A811" s="27">
        <v>810</v>
      </c>
      <c r="B811" s="28">
        <v>46145</v>
      </c>
      <c r="C811" s="28" t="str">
        <f t="shared" si="192"/>
        <v>May</v>
      </c>
      <c r="D811" s="27" t="s">
        <v>67</v>
      </c>
      <c r="E811" s="27" t="s">
        <v>61</v>
      </c>
      <c r="F811" s="27" t="s">
        <v>88</v>
      </c>
      <c r="G811" s="27" t="s">
        <v>63</v>
      </c>
      <c r="H811" s="27" t="s">
        <v>79</v>
      </c>
      <c r="I811" s="27" t="s">
        <v>934</v>
      </c>
      <c r="J811" s="27" t="s">
        <v>93</v>
      </c>
      <c r="K811" s="27">
        <v>778</v>
      </c>
      <c r="L811" s="27">
        <v>722</v>
      </c>
      <c r="M811" s="27">
        <v>700</v>
      </c>
      <c r="N811" s="27">
        <v>22</v>
      </c>
      <c r="O811" s="27">
        <v>9</v>
      </c>
      <c r="P811" s="27">
        <v>23</v>
      </c>
      <c r="Q811" s="27" t="s">
        <v>102</v>
      </c>
      <c r="R811" s="27">
        <v>49</v>
      </c>
      <c r="S811" s="27">
        <v>49</v>
      </c>
      <c r="T811" s="29">
        <v>65.7</v>
      </c>
      <c r="U811" s="29">
        <v>2.6</v>
      </c>
      <c r="V811" s="29">
        <v>22.06</v>
      </c>
      <c r="W811" s="30">
        <v>16047.61</v>
      </c>
      <c r="X811" s="27">
        <v>6.77</v>
      </c>
      <c r="Y811" s="27" t="s">
        <v>55</v>
      </c>
      <c r="Z811" s="29">
        <v>20</v>
      </c>
      <c r="AA811" s="30">
        <v>25878.97</v>
      </c>
      <c r="AB811" s="29">
        <v>0.96952908587257602</v>
      </c>
      <c r="AC811" s="30">
        <v>19292.650000000001</v>
      </c>
      <c r="AD811" s="30">
        <v>200.03945983379501</v>
      </c>
      <c r="AE811" s="27">
        <v>635.36666666666702</v>
      </c>
      <c r="AF811" s="29">
        <v>0.96380043019778605</v>
      </c>
      <c r="AG811" s="30">
        <v>6386.2805401661999</v>
      </c>
      <c r="AH811" s="31">
        <f t="shared" si="193"/>
        <v>0.92802056555269918</v>
      </c>
      <c r="AI811" s="31">
        <f t="shared" si="194"/>
        <v>3.0470914127423823E-2</v>
      </c>
      <c r="AJ811" s="31">
        <f t="shared" si="195"/>
        <v>1.2465373961218837E-2</v>
      </c>
      <c r="AK811" s="31">
        <f t="shared" si="196"/>
        <v>0.96952908587257614</v>
      </c>
      <c r="AL811" s="29">
        <f t="shared" si="197"/>
        <v>0.38333333333333336</v>
      </c>
      <c r="AM811" s="29">
        <f t="shared" si="198"/>
        <v>612.36666666666702</v>
      </c>
      <c r="AN811" s="29">
        <f t="shared" si="199"/>
        <v>1.179032170268357</v>
      </c>
      <c r="AO811" s="29">
        <f t="shared" si="200"/>
        <v>1.2244897959183674</v>
      </c>
      <c r="AP811" s="31">
        <f t="shared" si="201"/>
        <v>0.96287627238582485</v>
      </c>
      <c r="AQ811" s="31">
        <f t="shared" si="202"/>
        <v>0.96952908587257614</v>
      </c>
      <c r="AR811" s="31">
        <f t="shared" si="203"/>
        <v>0.89974293059125898</v>
      </c>
      <c r="AS811" s="29">
        <f t="shared" si="204"/>
        <v>26.721121883656512</v>
      </c>
      <c r="AT811" s="29">
        <f t="shared" si="205"/>
        <v>8.8452639060473679</v>
      </c>
      <c r="AU811" s="27" t="str">
        <f t="shared" si="206"/>
        <v>Low</v>
      </c>
      <c r="AV811" s="27" t="str">
        <f t="shared" si="207"/>
        <v>Normal</v>
      </c>
      <c r="AW811" s="27"/>
    </row>
    <row r="812" spans="1:49" x14ac:dyDescent="0.25">
      <c r="A812" s="27">
        <v>811</v>
      </c>
      <c r="B812" s="28">
        <v>46175</v>
      </c>
      <c r="C812" s="28" t="str">
        <f t="shared" si="192"/>
        <v>June</v>
      </c>
      <c r="D812" s="27" t="s">
        <v>67</v>
      </c>
      <c r="E812" s="27" t="s">
        <v>61</v>
      </c>
      <c r="F812" s="27" t="s">
        <v>88</v>
      </c>
      <c r="G812" s="27" t="s">
        <v>63</v>
      </c>
      <c r="H812" s="27" t="s">
        <v>124</v>
      </c>
      <c r="I812" s="27" t="s">
        <v>935</v>
      </c>
      <c r="J812" s="27" t="s">
        <v>286</v>
      </c>
      <c r="K812" s="27">
        <v>733</v>
      </c>
      <c r="L812" s="27">
        <v>766</v>
      </c>
      <c r="M812" s="27">
        <v>743</v>
      </c>
      <c r="N812" s="27">
        <v>23</v>
      </c>
      <c r="O812" s="27">
        <v>6</v>
      </c>
      <c r="P812" s="27">
        <v>10</v>
      </c>
      <c r="Q812" s="27" t="s">
        <v>91</v>
      </c>
      <c r="R812" s="27">
        <v>57</v>
      </c>
      <c r="S812" s="27">
        <v>59</v>
      </c>
      <c r="T812" s="29">
        <v>75.3</v>
      </c>
      <c r="U812" s="29">
        <v>2.2599999999999998</v>
      </c>
      <c r="V812" s="29">
        <v>31.45</v>
      </c>
      <c r="W812" s="30">
        <v>20553.22</v>
      </c>
      <c r="X812" s="27">
        <v>10.11</v>
      </c>
      <c r="Y812" s="27" t="s">
        <v>71</v>
      </c>
      <c r="Z812" s="29">
        <v>22</v>
      </c>
      <c r="AA812" s="30">
        <v>34526.6</v>
      </c>
      <c r="AB812" s="29">
        <v>0.96997389033942605</v>
      </c>
      <c r="AC812" s="30">
        <v>25385.77</v>
      </c>
      <c r="AD812" s="30">
        <v>160.991279373368</v>
      </c>
      <c r="AE812" s="27">
        <v>696.35</v>
      </c>
      <c r="AF812" s="29">
        <v>0.98563940547138695</v>
      </c>
      <c r="AG812" s="30">
        <v>8979.8387206266307</v>
      </c>
      <c r="AH812" s="31">
        <f t="shared" si="193"/>
        <v>1.0450204638472034</v>
      </c>
      <c r="AI812" s="31">
        <f t="shared" si="194"/>
        <v>3.0026109660574413E-2</v>
      </c>
      <c r="AJ812" s="31">
        <f t="shared" si="195"/>
        <v>7.832898172323759E-3</v>
      </c>
      <c r="AK812" s="31">
        <f t="shared" si="196"/>
        <v>0.9699738903394256</v>
      </c>
      <c r="AL812" s="29">
        <f t="shared" si="197"/>
        <v>0.16666666666666666</v>
      </c>
      <c r="AM812" s="29">
        <f t="shared" si="198"/>
        <v>686.35</v>
      </c>
      <c r="AN812" s="29">
        <f t="shared" si="199"/>
        <v>1.1160486632184745</v>
      </c>
      <c r="AO812" s="29">
        <f t="shared" si="200"/>
        <v>1.0526315789473684</v>
      </c>
      <c r="AP812" s="31">
        <f t="shared" si="201"/>
        <v>1.0602462300575508</v>
      </c>
      <c r="AQ812" s="31">
        <f t="shared" si="202"/>
        <v>0.9699738903394256</v>
      </c>
      <c r="AR812" s="31">
        <f t="shared" si="203"/>
        <v>1.0136425648021834</v>
      </c>
      <c r="AS812" s="29">
        <f t="shared" si="204"/>
        <v>33.140691906005223</v>
      </c>
      <c r="AT812" s="29">
        <f t="shared" si="205"/>
        <v>11.723027050426412</v>
      </c>
      <c r="AU812" s="27" t="str">
        <f t="shared" si="206"/>
        <v>High</v>
      </c>
      <c r="AV812" s="27" t="str">
        <f t="shared" si="207"/>
        <v>Normal</v>
      </c>
      <c r="AW812" s="27"/>
    </row>
    <row r="813" spans="1:49" x14ac:dyDescent="0.25">
      <c r="A813" s="27">
        <v>812</v>
      </c>
      <c r="B813" s="28">
        <v>46140</v>
      </c>
      <c r="C813" s="28" t="str">
        <f t="shared" si="192"/>
        <v>April</v>
      </c>
      <c r="D813" s="27" t="s">
        <v>67</v>
      </c>
      <c r="E813" s="27" t="s">
        <v>61</v>
      </c>
      <c r="F813" s="27" t="s">
        <v>88</v>
      </c>
      <c r="G813" s="27" t="s">
        <v>63</v>
      </c>
      <c r="H813" s="27" t="s">
        <v>68</v>
      </c>
      <c r="I813" s="27" t="s">
        <v>936</v>
      </c>
      <c r="J813" s="27" t="s">
        <v>186</v>
      </c>
      <c r="K813" s="27">
        <v>534</v>
      </c>
      <c r="L813" s="27">
        <v>542</v>
      </c>
      <c r="M813" s="27">
        <v>518</v>
      </c>
      <c r="N813" s="27">
        <v>24</v>
      </c>
      <c r="O813" s="27">
        <v>5</v>
      </c>
      <c r="P813" s="27">
        <v>0</v>
      </c>
      <c r="Q813" s="27" t="s">
        <v>60</v>
      </c>
      <c r="R813" s="27">
        <v>64</v>
      </c>
      <c r="S813" s="27">
        <v>63</v>
      </c>
      <c r="T813" s="29">
        <v>69.599999999999994</v>
      </c>
      <c r="U813" s="29">
        <v>2.0099999999999998</v>
      </c>
      <c r="V813" s="29">
        <v>15.68</v>
      </c>
      <c r="W813" s="30">
        <v>16726.919999999998</v>
      </c>
      <c r="X813" s="27">
        <v>9.11</v>
      </c>
      <c r="Y813" s="27" t="s">
        <v>66</v>
      </c>
      <c r="Z813" s="29">
        <v>19</v>
      </c>
      <c r="AA813" s="30">
        <v>27198.75</v>
      </c>
      <c r="AB813" s="29">
        <v>0.955719557195572</v>
      </c>
      <c r="AC813" s="30">
        <v>20967.54</v>
      </c>
      <c r="AD813" s="30">
        <v>154.307380073801</v>
      </c>
      <c r="AE813" s="27">
        <v>569.6</v>
      </c>
      <c r="AF813" s="29">
        <v>1</v>
      </c>
      <c r="AG813" s="30">
        <v>6076.9026199261998</v>
      </c>
      <c r="AH813" s="31">
        <f t="shared" si="193"/>
        <v>1.0149812734082397</v>
      </c>
      <c r="AI813" s="31">
        <f t="shared" si="194"/>
        <v>4.4280442804428041E-2</v>
      </c>
      <c r="AJ813" s="31">
        <f t="shared" si="195"/>
        <v>9.2250922509225092E-3</v>
      </c>
      <c r="AK813" s="31">
        <f t="shared" si="196"/>
        <v>0.955719557195572</v>
      </c>
      <c r="AL813" s="29">
        <f t="shared" si="197"/>
        <v>0</v>
      </c>
      <c r="AM813" s="29">
        <f t="shared" si="198"/>
        <v>569.6</v>
      </c>
      <c r="AN813" s="29">
        <f t="shared" si="199"/>
        <v>0.9515449438202247</v>
      </c>
      <c r="AO813" s="29">
        <f t="shared" si="200"/>
        <v>0.9375</v>
      </c>
      <c r="AP813" s="31">
        <f t="shared" si="201"/>
        <v>1.0149812734082397</v>
      </c>
      <c r="AQ813" s="31">
        <f t="shared" si="202"/>
        <v>0.955719557195572</v>
      </c>
      <c r="AR813" s="31">
        <f t="shared" si="203"/>
        <v>0.97003745318352064</v>
      </c>
      <c r="AS813" s="29">
        <f t="shared" si="204"/>
        <v>38.685498154981552</v>
      </c>
      <c r="AT813" s="29">
        <f t="shared" si="205"/>
        <v>11.211997453738377</v>
      </c>
      <c r="AU813" s="27" t="str">
        <f t="shared" si="206"/>
        <v>Low</v>
      </c>
      <c r="AV813" s="27" t="str">
        <f t="shared" si="207"/>
        <v>Normal</v>
      </c>
      <c r="AW813" s="27"/>
    </row>
    <row r="814" spans="1:49" x14ac:dyDescent="0.25">
      <c r="A814" s="27">
        <v>813</v>
      </c>
      <c r="B814" s="28">
        <v>46184</v>
      </c>
      <c r="C814" s="28" t="str">
        <f t="shared" si="192"/>
        <v>June</v>
      </c>
      <c r="D814" s="27" t="s">
        <v>47</v>
      </c>
      <c r="E814" s="27" t="s">
        <v>98</v>
      </c>
      <c r="F814" s="27" t="s">
        <v>99</v>
      </c>
      <c r="G814" s="27" t="s">
        <v>63</v>
      </c>
      <c r="H814" s="27" t="s">
        <v>51</v>
      </c>
      <c r="I814" s="27" t="s">
        <v>937</v>
      </c>
      <c r="J814" s="27" t="s">
        <v>218</v>
      </c>
      <c r="K814" s="27">
        <v>761</v>
      </c>
      <c r="L814" s="27">
        <v>704</v>
      </c>
      <c r="M814" s="27">
        <v>667</v>
      </c>
      <c r="N814" s="27">
        <v>37</v>
      </c>
      <c r="O814" s="27">
        <v>10</v>
      </c>
      <c r="P814" s="27">
        <v>16</v>
      </c>
      <c r="Q814" s="27" t="s">
        <v>94</v>
      </c>
      <c r="R814" s="27">
        <v>42</v>
      </c>
      <c r="S814" s="27">
        <v>46</v>
      </c>
      <c r="T814" s="29">
        <v>76.5</v>
      </c>
      <c r="U814" s="29">
        <v>2.34</v>
      </c>
      <c r="V814" s="29">
        <v>27.33</v>
      </c>
      <c r="W814" s="30">
        <v>13797.49</v>
      </c>
      <c r="X814" s="27">
        <v>9.66</v>
      </c>
      <c r="Y814" s="27" t="s">
        <v>55</v>
      </c>
      <c r="Z814" s="29">
        <v>41</v>
      </c>
      <c r="AA814" s="30">
        <v>20937.04</v>
      </c>
      <c r="AB814" s="29">
        <v>0.94744318181818199</v>
      </c>
      <c r="AC814" s="30">
        <v>18390.46</v>
      </c>
      <c r="AD814" s="30">
        <v>195.987073863636</v>
      </c>
      <c r="AE814" s="27">
        <v>532.70000000000005</v>
      </c>
      <c r="AF814" s="29">
        <v>0.96996433264501603</v>
      </c>
      <c r="AG814" s="30">
        <v>2350.5929261363699</v>
      </c>
      <c r="AH814" s="31">
        <f t="shared" si="193"/>
        <v>0.92509855453350853</v>
      </c>
      <c r="AI814" s="31">
        <f t="shared" si="194"/>
        <v>5.2556818181818184E-2</v>
      </c>
      <c r="AJ814" s="31">
        <f t="shared" si="195"/>
        <v>1.4204545454545454E-2</v>
      </c>
      <c r="AK814" s="31">
        <f t="shared" si="196"/>
        <v>0.94744318181818177</v>
      </c>
      <c r="AL814" s="29">
        <f t="shared" si="197"/>
        <v>0.26666666666666666</v>
      </c>
      <c r="AM814" s="29">
        <f t="shared" si="198"/>
        <v>516.70000000000005</v>
      </c>
      <c r="AN814" s="29">
        <f t="shared" si="199"/>
        <v>1.3624927424037159</v>
      </c>
      <c r="AO814" s="29">
        <f t="shared" si="200"/>
        <v>1.4285714285714286</v>
      </c>
      <c r="AP814" s="31">
        <f t="shared" si="201"/>
        <v>0.95374491968260111</v>
      </c>
      <c r="AQ814" s="31">
        <f t="shared" si="202"/>
        <v>0.94744318181818177</v>
      </c>
      <c r="AR814" s="31">
        <f t="shared" si="203"/>
        <v>0.87647831800262821</v>
      </c>
      <c r="AS814" s="29">
        <f t="shared" si="204"/>
        <v>26.122812499999998</v>
      </c>
      <c r="AT814" s="29">
        <f t="shared" si="205"/>
        <v>3.3389104064437074</v>
      </c>
      <c r="AU814" s="27" t="str">
        <f t="shared" si="206"/>
        <v>Medium</v>
      </c>
      <c r="AV814" s="27" t="str">
        <f t="shared" si="207"/>
        <v>Normal</v>
      </c>
      <c r="AW814" s="27"/>
    </row>
    <row r="815" spans="1:49" x14ac:dyDescent="0.25">
      <c r="A815" s="27">
        <v>814</v>
      </c>
      <c r="B815" s="28">
        <v>46078</v>
      </c>
      <c r="C815" s="28" t="str">
        <f t="shared" si="192"/>
        <v>February</v>
      </c>
      <c r="D815" s="27" t="s">
        <v>47</v>
      </c>
      <c r="E815" s="27" t="s">
        <v>98</v>
      </c>
      <c r="F815" s="27" t="s">
        <v>126</v>
      </c>
      <c r="G815" s="27" t="s">
        <v>63</v>
      </c>
      <c r="H815" s="27" t="s">
        <v>57</v>
      </c>
      <c r="I815" s="27" t="s">
        <v>938</v>
      </c>
      <c r="J815" s="27" t="s">
        <v>128</v>
      </c>
      <c r="K815" s="27">
        <v>738</v>
      </c>
      <c r="L815" s="27">
        <v>722</v>
      </c>
      <c r="M815" s="27">
        <v>669</v>
      </c>
      <c r="N815" s="27">
        <v>53</v>
      </c>
      <c r="O815" s="27">
        <v>10</v>
      </c>
      <c r="P815" s="27">
        <v>0</v>
      </c>
      <c r="Q815" s="27" t="s">
        <v>60</v>
      </c>
      <c r="R815" s="27">
        <v>45</v>
      </c>
      <c r="S815" s="27">
        <v>48</v>
      </c>
      <c r="T815" s="29">
        <v>82.6</v>
      </c>
      <c r="U815" s="29">
        <v>2.63</v>
      </c>
      <c r="V815" s="29">
        <v>27.92</v>
      </c>
      <c r="W815" s="30">
        <v>15009.15</v>
      </c>
      <c r="X815" s="27">
        <v>10</v>
      </c>
      <c r="Y815" s="27" t="s">
        <v>71</v>
      </c>
      <c r="Z815" s="29">
        <v>29</v>
      </c>
      <c r="AA815" s="30">
        <v>23724.27</v>
      </c>
      <c r="AB815" s="29">
        <v>0.926592797783934</v>
      </c>
      <c r="AC815" s="30">
        <v>19760.43</v>
      </c>
      <c r="AD815" s="30">
        <v>207.88296398892001</v>
      </c>
      <c r="AE815" s="27">
        <v>553.5</v>
      </c>
      <c r="AF815" s="29">
        <v>1</v>
      </c>
      <c r="AG815" s="30">
        <v>3755.9570360110802</v>
      </c>
      <c r="AH815" s="31">
        <f t="shared" si="193"/>
        <v>0.97831978319783197</v>
      </c>
      <c r="AI815" s="31">
        <f t="shared" si="194"/>
        <v>7.3407202216066489E-2</v>
      </c>
      <c r="AJ815" s="31">
        <f t="shared" si="195"/>
        <v>1.3850415512465374E-2</v>
      </c>
      <c r="AK815" s="31">
        <f t="shared" si="196"/>
        <v>0.92659279778393355</v>
      </c>
      <c r="AL815" s="29">
        <f t="shared" si="197"/>
        <v>0</v>
      </c>
      <c r="AM815" s="29">
        <f t="shared" si="198"/>
        <v>553.5</v>
      </c>
      <c r="AN815" s="29">
        <f t="shared" si="199"/>
        <v>1.3044263775971092</v>
      </c>
      <c r="AO815" s="29">
        <f t="shared" si="200"/>
        <v>1.3333333333333333</v>
      </c>
      <c r="AP815" s="31">
        <f t="shared" si="201"/>
        <v>0.97831978319783197</v>
      </c>
      <c r="AQ815" s="31">
        <f t="shared" si="202"/>
        <v>0.92659279778393355</v>
      </c>
      <c r="AR815" s="31">
        <f t="shared" si="203"/>
        <v>0.9065040650406504</v>
      </c>
      <c r="AS815" s="29">
        <f t="shared" si="204"/>
        <v>27.369016620498616</v>
      </c>
      <c r="AT815" s="29">
        <f t="shared" si="205"/>
        <v>5.2021565595721331</v>
      </c>
      <c r="AU815" s="27" t="str">
        <f t="shared" si="206"/>
        <v>High</v>
      </c>
      <c r="AV815" s="27" t="str">
        <f t="shared" si="207"/>
        <v>Warning</v>
      </c>
      <c r="AW815" s="27"/>
    </row>
    <row r="816" spans="1:49" x14ac:dyDescent="0.25">
      <c r="A816" s="27">
        <v>815</v>
      </c>
      <c r="B816" s="28">
        <v>46184</v>
      </c>
      <c r="C816" s="28" t="str">
        <f t="shared" si="192"/>
        <v>June</v>
      </c>
      <c r="D816" s="27" t="s">
        <v>47</v>
      </c>
      <c r="E816" s="27" t="s">
        <v>48</v>
      </c>
      <c r="F816" s="27" t="s">
        <v>56</v>
      </c>
      <c r="G816" s="27" t="s">
        <v>63</v>
      </c>
      <c r="H816" s="27" t="s">
        <v>51</v>
      </c>
      <c r="I816" s="27" t="s">
        <v>939</v>
      </c>
      <c r="J816" s="27" t="s">
        <v>70</v>
      </c>
      <c r="K816" s="27">
        <v>795</v>
      </c>
      <c r="L816" s="27">
        <v>737</v>
      </c>
      <c r="M816" s="27">
        <v>696</v>
      </c>
      <c r="N816" s="27">
        <v>41</v>
      </c>
      <c r="O816" s="27">
        <v>8</v>
      </c>
      <c r="P816" s="27">
        <v>29</v>
      </c>
      <c r="Q816" s="27" t="s">
        <v>54</v>
      </c>
      <c r="R816" s="27">
        <v>42</v>
      </c>
      <c r="S816" s="27">
        <v>45</v>
      </c>
      <c r="T816" s="29">
        <v>77</v>
      </c>
      <c r="U816" s="29">
        <v>1.66</v>
      </c>
      <c r="V816" s="29">
        <v>29.68</v>
      </c>
      <c r="W816" s="30">
        <v>12835.88</v>
      </c>
      <c r="X816" s="27">
        <v>9.23</v>
      </c>
      <c r="Y816" s="27" t="s">
        <v>55</v>
      </c>
      <c r="Z816" s="29">
        <v>12</v>
      </c>
      <c r="AA816" s="30">
        <v>21772.93</v>
      </c>
      <c r="AB816" s="29">
        <v>0.94436906377204899</v>
      </c>
      <c r="AC816" s="30">
        <v>17256.5</v>
      </c>
      <c r="AD816" s="30">
        <v>139.33112618724601</v>
      </c>
      <c r="AE816" s="27">
        <v>556.5</v>
      </c>
      <c r="AF816" s="29">
        <v>0.94788858939802301</v>
      </c>
      <c r="AG816" s="30">
        <v>4377.0988738127598</v>
      </c>
      <c r="AH816" s="31">
        <f t="shared" si="193"/>
        <v>0.92704402515723272</v>
      </c>
      <c r="AI816" s="31">
        <f t="shared" si="194"/>
        <v>5.563093622795115E-2</v>
      </c>
      <c r="AJ816" s="31">
        <f t="shared" si="195"/>
        <v>1.0854816824966078E-2</v>
      </c>
      <c r="AK816" s="31">
        <f t="shared" si="196"/>
        <v>0.94436906377204888</v>
      </c>
      <c r="AL816" s="29">
        <f t="shared" si="197"/>
        <v>0.48333333333333334</v>
      </c>
      <c r="AM816" s="29">
        <f t="shared" si="198"/>
        <v>527.5</v>
      </c>
      <c r="AN816" s="29">
        <f t="shared" si="199"/>
        <v>1.3971563981042654</v>
      </c>
      <c r="AO816" s="29">
        <f t="shared" si="200"/>
        <v>1.4285714285714286</v>
      </c>
      <c r="AP816" s="31">
        <f t="shared" si="201"/>
        <v>0.97800947867298571</v>
      </c>
      <c r="AQ816" s="31">
        <f t="shared" si="202"/>
        <v>0.94436906377204888</v>
      </c>
      <c r="AR816" s="31">
        <f t="shared" si="203"/>
        <v>0.87547169811320713</v>
      </c>
      <c r="AS816" s="29">
        <f t="shared" si="204"/>
        <v>23.414518317503394</v>
      </c>
      <c r="AT816" s="29">
        <f t="shared" si="205"/>
        <v>5.9390758125003522</v>
      </c>
      <c r="AU816" s="27" t="str">
        <f t="shared" si="206"/>
        <v>Low</v>
      </c>
      <c r="AV816" s="27" t="str">
        <f t="shared" si="207"/>
        <v>Normal</v>
      </c>
      <c r="AW816" s="27"/>
    </row>
    <row r="817" spans="1:49" x14ac:dyDescent="0.25">
      <c r="A817" s="27">
        <v>816</v>
      </c>
      <c r="B817" s="28">
        <v>46124</v>
      </c>
      <c r="C817" s="28" t="str">
        <f t="shared" si="192"/>
        <v>April</v>
      </c>
      <c r="D817" s="27" t="s">
        <v>47</v>
      </c>
      <c r="E817" s="27" t="s">
        <v>48</v>
      </c>
      <c r="F817" s="27" t="s">
        <v>72</v>
      </c>
      <c r="G817" s="27" t="s">
        <v>63</v>
      </c>
      <c r="H817" s="27" t="s">
        <v>57</v>
      </c>
      <c r="I817" s="27" t="s">
        <v>940</v>
      </c>
      <c r="J817" s="27" t="s">
        <v>140</v>
      </c>
      <c r="K817" s="27">
        <v>685</v>
      </c>
      <c r="L817" s="27">
        <v>618</v>
      </c>
      <c r="M817" s="27">
        <v>598</v>
      </c>
      <c r="N817" s="27">
        <v>20</v>
      </c>
      <c r="O817" s="27">
        <v>5</v>
      </c>
      <c r="P817" s="27">
        <v>25</v>
      </c>
      <c r="Q817" s="27" t="s">
        <v>94</v>
      </c>
      <c r="R817" s="27">
        <v>45</v>
      </c>
      <c r="S817" s="27">
        <v>46</v>
      </c>
      <c r="T817" s="29">
        <v>78.7</v>
      </c>
      <c r="U817" s="29">
        <v>2.71</v>
      </c>
      <c r="V817" s="29">
        <v>22.18</v>
      </c>
      <c r="W817" s="30">
        <v>12957.98</v>
      </c>
      <c r="X817" s="27">
        <v>7.47</v>
      </c>
      <c r="Y817" s="27" t="s">
        <v>55</v>
      </c>
      <c r="Z817" s="29">
        <v>7</v>
      </c>
      <c r="AA817" s="30">
        <v>20429.02</v>
      </c>
      <c r="AB817" s="29">
        <v>0.96763754045307504</v>
      </c>
      <c r="AC817" s="30">
        <v>16519.099999999999</v>
      </c>
      <c r="AD817" s="30">
        <v>104.83802588996799</v>
      </c>
      <c r="AE817" s="27">
        <v>513.75</v>
      </c>
      <c r="AF817" s="29">
        <v>0.95133819951338205</v>
      </c>
      <c r="AG817" s="30">
        <v>3805.0819741100299</v>
      </c>
      <c r="AH817" s="31">
        <f t="shared" si="193"/>
        <v>0.90218978102189784</v>
      </c>
      <c r="AI817" s="31">
        <f t="shared" si="194"/>
        <v>3.2362459546925564E-2</v>
      </c>
      <c r="AJ817" s="31">
        <f t="shared" si="195"/>
        <v>8.0906148867313909E-3</v>
      </c>
      <c r="AK817" s="31">
        <f t="shared" si="196"/>
        <v>0.96763754045307449</v>
      </c>
      <c r="AL817" s="29">
        <f t="shared" si="197"/>
        <v>0.41666666666666669</v>
      </c>
      <c r="AM817" s="29">
        <f t="shared" si="198"/>
        <v>488.75</v>
      </c>
      <c r="AN817" s="29">
        <f t="shared" si="199"/>
        <v>1.2644501278772378</v>
      </c>
      <c r="AO817" s="29">
        <f t="shared" si="200"/>
        <v>1.3333333333333333</v>
      </c>
      <c r="AP817" s="31">
        <f t="shared" si="201"/>
        <v>0.94833759590792832</v>
      </c>
      <c r="AQ817" s="31">
        <f t="shared" si="202"/>
        <v>0.96763754045307449</v>
      </c>
      <c r="AR817" s="31">
        <f t="shared" si="203"/>
        <v>0.87299270072992707</v>
      </c>
      <c r="AS817" s="29">
        <f t="shared" si="204"/>
        <v>26.729935275080905</v>
      </c>
      <c r="AT817" s="29">
        <f t="shared" si="205"/>
        <v>6.1570905729935763</v>
      </c>
      <c r="AU817" s="27" t="str">
        <f t="shared" si="206"/>
        <v>Low</v>
      </c>
      <c r="AV817" s="27" t="str">
        <f t="shared" si="207"/>
        <v>Normal</v>
      </c>
      <c r="AW817" s="27"/>
    </row>
    <row r="818" spans="1:49" x14ac:dyDescent="0.25">
      <c r="A818" s="27">
        <v>817</v>
      </c>
      <c r="B818" s="28">
        <v>46151</v>
      </c>
      <c r="C818" s="28" t="str">
        <f t="shared" si="192"/>
        <v>May</v>
      </c>
      <c r="D818" s="27" t="s">
        <v>47</v>
      </c>
      <c r="E818" s="27" t="s">
        <v>48</v>
      </c>
      <c r="F818" s="27" t="s">
        <v>56</v>
      </c>
      <c r="G818" s="27" t="s">
        <v>50</v>
      </c>
      <c r="H818" s="27" t="s">
        <v>68</v>
      </c>
      <c r="I818" s="27" t="s">
        <v>941</v>
      </c>
      <c r="J818" s="27" t="s">
        <v>121</v>
      </c>
      <c r="K818" s="27">
        <v>504</v>
      </c>
      <c r="L818" s="27">
        <v>527</v>
      </c>
      <c r="M818" s="27">
        <v>490</v>
      </c>
      <c r="N818" s="27">
        <v>37</v>
      </c>
      <c r="O818" s="27">
        <v>7</v>
      </c>
      <c r="P818" s="27">
        <v>27</v>
      </c>
      <c r="Q818" s="27" t="s">
        <v>75</v>
      </c>
      <c r="R818" s="27">
        <v>64</v>
      </c>
      <c r="S818" s="27">
        <v>68</v>
      </c>
      <c r="T818" s="29">
        <v>66.3</v>
      </c>
      <c r="U818" s="29">
        <v>1.74</v>
      </c>
      <c r="V818" s="29">
        <v>20.98</v>
      </c>
      <c r="W818" s="30">
        <v>16532.23</v>
      </c>
      <c r="X818" s="27">
        <v>9.49</v>
      </c>
      <c r="Y818" s="27" t="s">
        <v>55</v>
      </c>
      <c r="Z818" s="29">
        <v>25</v>
      </c>
      <c r="AA818" s="30">
        <v>25085.56</v>
      </c>
      <c r="AB818" s="29">
        <v>0.92979127134724904</v>
      </c>
      <c r="AC818" s="30">
        <v>20991.55</v>
      </c>
      <c r="AD818" s="30">
        <v>219.59318785578699</v>
      </c>
      <c r="AE818" s="27">
        <v>537.6</v>
      </c>
      <c r="AF818" s="29">
        <v>0.94977678571428603</v>
      </c>
      <c r="AG818" s="30">
        <v>3874.4168121442099</v>
      </c>
      <c r="AH818" s="31">
        <f t="shared" si="193"/>
        <v>1.0456349206349207</v>
      </c>
      <c r="AI818" s="31">
        <f t="shared" si="194"/>
        <v>7.020872865275142E-2</v>
      </c>
      <c r="AJ818" s="31">
        <f t="shared" si="195"/>
        <v>1.3282732447817837E-2</v>
      </c>
      <c r="AK818" s="31">
        <f t="shared" si="196"/>
        <v>0.92979127134724859</v>
      </c>
      <c r="AL818" s="29">
        <f t="shared" si="197"/>
        <v>0.45</v>
      </c>
      <c r="AM818" s="29">
        <f t="shared" si="198"/>
        <v>510.6</v>
      </c>
      <c r="AN818" s="29">
        <f t="shared" si="199"/>
        <v>1.0321190755973364</v>
      </c>
      <c r="AO818" s="29">
        <f t="shared" si="200"/>
        <v>0.9375</v>
      </c>
      <c r="AP818" s="31">
        <f t="shared" si="201"/>
        <v>1.1009270139704921</v>
      </c>
      <c r="AQ818" s="31">
        <f t="shared" si="202"/>
        <v>0.92979127134724859</v>
      </c>
      <c r="AR818" s="31">
        <f t="shared" si="203"/>
        <v>0.97222222222222254</v>
      </c>
      <c r="AS818" s="29">
        <f t="shared" si="204"/>
        <v>39.832163187855784</v>
      </c>
      <c r="AT818" s="29">
        <f t="shared" si="205"/>
        <v>7.3518345581484059</v>
      </c>
      <c r="AU818" s="27" t="str">
        <f t="shared" si="206"/>
        <v>Low</v>
      </c>
      <c r="AV818" s="27" t="str">
        <f t="shared" si="207"/>
        <v>Normal</v>
      </c>
      <c r="AW818" s="27"/>
    </row>
    <row r="819" spans="1:49" x14ac:dyDescent="0.25">
      <c r="A819" s="27">
        <v>818</v>
      </c>
      <c r="B819" s="28">
        <v>46181</v>
      </c>
      <c r="C819" s="28" t="str">
        <f t="shared" si="192"/>
        <v>June</v>
      </c>
      <c r="D819" s="27" t="s">
        <v>47</v>
      </c>
      <c r="E819" s="27" t="s">
        <v>48</v>
      </c>
      <c r="F819" s="27" t="s">
        <v>49</v>
      </c>
      <c r="G819" s="27" t="s">
        <v>50</v>
      </c>
      <c r="H819" s="27" t="s">
        <v>79</v>
      </c>
      <c r="I819" s="27" t="s">
        <v>942</v>
      </c>
      <c r="J819" s="27" t="s">
        <v>74</v>
      </c>
      <c r="K819" s="27">
        <v>666</v>
      </c>
      <c r="L819" s="27">
        <v>626</v>
      </c>
      <c r="M819" s="27">
        <v>601</v>
      </c>
      <c r="N819" s="27">
        <v>25</v>
      </c>
      <c r="O819" s="27">
        <v>7</v>
      </c>
      <c r="P819" s="27">
        <v>39</v>
      </c>
      <c r="Q819" s="27" t="s">
        <v>75</v>
      </c>
      <c r="R819" s="27">
        <v>49</v>
      </c>
      <c r="S819" s="27">
        <v>52</v>
      </c>
      <c r="T819" s="29">
        <v>77.900000000000006</v>
      </c>
      <c r="U819" s="29">
        <v>1.41</v>
      </c>
      <c r="V819" s="29">
        <v>20.95</v>
      </c>
      <c r="W819" s="30">
        <v>14395.41</v>
      </c>
      <c r="X819" s="27">
        <v>7.08</v>
      </c>
      <c r="Y819" s="27" t="s">
        <v>55</v>
      </c>
      <c r="Z819" s="29">
        <v>32</v>
      </c>
      <c r="AA819" s="30">
        <v>22691.23</v>
      </c>
      <c r="AB819" s="29">
        <v>0.96006389776357803</v>
      </c>
      <c r="AC819" s="30">
        <v>17769.96</v>
      </c>
      <c r="AD819" s="30">
        <v>160.97103833865799</v>
      </c>
      <c r="AE819" s="27">
        <v>543.9</v>
      </c>
      <c r="AF819" s="29">
        <v>0.92829564258135699</v>
      </c>
      <c r="AG819" s="30">
        <v>4760.2989616613404</v>
      </c>
      <c r="AH819" s="31">
        <f t="shared" si="193"/>
        <v>0.93993993993993996</v>
      </c>
      <c r="AI819" s="31">
        <f t="shared" si="194"/>
        <v>3.9936102236421724E-2</v>
      </c>
      <c r="AJ819" s="31">
        <f t="shared" si="195"/>
        <v>1.1182108626198083E-2</v>
      </c>
      <c r="AK819" s="31">
        <f t="shared" si="196"/>
        <v>0.96006389776357826</v>
      </c>
      <c r="AL819" s="29">
        <f t="shared" si="197"/>
        <v>0.65</v>
      </c>
      <c r="AM819" s="29">
        <f t="shared" si="198"/>
        <v>504.9</v>
      </c>
      <c r="AN819" s="29">
        <f t="shared" si="199"/>
        <v>1.2398494751435929</v>
      </c>
      <c r="AO819" s="29">
        <f t="shared" si="200"/>
        <v>1.2244897959183674</v>
      </c>
      <c r="AP819" s="31">
        <f t="shared" si="201"/>
        <v>1.0125437380339342</v>
      </c>
      <c r="AQ819" s="31">
        <f t="shared" si="202"/>
        <v>0.96006389776357826</v>
      </c>
      <c r="AR819" s="31">
        <f t="shared" si="203"/>
        <v>0.90240240240240255</v>
      </c>
      <c r="AS819" s="29">
        <f t="shared" si="204"/>
        <v>28.386517571884983</v>
      </c>
      <c r="AT819" s="29">
        <f t="shared" si="205"/>
        <v>7.6043114403535785</v>
      </c>
      <c r="AU819" s="27" t="str">
        <f t="shared" si="206"/>
        <v>Medium</v>
      </c>
      <c r="AV819" s="27" t="str">
        <f t="shared" si="207"/>
        <v>Normal</v>
      </c>
      <c r="AW819" s="27"/>
    </row>
    <row r="820" spans="1:49" x14ac:dyDescent="0.25">
      <c r="A820" s="27">
        <v>819</v>
      </c>
      <c r="B820" s="28">
        <v>46196</v>
      </c>
      <c r="C820" s="28" t="str">
        <f t="shared" si="192"/>
        <v>June</v>
      </c>
      <c r="D820" s="27" t="s">
        <v>47</v>
      </c>
      <c r="E820" s="27" t="s">
        <v>98</v>
      </c>
      <c r="F820" s="27" t="s">
        <v>126</v>
      </c>
      <c r="G820" s="27" t="s">
        <v>78</v>
      </c>
      <c r="H820" s="27" t="s">
        <v>124</v>
      </c>
      <c r="I820" s="27" t="s">
        <v>943</v>
      </c>
      <c r="J820" s="27" t="s">
        <v>134</v>
      </c>
      <c r="K820" s="27">
        <v>636</v>
      </c>
      <c r="L820" s="27">
        <v>462</v>
      </c>
      <c r="M820" s="27">
        <v>421</v>
      </c>
      <c r="N820" s="27">
        <v>41</v>
      </c>
      <c r="O820" s="27">
        <v>10</v>
      </c>
      <c r="P820" s="27">
        <v>43</v>
      </c>
      <c r="Q820" s="27" t="s">
        <v>102</v>
      </c>
      <c r="R820" s="27">
        <v>57</v>
      </c>
      <c r="S820" s="27">
        <v>60</v>
      </c>
      <c r="T820" s="29">
        <v>75.2</v>
      </c>
      <c r="U820" s="29">
        <v>2.19</v>
      </c>
      <c r="V820" s="29">
        <v>20.52</v>
      </c>
      <c r="W820" s="30">
        <v>12059.4</v>
      </c>
      <c r="X820" s="27">
        <v>7.37</v>
      </c>
      <c r="Y820" s="27" t="s">
        <v>110</v>
      </c>
      <c r="Z820" s="29">
        <v>32</v>
      </c>
      <c r="AA820" s="30">
        <v>19594.400000000001</v>
      </c>
      <c r="AB820" s="29">
        <v>0.91125541125541099</v>
      </c>
      <c r="AC820" s="30">
        <v>15560.58</v>
      </c>
      <c r="AD820" s="30">
        <v>261.02597402597399</v>
      </c>
      <c r="AE820" s="27">
        <v>604.20000000000005</v>
      </c>
      <c r="AF820" s="29">
        <v>0.92883151274412501</v>
      </c>
      <c r="AG820" s="30">
        <v>3772.7940259740299</v>
      </c>
      <c r="AH820" s="31">
        <f t="shared" si="193"/>
        <v>0.72641509433962259</v>
      </c>
      <c r="AI820" s="31">
        <f t="shared" si="194"/>
        <v>8.8744588744588751E-2</v>
      </c>
      <c r="AJ820" s="31">
        <f t="shared" si="195"/>
        <v>2.1645021645021644E-2</v>
      </c>
      <c r="AK820" s="31">
        <f t="shared" si="196"/>
        <v>0.91125541125541121</v>
      </c>
      <c r="AL820" s="29">
        <f t="shared" si="197"/>
        <v>0.71666666666666667</v>
      </c>
      <c r="AM820" s="29">
        <f t="shared" si="198"/>
        <v>561.20000000000005</v>
      </c>
      <c r="AN820" s="29">
        <f t="shared" si="199"/>
        <v>0.82323592302209547</v>
      </c>
      <c r="AO820" s="29">
        <f t="shared" si="200"/>
        <v>1.0526315789473684</v>
      </c>
      <c r="AP820" s="31">
        <f t="shared" si="201"/>
        <v>0.78207412687099076</v>
      </c>
      <c r="AQ820" s="31">
        <f t="shared" si="202"/>
        <v>0.91125541125541121</v>
      </c>
      <c r="AR820" s="31">
        <f t="shared" si="203"/>
        <v>0.66194968553459166</v>
      </c>
      <c r="AS820" s="29">
        <f t="shared" si="204"/>
        <v>33.68090909090909</v>
      </c>
      <c r="AT820" s="29">
        <f t="shared" si="205"/>
        <v>8.1662208354416226</v>
      </c>
      <c r="AU820" s="27" t="str">
        <f t="shared" si="206"/>
        <v>High</v>
      </c>
      <c r="AV820" s="27" t="str">
        <f t="shared" si="207"/>
        <v>Critical</v>
      </c>
      <c r="AW820" s="27"/>
    </row>
    <row r="821" spans="1:49" x14ac:dyDescent="0.25">
      <c r="A821" s="27">
        <v>820</v>
      </c>
      <c r="B821" s="28">
        <v>46105</v>
      </c>
      <c r="C821" s="28" t="str">
        <f t="shared" si="192"/>
        <v>March</v>
      </c>
      <c r="D821" s="27" t="s">
        <v>47</v>
      </c>
      <c r="E821" s="27" t="s">
        <v>129</v>
      </c>
      <c r="F821" s="27" t="s">
        <v>130</v>
      </c>
      <c r="G821" s="27" t="s">
        <v>78</v>
      </c>
      <c r="H821" s="27" t="s">
        <v>124</v>
      </c>
      <c r="I821" s="27" t="s">
        <v>944</v>
      </c>
      <c r="J821" s="27" t="s">
        <v>121</v>
      </c>
      <c r="K821" s="27">
        <v>624</v>
      </c>
      <c r="L821" s="27">
        <v>369</v>
      </c>
      <c r="M821" s="27">
        <v>324</v>
      </c>
      <c r="N821" s="27">
        <v>45</v>
      </c>
      <c r="O821" s="27">
        <v>10</v>
      </c>
      <c r="P821" s="27">
        <v>175</v>
      </c>
      <c r="Q821" s="27" t="s">
        <v>94</v>
      </c>
      <c r="R821" s="27">
        <v>57</v>
      </c>
      <c r="S821" s="27">
        <v>59</v>
      </c>
      <c r="T821" s="29">
        <v>72.900000000000006</v>
      </c>
      <c r="U821" s="29">
        <v>3.14</v>
      </c>
      <c r="V821" s="29">
        <v>26.68</v>
      </c>
      <c r="W821" s="30">
        <v>9859.27</v>
      </c>
      <c r="X821" s="27">
        <v>4.76</v>
      </c>
      <c r="Y821" s="27" t="s">
        <v>55</v>
      </c>
      <c r="Z821" s="29">
        <v>34</v>
      </c>
      <c r="AA821" s="30">
        <v>14560.66</v>
      </c>
      <c r="AB821" s="29">
        <v>0.87804878048780499</v>
      </c>
      <c r="AC821" s="30">
        <v>12241.39</v>
      </c>
      <c r="AD821" s="30">
        <v>267.18888888888898</v>
      </c>
      <c r="AE821" s="27">
        <v>592.79999999999995</v>
      </c>
      <c r="AF821" s="29">
        <v>0.70479082321187603</v>
      </c>
      <c r="AG821" s="30">
        <v>2052.0811111111102</v>
      </c>
      <c r="AH821" s="31">
        <f t="shared" si="193"/>
        <v>0.59134615384615385</v>
      </c>
      <c r="AI821" s="31">
        <f t="shared" si="194"/>
        <v>0.12195121951219512</v>
      </c>
      <c r="AJ821" s="31">
        <f t="shared" si="195"/>
        <v>2.7100271002710029E-2</v>
      </c>
      <c r="AK821" s="31">
        <f t="shared" si="196"/>
        <v>0.87804878048780488</v>
      </c>
      <c r="AL821" s="29">
        <f t="shared" si="197"/>
        <v>2.9166666666666665</v>
      </c>
      <c r="AM821" s="29">
        <f t="shared" si="198"/>
        <v>417.79999999999995</v>
      </c>
      <c r="AN821" s="29">
        <f t="shared" si="199"/>
        <v>0.88319770224988037</v>
      </c>
      <c r="AO821" s="29">
        <f t="shared" si="200"/>
        <v>1.0526315789473684</v>
      </c>
      <c r="AP821" s="31">
        <f t="shared" si="201"/>
        <v>0.83903781713738634</v>
      </c>
      <c r="AQ821" s="31">
        <f t="shared" si="202"/>
        <v>0.87804878048780488</v>
      </c>
      <c r="AR821" s="31">
        <f t="shared" si="203"/>
        <v>0.51923076923076938</v>
      </c>
      <c r="AS821" s="29">
        <f t="shared" si="204"/>
        <v>33.17449864498645</v>
      </c>
      <c r="AT821" s="29">
        <f t="shared" si="205"/>
        <v>5.5611954230653389</v>
      </c>
      <c r="AU821" s="27" t="str">
        <f t="shared" si="206"/>
        <v>High</v>
      </c>
      <c r="AV821" s="27" t="str">
        <f t="shared" si="207"/>
        <v>Critical</v>
      </c>
      <c r="AW821" s="27"/>
    </row>
    <row r="822" spans="1:49" x14ac:dyDescent="0.25">
      <c r="A822" s="27">
        <v>821</v>
      </c>
      <c r="B822" s="28">
        <v>46171</v>
      </c>
      <c r="C822" s="28" t="str">
        <f t="shared" si="192"/>
        <v>May</v>
      </c>
      <c r="D822" s="27" t="s">
        <v>47</v>
      </c>
      <c r="E822" s="27" t="s">
        <v>76</v>
      </c>
      <c r="F822" s="27" t="s">
        <v>119</v>
      </c>
      <c r="G822" s="27" t="s">
        <v>78</v>
      </c>
      <c r="H822" s="27" t="s">
        <v>68</v>
      </c>
      <c r="I822" s="27" t="s">
        <v>945</v>
      </c>
      <c r="J822" s="27" t="s">
        <v>107</v>
      </c>
      <c r="K822" s="27">
        <v>597</v>
      </c>
      <c r="L822" s="27">
        <v>474</v>
      </c>
      <c r="M822" s="27">
        <v>425</v>
      </c>
      <c r="N822" s="27">
        <v>49</v>
      </c>
      <c r="O822" s="27">
        <v>15</v>
      </c>
      <c r="P822" s="27">
        <v>33</v>
      </c>
      <c r="Q822" s="27" t="s">
        <v>97</v>
      </c>
      <c r="R822" s="27">
        <v>64</v>
      </c>
      <c r="S822" s="27">
        <v>72</v>
      </c>
      <c r="T822" s="29">
        <v>63.9</v>
      </c>
      <c r="U822" s="29">
        <v>2.66</v>
      </c>
      <c r="V822" s="29">
        <v>20.95</v>
      </c>
      <c r="W822" s="30">
        <v>14710.13</v>
      </c>
      <c r="X822" s="27">
        <v>7.72</v>
      </c>
      <c r="Y822" s="27" t="s">
        <v>110</v>
      </c>
      <c r="Z822" s="29">
        <v>13</v>
      </c>
      <c r="AA822" s="30">
        <v>22437.33</v>
      </c>
      <c r="AB822" s="29">
        <v>0.89662447257384004</v>
      </c>
      <c r="AC822" s="30">
        <v>18372.68</v>
      </c>
      <c r="AD822" s="30">
        <v>465.51044303797499</v>
      </c>
      <c r="AE822" s="27">
        <v>636.79999999999995</v>
      </c>
      <c r="AF822" s="29">
        <v>0.94817839195979903</v>
      </c>
      <c r="AG822" s="30">
        <v>3599.1395569620299</v>
      </c>
      <c r="AH822" s="31">
        <f t="shared" si="193"/>
        <v>0.79396984924623115</v>
      </c>
      <c r="AI822" s="31">
        <f t="shared" si="194"/>
        <v>0.10337552742616034</v>
      </c>
      <c r="AJ822" s="31">
        <f t="shared" si="195"/>
        <v>3.1645569620253167E-2</v>
      </c>
      <c r="AK822" s="31">
        <f t="shared" si="196"/>
        <v>0.8966244725738397</v>
      </c>
      <c r="AL822" s="29">
        <f t="shared" si="197"/>
        <v>0.55000000000000004</v>
      </c>
      <c r="AM822" s="29">
        <f t="shared" si="198"/>
        <v>603.79999999999995</v>
      </c>
      <c r="AN822" s="29">
        <f t="shared" si="199"/>
        <v>0.78502815501821799</v>
      </c>
      <c r="AO822" s="29">
        <f t="shared" si="200"/>
        <v>0.9375</v>
      </c>
      <c r="AP822" s="31">
        <f t="shared" si="201"/>
        <v>0.8373633653527659</v>
      </c>
      <c r="AQ822" s="31">
        <f t="shared" si="202"/>
        <v>0.8966244725738397</v>
      </c>
      <c r="AR822" s="31">
        <f t="shared" si="203"/>
        <v>0.71189279731993316</v>
      </c>
      <c r="AS822" s="29">
        <f t="shared" si="204"/>
        <v>38.760928270042193</v>
      </c>
      <c r="AT822" s="29">
        <f t="shared" si="205"/>
        <v>7.5931214281899369</v>
      </c>
      <c r="AU822" s="27" t="str">
        <f t="shared" si="206"/>
        <v>High</v>
      </c>
      <c r="AV822" s="27" t="str">
        <f t="shared" si="207"/>
        <v>Critical</v>
      </c>
      <c r="AW822" s="27"/>
    </row>
    <row r="823" spans="1:49" x14ac:dyDescent="0.25">
      <c r="A823" s="27">
        <v>822</v>
      </c>
      <c r="B823" s="28">
        <v>46112</v>
      </c>
      <c r="C823" s="28" t="str">
        <f t="shared" si="192"/>
        <v>March</v>
      </c>
      <c r="D823" s="27" t="s">
        <v>47</v>
      </c>
      <c r="E823" s="27" t="s">
        <v>98</v>
      </c>
      <c r="F823" s="27" t="s">
        <v>99</v>
      </c>
      <c r="G823" s="27" t="s">
        <v>63</v>
      </c>
      <c r="H823" s="27" t="s">
        <v>68</v>
      </c>
      <c r="I823" s="27" t="s">
        <v>946</v>
      </c>
      <c r="J823" s="27" t="s">
        <v>153</v>
      </c>
      <c r="K823" s="27">
        <v>666</v>
      </c>
      <c r="L823" s="27">
        <v>655</v>
      </c>
      <c r="M823" s="27">
        <v>615</v>
      </c>
      <c r="N823" s="27">
        <v>40</v>
      </c>
      <c r="O823" s="27">
        <v>17</v>
      </c>
      <c r="P823" s="27">
        <v>0</v>
      </c>
      <c r="Q823" s="27" t="s">
        <v>60</v>
      </c>
      <c r="R823" s="27">
        <v>64</v>
      </c>
      <c r="S823" s="27">
        <v>62</v>
      </c>
      <c r="T823" s="29">
        <v>80.900000000000006</v>
      </c>
      <c r="U823" s="29">
        <v>1.89</v>
      </c>
      <c r="V823" s="29">
        <v>25.06</v>
      </c>
      <c r="W823" s="30">
        <v>21131.360000000001</v>
      </c>
      <c r="X823" s="27">
        <v>9.74</v>
      </c>
      <c r="Y823" s="27" t="s">
        <v>66</v>
      </c>
      <c r="Z823" s="29">
        <v>16</v>
      </c>
      <c r="AA823" s="30">
        <v>32489.759999999998</v>
      </c>
      <c r="AB823" s="29">
        <v>0.93893129770992401</v>
      </c>
      <c r="AC823" s="30">
        <v>25739.9</v>
      </c>
      <c r="AD823" s="30">
        <v>548.44751145038197</v>
      </c>
      <c r="AE823" s="27">
        <v>710.4</v>
      </c>
      <c r="AF823" s="29">
        <v>1</v>
      </c>
      <c r="AG823" s="30">
        <v>6201.4124885496203</v>
      </c>
      <c r="AH823" s="31">
        <f t="shared" si="193"/>
        <v>0.98348348348348347</v>
      </c>
      <c r="AI823" s="31">
        <f t="shared" si="194"/>
        <v>6.1068702290076333E-2</v>
      </c>
      <c r="AJ823" s="31">
        <f t="shared" si="195"/>
        <v>2.5954198473282442E-2</v>
      </c>
      <c r="AK823" s="31">
        <f t="shared" si="196"/>
        <v>0.93893129770992367</v>
      </c>
      <c r="AL823" s="29">
        <f t="shared" si="197"/>
        <v>0</v>
      </c>
      <c r="AM823" s="29">
        <f t="shared" si="198"/>
        <v>710.4</v>
      </c>
      <c r="AN823" s="29">
        <f t="shared" si="199"/>
        <v>0.92201576576576583</v>
      </c>
      <c r="AO823" s="29">
        <f t="shared" si="200"/>
        <v>0.9375</v>
      </c>
      <c r="AP823" s="31">
        <f t="shared" si="201"/>
        <v>0.98348348348348358</v>
      </c>
      <c r="AQ823" s="31">
        <f t="shared" si="202"/>
        <v>0.93893129770992367</v>
      </c>
      <c r="AR823" s="31">
        <f t="shared" si="203"/>
        <v>0.92342342342342354</v>
      </c>
      <c r="AS823" s="29">
        <f t="shared" si="204"/>
        <v>39.297557251908401</v>
      </c>
      <c r="AT823" s="29">
        <f t="shared" si="205"/>
        <v>9.4678053260299553</v>
      </c>
      <c r="AU823" s="27" t="str">
        <f t="shared" si="206"/>
        <v>Medium</v>
      </c>
      <c r="AV823" s="27" t="str">
        <f t="shared" si="207"/>
        <v>Warning</v>
      </c>
      <c r="AW823" s="27"/>
    </row>
    <row r="824" spans="1:49" x14ac:dyDescent="0.25">
      <c r="A824" s="27">
        <v>823</v>
      </c>
      <c r="B824" s="28">
        <v>46031</v>
      </c>
      <c r="C824" s="28" t="str">
        <f t="shared" si="192"/>
        <v>January</v>
      </c>
      <c r="D824" s="27" t="s">
        <v>47</v>
      </c>
      <c r="E824" s="27" t="s">
        <v>129</v>
      </c>
      <c r="F824" s="27" t="s">
        <v>167</v>
      </c>
      <c r="G824" s="27" t="s">
        <v>63</v>
      </c>
      <c r="H824" s="27" t="s">
        <v>57</v>
      </c>
      <c r="I824" s="27" t="s">
        <v>947</v>
      </c>
      <c r="J824" s="27" t="s">
        <v>93</v>
      </c>
      <c r="K824" s="27">
        <v>939</v>
      </c>
      <c r="L824" s="27">
        <v>846</v>
      </c>
      <c r="M824" s="27">
        <v>775</v>
      </c>
      <c r="N824" s="27">
        <v>71</v>
      </c>
      <c r="O824" s="27">
        <v>27</v>
      </c>
      <c r="P824" s="27">
        <v>19</v>
      </c>
      <c r="Q824" s="27" t="s">
        <v>91</v>
      </c>
      <c r="R824" s="27">
        <v>45</v>
      </c>
      <c r="S824" s="27">
        <v>49</v>
      </c>
      <c r="T824" s="29">
        <v>75.599999999999994</v>
      </c>
      <c r="U824" s="29">
        <v>1.5</v>
      </c>
      <c r="V824" s="29">
        <v>25.94</v>
      </c>
      <c r="W824" s="30">
        <v>17561.61</v>
      </c>
      <c r="X824" s="27">
        <v>8.34</v>
      </c>
      <c r="Y824" s="27" t="s">
        <v>55</v>
      </c>
      <c r="Z824" s="29">
        <v>11</v>
      </c>
      <c r="AA824" s="30">
        <v>27859.84</v>
      </c>
      <c r="AB824" s="29">
        <v>0.91607565011820302</v>
      </c>
      <c r="AC824" s="30">
        <v>21548.07</v>
      </c>
      <c r="AD824" s="30">
        <v>560.47691489361705</v>
      </c>
      <c r="AE824" s="27">
        <v>704.25</v>
      </c>
      <c r="AF824" s="29">
        <v>0.97302094426695096</v>
      </c>
      <c r="AG824" s="30">
        <v>5751.2930851063802</v>
      </c>
      <c r="AH824" s="31">
        <f t="shared" si="193"/>
        <v>0.90095846645367417</v>
      </c>
      <c r="AI824" s="31">
        <f t="shared" si="194"/>
        <v>8.3924349881796687E-2</v>
      </c>
      <c r="AJ824" s="31">
        <f t="shared" si="195"/>
        <v>3.1914893617021274E-2</v>
      </c>
      <c r="AK824" s="31">
        <f t="shared" si="196"/>
        <v>0.91607565011820336</v>
      </c>
      <c r="AL824" s="29">
        <f t="shared" si="197"/>
        <v>0.31666666666666665</v>
      </c>
      <c r="AM824" s="29">
        <f t="shared" si="198"/>
        <v>685.25</v>
      </c>
      <c r="AN824" s="29">
        <f t="shared" si="199"/>
        <v>1.23458591754834</v>
      </c>
      <c r="AO824" s="29">
        <f t="shared" si="200"/>
        <v>1.3333333333333333</v>
      </c>
      <c r="AP824" s="31">
        <f t="shared" si="201"/>
        <v>0.92593943816125501</v>
      </c>
      <c r="AQ824" s="31">
        <f t="shared" si="202"/>
        <v>0.91607565011820336</v>
      </c>
      <c r="AR824" s="31">
        <f t="shared" si="203"/>
        <v>0.82534611288604931</v>
      </c>
      <c r="AS824" s="29">
        <f t="shared" si="204"/>
        <v>25.470531914893616</v>
      </c>
      <c r="AT824" s="29">
        <f t="shared" si="205"/>
        <v>6.7982187767214892</v>
      </c>
      <c r="AU824" s="27" t="str">
        <f t="shared" si="206"/>
        <v>Medium</v>
      </c>
      <c r="AV824" s="27" t="str">
        <f t="shared" si="207"/>
        <v>Warning</v>
      </c>
      <c r="AW824" s="27"/>
    </row>
    <row r="825" spans="1:49" x14ac:dyDescent="0.25">
      <c r="A825" s="27">
        <v>824</v>
      </c>
      <c r="B825" s="28">
        <v>46072</v>
      </c>
      <c r="C825" s="28" t="str">
        <f t="shared" si="192"/>
        <v>February</v>
      </c>
      <c r="D825" s="27" t="s">
        <v>67</v>
      </c>
      <c r="E825" s="27" t="s">
        <v>48</v>
      </c>
      <c r="F825" s="27" t="s">
        <v>72</v>
      </c>
      <c r="G825" s="27" t="s">
        <v>63</v>
      </c>
      <c r="H825" s="27" t="s">
        <v>79</v>
      </c>
      <c r="I825" s="27" t="s">
        <v>948</v>
      </c>
      <c r="J825" s="27" t="s">
        <v>170</v>
      </c>
      <c r="K825" s="27">
        <v>755</v>
      </c>
      <c r="L825" s="27">
        <v>704</v>
      </c>
      <c r="M825" s="27">
        <v>685</v>
      </c>
      <c r="N825" s="27">
        <v>19</v>
      </c>
      <c r="O825" s="27">
        <v>4</v>
      </c>
      <c r="P825" s="27">
        <v>59</v>
      </c>
      <c r="Q825" s="27" t="s">
        <v>54</v>
      </c>
      <c r="R825" s="27">
        <v>49</v>
      </c>
      <c r="S825" s="27">
        <v>53</v>
      </c>
      <c r="T825" s="29">
        <v>74.400000000000006</v>
      </c>
      <c r="U825" s="29">
        <v>1.79</v>
      </c>
      <c r="V825" s="29">
        <v>28.81</v>
      </c>
      <c r="W825" s="30">
        <v>14807.68</v>
      </c>
      <c r="X825" s="27">
        <v>7.54</v>
      </c>
      <c r="Y825" s="27" t="s">
        <v>55</v>
      </c>
      <c r="Z825" s="29">
        <v>35</v>
      </c>
      <c r="AA825" s="30">
        <v>25279.84</v>
      </c>
      <c r="AB825" s="29">
        <v>0.97301136363636398</v>
      </c>
      <c r="AC825" s="30">
        <v>18459.97</v>
      </c>
      <c r="AD825" s="30">
        <v>84.134545454545503</v>
      </c>
      <c r="AE825" s="27">
        <v>616.58333333333303</v>
      </c>
      <c r="AF825" s="29">
        <v>0.90431139343154499</v>
      </c>
      <c r="AG825" s="30">
        <v>6735.73545454545</v>
      </c>
      <c r="AH825" s="31">
        <f t="shared" si="193"/>
        <v>0.93245033112582787</v>
      </c>
      <c r="AI825" s="31">
        <f t="shared" si="194"/>
        <v>2.6988636363636364E-2</v>
      </c>
      <c r="AJ825" s="31">
        <f t="shared" si="195"/>
        <v>5.681818181818182E-3</v>
      </c>
      <c r="AK825" s="31">
        <f t="shared" si="196"/>
        <v>0.97301136363636365</v>
      </c>
      <c r="AL825" s="29">
        <f t="shared" si="197"/>
        <v>0.98333333333333328</v>
      </c>
      <c r="AM825" s="29">
        <f t="shared" si="198"/>
        <v>557.58333333333303</v>
      </c>
      <c r="AN825" s="29">
        <f t="shared" si="199"/>
        <v>1.2625915408758039</v>
      </c>
      <c r="AO825" s="29">
        <f t="shared" si="200"/>
        <v>1.2244897959183674</v>
      </c>
      <c r="AP825" s="31">
        <f t="shared" si="201"/>
        <v>1.0311164250485731</v>
      </c>
      <c r="AQ825" s="31">
        <f t="shared" si="202"/>
        <v>0.97301136363636365</v>
      </c>
      <c r="AR825" s="31">
        <f t="shared" si="203"/>
        <v>0.90728476821192117</v>
      </c>
      <c r="AS825" s="29">
        <f t="shared" si="204"/>
        <v>26.221548295454546</v>
      </c>
      <c r="AT825" s="29">
        <f t="shared" si="205"/>
        <v>9.5678060433884227</v>
      </c>
      <c r="AU825" s="27" t="str">
        <f t="shared" si="206"/>
        <v>Medium</v>
      </c>
      <c r="AV825" s="27" t="str">
        <f t="shared" si="207"/>
        <v>Normal</v>
      </c>
      <c r="AW825" s="27"/>
    </row>
    <row r="826" spans="1:49" x14ac:dyDescent="0.25">
      <c r="A826" s="27">
        <v>825</v>
      </c>
      <c r="B826" s="28">
        <v>46199</v>
      </c>
      <c r="C826" s="28" t="str">
        <f t="shared" si="192"/>
        <v>June</v>
      </c>
      <c r="D826" s="27" t="s">
        <v>67</v>
      </c>
      <c r="E826" s="27" t="s">
        <v>76</v>
      </c>
      <c r="F826" s="27" t="s">
        <v>113</v>
      </c>
      <c r="G826" s="27" t="s">
        <v>50</v>
      </c>
      <c r="H826" s="27" t="s">
        <v>124</v>
      </c>
      <c r="I826" s="27" t="s">
        <v>949</v>
      </c>
      <c r="J826" s="27" t="s">
        <v>65</v>
      </c>
      <c r="K826" s="27">
        <v>589</v>
      </c>
      <c r="L826" s="27">
        <v>618</v>
      </c>
      <c r="M826" s="27">
        <v>589</v>
      </c>
      <c r="N826" s="27">
        <v>29</v>
      </c>
      <c r="O826" s="27">
        <v>6</v>
      </c>
      <c r="P826" s="27">
        <v>0</v>
      </c>
      <c r="Q826" s="27" t="s">
        <v>60</v>
      </c>
      <c r="R826" s="27">
        <v>57</v>
      </c>
      <c r="S826" s="27">
        <v>60</v>
      </c>
      <c r="T826" s="29">
        <v>74.099999999999994</v>
      </c>
      <c r="U826" s="29">
        <v>1.9</v>
      </c>
      <c r="V826" s="29">
        <v>23.33</v>
      </c>
      <c r="W826" s="30">
        <v>16924.88</v>
      </c>
      <c r="X826" s="27">
        <v>9.59</v>
      </c>
      <c r="Y826" s="27" t="s">
        <v>110</v>
      </c>
      <c r="Z826" s="29">
        <v>28</v>
      </c>
      <c r="AA826" s="30">
        <v>27052.82</v>
      </c>
      <c r="AB826" s="29">
        <v>0.95307443365695799</v>
      </c>
      <c r="AC826" s="30">
        <v>21450.35</v>
      </c>
      <c r="AD826" s="30">
        <v>164.319223300971</v>
      </c>
      <c r="AE826" s="27">
        <v>559.54999999999995</v>
      </c>
      <c r="AF826" s="29">
        <v>1</v>
      </c>
      <c r="AG826" s="30">
        <v>5438.1507766990298</v>
      </c>
      <c r="AH826" s="31">
        <f t="shared" si="193"/>
        <v>1.0492359932088284</v>
      </c>
      <c r="AI826" s="31">
        <f t="shared" si="194"/>
        <v>4.6925566343042069E-2</v>
      </c>
      <c r="AJ826" s="31">
        <f t="shared" si="195"/>
        <v>9.7087378640776691E-3</v>
      </c>
      <c r="AK826" s="31">
        <f t="shared" si="196"/>
        <v>0.95307443365695788</v>
      </c>
      <c r="AL826" s="29">
        <f t="shared" si="197"/>
        <v>0</v>
      </c>
      <c r="AM826" s="29">
        <f t="shared" si="198"/>
        <v>559.54999999999995</v>
      </c>
      <c r="AN826" s="29">
        <f t="shared" si="199"/>
        <v>1.1044589402198195</v>
      </c>
      <c r="AO826" s="29">
        <f t="shared" si="200"/>
        <v>1.0526315789473684</v>
      </c>
      <c r="AP826" s="31">
        <f t="shared" si="201"/>
        <v>1.0492359932088287</v>
      </c>
      <c r="AQ826" s="31">
        <f t="shared" si="202"/>
        <v>0.95307443365695788</v>
      </c>
      <c r="AR826" s="31">
        <f t="shared" si="203"/>
        <v>1</v>
      </c>
      <c r="AS826" s="29">
        <f t="shared" si="204"/>
        <v>34.709304207119736</v>
      </c>
      <c r="AT826" s="29">
        <f t="shared" si="205"/>
        <v>8.7995967260502095</v>
      </c>
      <c r="AU826" s="27" t="str">
        <f t="shared" si="206"/>
        <v>Medium</v>
      </c>
      <c r="AV826" s="27" t="str">
        <f t="shared" si="207"/>
        <v>Normal</v>
      </c>
      <c r="AW826" s="27"/>
    </row>
    <row r="827" spans="1:49" x14ac:dyDescent="0.25">
      <c r="A827" s="27">
        <v>826</v>
      </c>
      <c r="B827" s="28">
        <v>46122</v>
      </c>
      <c r="C827" s="28" t="str">
        <f t="shared" si="192"/>
        <v>April</v>
      </c>
      <c r="D827" s="27" t="s">
        <v>67</v>
      </c>
      <c r="E827" s="27" t="s">
        <v>76</v>
      </c>
      <c r="F827" s="27" t="s">
        <v>119</v>
      </c>
      <c r="G827" s="27" t="s">
        <v>50</v>
      </c>
      <c r="H827" s="27" t="s">
        <v>51</v>
      </c>
      <c r="I827" s="27" t="s">
        <v>950</v>
      </c>
      <c r="J827" s="27" t="s">
        <v>140</v>
      </c>
      <c r="K827" s="27">
        <v>973</v>
      </c>
      <c r="L827" s="27">
        <v>750</v>
      </c>
      <c r="M827" s="27">
        <v>677</v>
      </c>
      <c r="N827" s="27">
        <v>73</v>
      </c>
      <c r="O827" s="27">
        <v>14</v>
      </c>
      <c r="P827" s="27">
        <v>172</v>
      </c>
      <c r="Q827" s="27" t="s">
        <v>102</v>
      </c>
      <c r="R827" s="27">
        <v>42</v>
      </c>
      <c r="S827" s="27">
        <v>43</v>
      </c>
      <c r="T827" s="29">
        <v>77</v>
      </c>
      <c r="U827" s="29">
        <v>2.4700000000000002</v>
      </c>
      <c r="V827" s="29">
        <v>33.619999999999997</v>
      </c>
      <c r="W827" s="30">
        <v>13207.7</v>
      </c>
      <c r="X827" s="27">
        <v>6.52</v>
      </c>
      <c r="Y827" s="27" t="s">
        <v>55</v>
      </c>
      <c r="Z827" s="29">
        <v>20</v>
      </c>
      <c r="AA827" s="30">
        <v>21029.68</v>
      </c>
      <c r="AB827" s="29">
        <v>0.90266666666666695</v>
      </c>
      <c r="AC827" s="30">
        <v>16444.28</v>
      </c>
      <c r="AD827" s="30">
        <v>246.54373333333299</v>
      </c>
      <c r="AE827" s="27">
        <v>681.1</v>
      </c>
      <c r="AF827" s="29">
        <v>0.74746733225664397</v>
      </c>
      <c r="AG827" s="30">
        <v>4338.8562666666703</v>
      </c>
      <c r="AH827" s="31">
        <f t="shared" si="193"/>
        <v>0.77081192189105863</v>
      </c>
      <c r="AI827" s="31">
        <f t="shared" si="194"/>
        <v>9.7333333333333327E-2</v>
      </c>
      <c r="AJ827" s="31">
        <f t="shared" si="195"/>
        <v>1.8666666666666668E-2</v>
      </c>
      <c r="AK827" s="31">
        <f t="shared" si="196"/>
        <v>0.90266666666666662</v>
      </c>
      <c r="AL827" s="29">
        <f t="shared" si="197"/>
        <v>2.8666666666666667</v>
      </c>
      <c r="AM827" s="29">
        <f t="shared" si="198"/>
        <v>509.1</v>
      </c>
      <c r="AN827" s="29">
        <f t="shared" si="199"/>
        <v>1.4731879787860931</v>
      </c>
      <c r="AO827" s="29">
        <f t="shared" si="200"/>
        <v>1.4285714285714286</v>
      </c>
      <c r="AP827" s="31">
        <f t="shared" si="201"/>
        <v>1.0312315851502651</v>
      </c>
      <c r="AQ827" s="31">
        <f t="shared" si="202"/>
        <v>0.90266666666666662</v>
      </c>
      <c r="AR827" s="31">
        <f t="shared" si="203"/>
        <v>0.69578622816032909</v>
      </c>
      <c r="AS827" s="29">
        <f t="shared" si="204"/>
        <v>21.925706666666667</v>
      </c>
      <c r="AT827" s="29">
        <f t="shared" si="205"/>
        <v>5.7851416888888938</v>
      </c>
      <c r="AU827" s="27" t="str">
        <f t="shared" si="206"/>
        <v>High</v>
      </c>
      <c r="AV827" s="27" t="str">
        <f t="shared" si="207"/>
        <v>Critical</v>
      </c>
      <c r="AW827" s="27"/>
    </row>
    <row r="828" spans="1:49" x14ac:dyDescent="0.25">
      <c r="A828" s="27">
        <v>827</v>
      </c>
      <c r="B828" s="28">
        <v>46162</v>
      </c>
      <c r="C828" s="28" t="str">
        <f t="shared" si="192"/>
        <v>May</v>
      </c>
      <c r="D828" s="27" t="s">
        <v>67</v>
      </c>
      <c r="E828" s="27" t="s">
        <v>61</v>
      </c>
      <c r="F828" s="27" t="s">
        <v>95</v>
      </c>
      <c r="G828" s="27" t="s">
        <v>63</v>
      </c>
      <c r="H828" s="27" t="s">
        <v>51</v>
      </c>
      <c r="I828" s="27" t="s">
        <v>951</v>
      </c>
      <c r="J828" s="27" t="s">
        <v>101</v>
      </c>
      <c r="K828" s="27">
        <v>737</v>
      </c>
      <c r="L828" s="27">
        <v>644</v>
      </c>
      <c r="M828" s="27">
        <v>608</v>
      </c>
      <c r="N828" s="27">
        <v>36</v>
      </c>
      <c r="O828" s="27">
        <v>7</v>
      </c>
      <c r="P828" s="27">
        <v>46</v>
      </c>
      <c r="Q828" s="27" t="s">
        <v>75</v>
      </c>
      <c r="R828" s="27">
        <v>42</v>
      </c>
      <c r="S828" s="27">
        <v>45</v>
      </c>
      <c r="T828" s="29">
        <v>70.099999999999994</v>
      </c>
      <c r="U828" s="29">
        <v>1.78</v>
      </c>
      <c r="V828" s="29">
        <v>23.36</v>
      </c>
      <c r="W828" s="30">
        <v>11646.63</v>
      </c>
      <c r="X828" s="27">
        <v>6.46</v>
      </c>
      <c r="Y828" s="27" t="s">
        <v>55</v>
      </c>
      <c r="Z828" s="29">
        <v>13</v>
      </c>
      <c r="AA828" s="30">
        <v>19031.740000000002</v>
      </c>
      <c r="AB828" s="29">
        <v>0.94409937888198803</v>
      </c>
      <c r="AC828" s="30">
        <v>14763.87</v>
      </c>
      <c r="AD828" s="30">
        <v>126.59380434782599</v>
      </c>
      <c r="AE828" s="27">
        <v>515.9</v>
      </c>
      <c r="AF828" s="29">
        <v>0.91083543322349303</v>
      </c>
      <c r="AG828" s="30">
        <v>4141.2761956521799</v>
      </c>
      <c r="AH828" s="31">
        <f t="shared" si="193"/>
        <v>0.87381275440976935</v>
      </c>
      <c r="AI828" s="31">
        <f t="shared" si="194"/>
        <v>5.5900621118012424E-2</v>
      </c>
      <c r="AJ828" s="31">
        <f t="shared" si="195"/>
        <v>1.0869565217391304E-2</v>
      </c>
      <c r="AK828" s="31">
        <f t="shared" si="196"/>
        <v>0.94409937888198758</v>
      </c>
      <c r="AL828" s="29">
        <f t="shared" si="197"/>
        <v>0.76666666666666672</v>
      </c>
      <c r="AM828" s="29">
        <f t="shared" si="198"/>
        <v>469.9</v>
      </c>
      <c r="AN828" s="29">
        <f t="shared" si="199"/>
        <v>1.370504362630347</v>
      </c>
      <c r="AO828" s="29">
        <f t="shared" si="200"/>
        <v>1.4285714285714286</v>
      </c>
      <c r="AP828" s="31">
        <f t="shared" si="201"/>
        <v>0.95935305384124292</v>
      </c>
      <c r="AQ828" s="31">
        <f t="shared" si="202"/>
        <v>0.94409937888198758</v>
      </c>
      <c r="AR828" s="31">
        <f t="shared" si="203"/>
        <v>0.82496607869742222</v>
      </c>
      <c r="AS828" s="29">
        <f t="shared" si="204"/>
        <v>22.925263975155282</v>
      </c>
      <c r="AT828" s="29">
        <f t="shared" si="205"/>
        <v>6.4305530988387885</v>
      </c>
      <c r="AU828" s="27" t="str">
        <f t="shared" si="206"/>
        <v>Medium</v>
      </c>
      <c r="AV828" s="27" t="str">
        <f t="shared" si="207"/>
        <v>Warning</v>
      </c>
      <c r="AW828" s="27"/>
    </row>
    <row r="829" spans="1:49" x14ac:dyDescent="0.25">
      <c r="A829" s="27">
        <v>828</v>
      </c>
      <c r="B829" s="28">
        <v>46167</v>
      </c>
      <c r="C829" s="28" t="str">
        <f t="shared" si="192"/>
        <v>May</v>
      </c>
      <c r="D829" s="27" t="s">
        <v>47</v>
      </c>
      <c r="E829" s="27" t="s">
        <v>48</v>
      </c>
      <c r="F829" s="27" t="s">
        <v>56</v>
      </c>
      <c r="G829" s="27" t="s">
        <v>50</v>
      </c>
      <c r="H829" s="27" t="s">
        <v>79</v>
      </c>
      <c r="I829" s="27" t="s">
        <v>952</v>
      </c>
      <c r="J829" s="27" t="s">
        <v>138</v>
      </c>
      <c r="K829" s="27">
        <v>637</v>
      </c>
      <c r="L829" s="27">
        <v>661</v>
      </c>
      <c r="M829" s="27">
        <v>625</v>
      </c>
      <c r="N829" s="27">
        <v>36</v>
      </c>
      <c r="O829" s="27">
        <v>7</v>
      </c>
      <c r="P829" s="27">
        <v>27</v>
      </c>
      <c r="Q829" s="27" t="s">
        <v>54</v>
      </c>
      <c r="R829" s="27">
        <v>49</v>
      </c>
      <c r="S829" s="27">
        <v>53</v>
      </c>
      <c r="T829" s="29">
        <v>64.5</v>
      </c>
      <c r="U829" s="29">
        <v>1.77</v>
      </c>
      <c r="V829" s="29">
        <v>22.96</v>
      </c>
      <c r="W829" s="30">
        <v>13878.8</v>
      </c>
      <c r="X829" s="27">
        <v>10.23</v>
      </c>
      <c r="Y829" s="27" t="s">
        <v>55</v>
      </c>
      <c r="Z829" s="29">
        <v>33</v>
      </c>
      <c r="AA829" s="30">
        <v>24277.45</v>
      </c>
      <c r="AB829" s="29">
        <v>0.94553706505294999</v>
      </c>
      <c r="AC829" s="30">
        <v>18688.939999999999</v>
      </c>
      <c r="AD829" s="30">
        <v>146.976701966717</v>
      </c>
      <c r="AE829" s="27">
        <v>520.21666666666704</v>
      </c>
      <c r="AF829" s="29">
        <v>0.94809854868163901</v>
      </c>
      <c r="AG829" s="30">
        <v>5441.5332980332896</v>
      </c>
      <c r="AH829" s="31">
        <f t="shared" si="193"/>
        <v>1.0376766091051806</v>
      </c>
      <c r="AI829" s="31">
        <f t="shared" si="194"/>
        <v>5.4462934947049922E-2</v>
      </c>
      <c r="AJ829" s="31">
        <f t="shared" si="195"/>
        <v>1.059001512859304E-2</v>
      </c>
      <c r="AK829" s="31">
        <f t="shared" si="196"/>
        <v>0.9455370650529501</v>
      </c>
      <c r="AL829" s="29">
        <f t="shared" si="197"/>
        <v>0.45</v>
      </c>
      <c r="AM829" s="29">
        <f t="shared" si="198"/>
        <v>493.21666666666704</v>
      </c>
      <c r="AN829" s="29">
        <f t="shared" si="199"/>
        <v>1.3401817997499399</v>
      </c>
      <c r="AO829" s="29">
        <f t="shared" si="200"/>
        <v>1.2244897959183674</v>
      </c>
      <c r="AP829" s="31">
        <f t="shared" si="201"/>
        <v>1.0944818031291175</v>
      </c>
      <c r="AQ829" s="31">
        <f t="shared" si="202"/>
        <v>0.9455370650529501</v>
      </c>
      <c r="AR829" s="31">
        <f t="shared" si="203"/>
        <v>0.98116169544740894</v>
      </c>
      <c r="AS829" s="29">
        <f t="shared" si="204"/>
        <v>28.273736762481086</v>
      </c>
      <c r="AT829" s="29">
        <f t="shared" si="205"/>
        <v>8.2322742784164742</v>
      </c>
      <c r="AU829" s="27" t="str">
        <f t="shared" si="206"/>
        <v>Medium</v>
      </c>
      <c r="AV829" s="27" t="str">
        <f t="shared" si="207"/>
        <v>Normal</v>
      </c>
      <c r="AW829" s="27"/>
    </row>
    <row r="830" spans="1:49" x14ac:dyDescent="0.25">
      <c r="A830" s="27">
        <v>829</v>
      </c>
      <c r="B830" s="28">
        <v>46094</v>
      </c>
      <c r="C830" s="28" t="str">
        <f t="shared" si="192"/>
        <v>March</v>
      </c>
      <c r="D830" s="27" t="s">
        <v>67</v>
      </c>
      <c r="E830" s="27" t="s">
        <v>48</v>
      </c>
      <c r="F830" s="27" t="s">
        <v>56</v>
      </c>
      <c r="G830" s="27" t="s">
        <v>50</v>
      </c>
      <c r="H830" s="27" t="s">
        <v>51</v>
      </c>
      <c r="I830" s="27" t="s">
        <v>953</v>
      </c>
      <c r="J830" s="27" t="s">
        <v>93</v>
      </c>
      <c r="K830" s="27">
        <v>962</v>
      </c>
      <c r="L830" s="27">
        <v>1026</v>
      </c>
      <c r="M830" s="27">
        <v>962</v>
      </c>
      <c r="N830" s="27">
        <v>64</v>
      </c>
      <c r="O830" s="27">
        <v>14</v>
      </c>
      <c r="P830" s="27">
        <v>25</v>
      </c>
      <c r="Q830" s="27" t="s">
        <v>104</v>
      </c>
      <c r="R830" s="27">
        <v>42</v>
      </c>
      <c r="S830" s="27">
        <v>46</v>
      </c>
      <c r="T830" s="29">
        <v>74.8</v>
      </c>
      <c r="U830" s="29">
        <v>1.79</v>
      </c>
      <c r="V830" s="29">
        <v>34.5</v>
      </c>
      <c r="W830" s="30">
        <v>18747.099999999999</v>
      </c>
      <c r="X830" s="27">
        <v>8.19</v>
      </c>
      <c r="Y830" s="27" t="s">
        <v>55</v>
      </c>
      <c r="Z830" s="29">
        <v>14</v>
      </c>
      <c r="AA830" s="30">
        <v>31543.82</v>
      </c>
      <c r="AB830" s="29">
        <v>0.93762183235867502</v>
      </c>
      <c r="AC830" s="30">
        <v>22743.1</v>
      </c>
      <c r="AD830" s="30">
        <v>255.80838206627701</v>
      </c>
      <c r="AE830" s="27">
        <v>673.4</v>
      </c>
      <c r="AF830" s="29">
        <v>0.96287496287496299</v>
      </c>
      <c r="AG830" s="30">
        <v>8544.9116179337307</v>
      </c>
      <c r="AH830" s="31">
        <f t="shared" si="193"/>
        <v>1.0665280665280665</v>
      </c>
      <c r="AI830" s="31">
        <f t="shared" si="194"/>
        <v>6.2378167641325533E-2</v>
      </c>
      <c r="AJ830" s="31">
        <f t="shared" si="195"/>
        <v>1.364522417153996E-2</v>
      </c>
      <c r="AK830" s="31">
        <f t="shared" si="196"/>
        <v>0.93762183235867447</v>
      </c>
      <c r="AL830" s="29">
        <f t="shared" si="197"/>
        <v>0.41666666666666669</v>
      </c>
      <c r="AM830" s="29">
        <f t="shared" si="198"/>
        <v>648.4</v>
      </c>
      <c r="AN830" s="29">
        <f t="shared" si="199"/>
        <v>1.5823565700185072</v>
      </c>
      <c r="AO830" s="29">
        <f t="shared" si="200"/>
        <v>1.4285714285714286</v>
      </c>
      <c r="AP830" s="31">
        <f t="shared" si="201"/>
        <v>1.1076495990129549</v>
      </c>
      <c r="AQ830" s="31">
        <f t="shared" si="202"/>
        <v>0.93762183235867447</v>
      </c>
      <c r="AR830" s="31">
        <f t="shared" si="203"/>
        <v>1</v>
      </c>
      <c r="AS830" s="29">
        <f t="shared" si="204"/>
        <v>22.166764132553606</v>
      </c>
      <c r="AT830" s="29">
        <f t="shared" si="205"/>
        <v>8.328373896621569</v>
      </c>
      <c r="AU830" s="27" t="str">
        <f t="shared" si="206"/>
        <v>Low</v>
      </c>
      <c r="AV830" s="27" t="str">
        <f t="shared" si="207"/>
        <v>Normal</v>
      </c>
      <c r="AW830" s="27"/>
    </row>
    <row r="831" spans="1:49" x14ac:dyDescent="0.25">
      <c r="A831" s="27">
        <v>830</v>
      </c>
      <c r="B831" s="28">
        <v>46092</v>
      </c>
      <c r="C831" s="28" t="str">
        <f t="shared" si="192"/>
        <v>March</v>
      </c>
      <c r="D831" s="27" t="s">
        <v>47</v>
      </c>
      <c r="E831" s="27" t="s">
        <v>98</v>
      </c>
      <c r="F831" s="27" t="s">
        <v>126</v>
      </c>
      <c r="G831" s="27" t="s">
        <v>78</v>
      </c>
      <c r="H831" s="27" t="s">
        <v>57</v>
      </c>
      <c r="I831" s="27" t="s">
        <v>954</v>
      </c>
      <c r="J831" s="27" t="s">
        <v>164</v>
      </c>
      <c r="K831" s="27">
        <v>819</v>
      </c>
      <c r="L831" s="27">
        <v>592</v>
      </c>
      <c r="M831" s="27">
        <v>535</v>
      </c>
      <c r="N831" s="27">
        <v>57</v>
      </c>
      <c r="O831" s="27">
        <v>23</v>
      </c>
      <c r="P831" s="27">
        <v>47</v>
      </c>
      <c r="Q831" s="27" t="s">
        <v>54</v>
      </c>
      <c r="R831" s="27">
        <v>45</v>
      </c>
      <c r="S831" s="27">
        <v>48</v>
      </c>
      <c r="T831" s="29">
        <v>78</v>
      </c>
      <c r="U831" s="29">
        <v>2.97</v>
      </c>
      <c r="V831" s="29">
        <v>21.99</v>
      </c>
      <c r="W831" s="30">
        <v>12085.93</v>
      </c>
      <c r="X831" s="27">
        <v>7.16</v>
      </c>
      <c r="Y831" s="27" t="s">
        <v>71</v>
      </c>
      <c r="Z831" s="29">
        <v>46</v>
      </c>
      <c r="AA831" s="30">
        <v>18190.330000000002</v>
      </c>
      <c r="AB831" s="29">
        <v>0.90371621621621601</v>
      </c>
      <c r="AC831" s="30">
        <v>15505.84</v>
      </c>
      <c r="AD831" s="30">
        <v>469.554712837838</v>
      </c>
      <c r="AE831" s="27">
        <v>614.25</v>
      </c>
      <c r="AF831" s="29">
        <v>0.92348392348392405</v>
      </c>
      <c r="AG831" s="30">
        <v>2214.93528716216</v>
      </c>
      <c r="AH831" s="31">
        <f t="shared" si="193"/>
        <v>0.72283272283272282</v>
      </c>
      <c r="AI831" s="31">
        <f t="shared" si="194"/>
        <v>9.6283783783783786E-2</v>
      </c>
      <c r="AJ831" s="31">
        <f t="shared" si="195"/>
        <v>3.885135135135135E-2</v>
      </c>
      <c r="AK831" s="31">
        <f t="shared" si="196"/>
        <v>0.90371621621621623</v>
      </c>
      <c r="AL831" s="29">
        <f t="shared" si="197"/>
        <v>0.78333333333333333</v>
      </c>
      <c r="AM831" s="29">
        <f t="shared" si="198"/>
        <v>567.25</v>
      </c>
      <c r="AN831" s="29">
        <f t="shared" si="199"/>
        <v>1.0436315557514324</v>
      </c>
      <c r="AO831" s="29">
        <f t="shared" si="200"/>
        <v>1.3333333333333333</v>
      </c>
      <c r="AP831" s="31">
        <f t="shared" si="201"/>
        <v>0.7827236668135743</v>
      </c>
      <c r="AQ831" s="31">
        <f t="shared" si="202"/>
        <v>0.90371621621621623</v>
      </c>
      <c r="AR831" s="31">
        <f t="shared" si="203"/>
        <v>0.65323565323565358</v>
      </c>
      <c r="AS831" s="29">
        <f t="shared" si="204"/>
        <v>26.192297297297298</v>
      </c>
      <c r="AT831" s="29">
        <f t="shared" si="205"/>
        <v>3.7414447418279728</v>
      </c>
      <c r="AU831" s="27" t="str">
        <f t="shared" si="206"/>
        <v>High</v>
      </c>
      <c r="AV831" s="27" t="str">
        <f t="shared" si="207"/>
        <v>Critical</v>
      </c>
      <c r="AW831" s="27"/>
    </row>
    <row r="832" spans="1:49" x14ac:dyDescent="0.25">
      <c r="A832" s="27">
        <v>831</v>
      </c>
      <c r="B832" s="28">
        <v>46196</v>
      </c>
      <c r="C832" s="28" t="str">
        <f t="shared" si="192"/>
        <v>June</v>
      </c>
      <c r="D832" s="27" t="s">
        <v>47</v>
      </c>
      <c r="E832" s="27" t="s">
        <v>129</v>
      </c>
      <c r="F832" s="27" t="s">
        <v>151</v>
      </c>
      <c r="G832" s="27" t="s">
        <v>78</v>
      </c>
      <c r="H832" s="27" t="s">
        <v>79</v>
      </c>
      <c r="I832" s="27" t="s">
        <v>955</v>
      </c>
      <c r="J832" s="27" t="s">
        <v>128</v>
      </c>
      <c r="K832" s="27">
        <v>799</v>
      </c>
      <c r="L832" s="27">
        <v>644</v>
      </c>
      <c r="M832" s="27">
        <v>600</v>
      </c>
      <c r="N832" s="27">
        <v>44</v>
      </c>
      <c r="O832" s="27">
        <v>14</v>
      </c>
      <c r="P832" s="27">
        <v>23</v>
      </c>
      <c r="Q832" s="27" t="s">
        <v>94</v>
      </c>
      <c r="R832" s="27">
        <v>49</v>
      </c>
      <c r="S832" s="27">
        <v>49</v>
      </c>
      <c r="T832" s="29">
        <v>70.3</v>
      </c>
      <c r="U832" s="29">
        <v>2.25</v>
      </c>
      <c r="V832" s="29">
        <v>22.92</v>
      </c>
      <c r="W832" s="30">
        <v>13803.38</v>
      </c>
      <c r="X832" s="27">
        <v>7.42</v>
      </c>
      <c r="Y832" s="27" t="s">
        <v>66</v>
      </c>
      <c r="Z832" s="29">
        <v>29</v>
      </c>
      <c r="AA832" s="30">
        <v>22681.84</v>
      </c>
      <c r="AB832" s="29">
        <v>0.93167701863354002</v>
      </c>
      <c r="AC832" s="30">
        <v>17348.66</v>
      </c>
      <c r="AD832" s="30">
        <v>300.07347826086999</v>
      </c>
      <c r="AE832" s="27">
        <v>652.51666666666699</v>
      </c>
      <c r="AF832" s="29">
        <v>0.96475185819008502</v>
      </c>
      <c r="AG832" s="30">
        <v>5033.1065217391297</v>
      </c>
      <c r="AH832" s="31">
        <f t="shared" si="193"/>
        <v>0.80600750938673338</v>
      </c>
      <c r="AI832" s="31">
        <f t="shared" si="194"/>
        <v>6.8322981366459631E-2</v>
      </c>
      <c r="AJ832" s="31">
        <f t="shared" si="195"/>
        <v>2.1739130434782608E-2</v>
      </c>
      <c r="AK832" s="31">
        <f t="shared" si="196"/>
        <v>0.93167701863354035</v>
      </c>
      <c r="AL832" s="29">
        <f t="shared" si="197"/>
        <v>0.38333333333333336</v>
      </c>
      <c r="AM832" s="29">
        <f t="shared" si="198"/>
        <v>629.51666666666699</v>
      </c>
      <c r="AN832" s="29">
        <f t="shared" si="199"/>
        <v>1.0230070689153048</v>
      </c>
      <c r="AO832" s="29">
        <f t="shared" si="200"/>
        <v>1.2244897959183674</v>
      </c>
      <c r="AP832" s="31">
        <f t="shared" si="201"/>
        <v>0.83545577294749884</v>
      </c>
      <c r="AQ832" s="31">
        <f t="shared" si="202"/>
        <v>0.93167701863354035</v>
      </c>
      <c r="AR832" s="31">
        <f t="shared" si="203"/>
        <v>0.75093867334167697</v>
      </c>
      <c r="AS832" s="29">
        <f t="shared" si="204"/>
        <v>26.938913043478262</v>
      </c>
      <c r="AT832" s="29">
        <f t="shared" si="205"/>
        <v>7.8153827977315675</v>
      </c>
      <c r="AU832" s="27" t="str">
        <f t="shared" si="206"/>
        <v>High</v>
      </c>
      <c r="AV832" s="27" t="str">
        <f t="shared" si="207"/>
        <v>Warning</v>
      </c>
      <c r="AW832" s="27"/>
    </row>
    <row r="833" spans="1:49" x14ac:dyDescent="0.25">
      <c r="A833" s="27">
        <v>832</v>
      </c>
      <c r="B833" s="28">
        <v>46145</v>
      </c>
      <c r="C833" s="28" t="str">
        <f t="shared" si="192"/>
        <v>May</v>
      </c>
      <c r="D833" s="27" t="s">
        <v>67</v>
      </c>
      <c r="E833" s="27" t="s">
        <v>76</v>
      </c>
      <c r="F833" s="27" t="s">
        <v>113</v>
      </c>
      <c r="G833" s="27" t="s">
        <v>63</v>
      </c>
      <c r="H833" s="27" t="s">
        <v>51</v>
      </c>
      <c r="I833" s="27" t="s">
        <v>956</v>
      </c>
      <c r="J833" s="27" t="s">
        <v>90</v>
      </c>
      <c r="K833" s="27">
        <v>750</v>
      </c>
      <c r="L833" s="27">
        <v>773</v>
      </c>
      <c r="M833" s="27">
        <v>736</v>
      </c>
      <c r="N833" s="27">
        <v>37</v>
      </c>
      <c r="O833" s="27">
        <v>15</v>
      </c>
      <c r="P833" s="27">
        <v>8</v>
      </c>
      <c r="Q833" s="27" t="s">
        <v>104</v>
      </c>
      <c r="R833" s="27">
        <v>42</v>
      </c>
      <c r="S833" s="27">
        <v>40</v>
      </c>
      <c r="T833" s="29">
        <v>72</v>
      </c>
      <c r="U833" s="29">
        <v>1.57</v>
      </c>
      <c r="V833" s="29">
        <v>31.77</v>
      </c>
      <c r="W833" s="30">
        <v>13498.29</v>
      </c>
      <c r="X833" s="27">
        <v>8.41</v>
      </c>
      <c r="Y833" s="27" t="s">
        <v>110</v>
      </c>
      <c r="Z833" s="29">
        <v>21</v>
      </c>
      <c r="AA833" s="30">
        <v>23030.04</v>
      </c>
      <c r="AB833" s="29">
        <v>0.952134540750323</v>
      </c>
      <c r="AC833" s="30">
        <v>17568.72</v>
      </c>
      <c r="AD833" s="30">
        <v>261.93318240620999</v>
      </c>
      <c r="AE833" s="27">
        <v>525</v>
      </c>
      <c r="AF833" s="29">
        <v>0.98476190476190495</v>
      </c>
      <c r="AG833" s="30">
        <v>5199.3868175937896</v>
      </c>
      <c r="AH833" s="31">
        <f t="shared" si="193"/>
        <v>1.0306666666666666</v>
      </c>
      <c r="AI833" s="31">
        <f t="shared" si="194"/>
        <v>4.7865459249676584E-2</v>
      </c>
      <c r="AJ833" s="31">
        <f t="shared" si="195"/>
        <v>1.9404915912031046E-2</v>
      </c>
      <c r="AK833" s="31">
        <f t="shared" si="196"/>
        <v>0.95213454075032344</v>
      </c>
      <c r="AL833" s="29">
        <f t="shared" si="197"/>
        <v>0.13333333333333333</v>
      </c>
      <c r="AM833" s="29">
        <f t="shared" si="198"/>
        <v>517</v>
      </c>
      <c r="AN833" s="29">
        <f t="shared" si="199"/>
        <v>1.495164410058027</v>
      </c>
      <c r="AO833" s="29">
        <f t="shared" si="200"/>
        <v>1.4285714285714286</v>
      </c>
      <c r="AP833" s="31">
        <f t="shared" si="201"/>
        <v>1.0466150870406188</v>
      </c>
      <c r="AQ833" s="31">
        <f t="shared" si="202"/>
        <v>0.95213454075032344</v>
      </c>
      <c r="AR833" s="31">
        <f t="shared" si="203"/>
        <v>0.98133333333333328</v>
      </c>
      <c r="AS833" s="29">
        <f t="shared" si="204"/>
        <v>22.727968952134542</v>
      </c>
      <c r="AT833" s="29">
        <f t="shared" si="205"/>
        <v>6.7262442659686803</v>
      </c>
      <c r="AU833" s="27" t="str">
        <f t="shared" si="206"/>
        <v>Medium</v>
      </c>
      <c r="AV833" s="27" t="str">
        <f t="shared" si="207"/>
        <v>Normal</v>
      </c>
      <c r="AW833" s="27"/>
    </row>
    <row r="834" spans="1:49" x14ac:dyDescent="0.25">
      <c r="A834" s="27">
        <v>833</v>
      </c>
      <c r="B834" s="28">
        <v>46134</v>
      </c>
      <c r="C834" s="28" t="str">
        <f t="shared" ref="C834:C897" si="208">TEXT(B834,"mmmm")</f>
        <v>April</v>
      </c>
      <c r="D834" s="27" t="s">
        <v>67</v>
      </c>
      <c r="E834" s="27" t="s">
        <v>48</v>
      </c>
      <c r="F834" s="27" t="s">
        <v>72</v>
      </c>
      <c r="G834" s="27" t="s">
        <v>50</v>
      </c>
      <c r="H834" s="27" t="s">
        <v>57</v>
      </c>
      <c r="I834" s="27" t="s">
        <v>957</v>
      </c>
      <c r="J834" s="27" t="s">
        <v>175</v>
      </c>
      <c r="K834" s="27">
        <v>783</v>
      </c>
      <c r="L834" s="27">
        <v>795</v>
      </c>
      <c r="M834" s="27">
        <v>768</v>
      </c>
      <c r="N834" s="27">
        <v>27</v>
      </c>
      <c r="O834" s="27">
        <v>11</v>
      </c>
      <c r="P834" s="27">
        <v>21</v>
      </c>
      <c r="Q834" s="27" t="s">
        <v>82</v>
      </c>
      <c r="R834" s="27">
        <v>45</v>
      </c>
      <c r="S834" s="27">
        <v>48</v>
      </c>
      <c r="T834" s="29">
        <v>71.5</v>
      </c>
      <c r="U834" s="29">
        <v>1.98</v>
      </c>
      <c r="V834" s="29">
        <v>28.3</v>
      </c>
      <c r="W834" s="30">
        <v>16442.39</v>
      </c>
      <c r="X834" s="27">
        <v>9.08</v>
      </c>
      <c r="Y834" s="27" t="s">
        <v>55</v>
      </c>
      <c r="Z834" s="29">
        <v>40</v>
      </c>
      <c r="AA834" s="30">
        <v>26769.84</v>
      </c>
      <c r="AB834" s="29">
        <v>0.96603773584905706</v>
      </c>
      <c r="AC834" s="30">
        <v>20783.09</v>
      </c>
      <c r="AD834" s="30">
        <v>227.50476729559699</v>
      </c>
      <c r="AE834" s="27">
        <v>587.25</v>
      </c>
      <c r="AF834" s="29">
        <v>0.96424010217113698</v>
      </c>
      <c r="AG834" s="30">
        <v>5759.2452327044002</v>
      </c>
      <c r="AH834" s="31">
        <f t="shared" ref="AH834:AH897" si="209">IFERROR(L834/K834,0)</f>
        <v>1.0153256704980842</v>
      </c>
      <c r="AI834" s="31">
        <f t="shared" ref="AI834:AI897" si="210">IFERROR(N834/L834,0)</f>
        <v>3.3962264150943396E-2</v>
      </c>
      <c r="AJ834" s="31">
        <f t="shared" ref="AJ834:AJ897" si="211">IFERROR(O834/L834,0)</f>
        <v>1.3836477987421384E-2</v>
      </c>
      <c r="AK834" s="31">
        <f t="shared" ref="AK834:AK897" si="212">IFERROR(M834/L834,0)</f>
        <v>0.96603773584905661</v>
      </c>
      <c r="AL834" s="29">
        <f t="shared" ref="AL834:AL897" si="213">P834/60</f>
        <v>0.35</v>
      </c>
      <c r="AM834" s="29">
        <f t="shared" ref="AM834:AM897" si="214">MAX(0,AE834-P834)</f>
        <v>566.25</v>
      </c>
      <c r="AN834" s="29">
        <f t="shared" ref="AN834:AN897" si="215">IFERROR(L834/AM834,0)</f>
        <v>1.4039735099337749</v>
      </c>
      <c r="AO834" s="29">
        <f t="shared" ref="AO834:AO897" si="216">IFERROR(60/R834,0)</f>
        <v>1.3333333333333333</v>
      </c>
      <c r="AP834" s="31">
        <f t="shared" ref="AP834:AP897" si="217">IFERROR(AN834/AO834,0)</f>
        <v>1.0529801324503312</v>
      </c>
      <c r="AQ834" s="31">
        <f t="shared" ref="AQ834:AQ897" si="218">IFERROR(M834/L834,0)</f>
        <v>0.96603773584905661</v>
      </c>
      <c r="AR834" s="31">
        <f t="shared" ref="AR834:AR897" si="219">AF834*AP834*AQ834</f>
        <v>0.98084291187739503</v>
      </c>
      <c r="AS834" s="29">
        <f t="shared" ref="AS834:AS897" si="220">IFERROR(AC834/L834,0)</f>
        <v>26.142251572327044</v>
      </c>
      <c r="AT834" s="29">
        <f t="shared" ref="AT834:AT897" si="221">IFERROR(AG834/L834,0)</f>
        <v>7.2443336260432707</v>
      </c>
      <c r="AU834" s="27" t="str">
        <f t="shared" ref="AU834:AU897" si="222">IF(OR(Y834="Overdue",P834&gt;=120,T834&gt;=85,U834&gt;=4,AI834&gt;=0.12,AR834&lt;0.8),"High",IF(OR(Y834="Pending",Z834&gt;=30,P834&gt;=60,T834&gt;=80,U834&gt;=3,AI834&gt;=0.08,AR834&lt;0.85),"Medium","Low"))</f>
        <v>Medium</v>
      </c>
      <c r="AV834" s="27" t="str">
        <f t="shared" ref="AV834:AV897" si="223">IF(OR(P834&gt;=120,T834&gt;=90,U834&gt;=4.5,AI834&gt;=0.15,AR834&lt;0.75),"Critical",IF(OR(P834&gt;=60,T834&gt;=80,U834&gt;=3,AI834&gt;=0.08,AR834&lt;0.85),"Warning","Normal"))</f>
        <v>Normal</v>
      </c>
      <c r="AW834" s="27"/>
    </row>
    <row r="835" spans="1:49" x14ac:dyDescent="0.25">
      <c r="A835" s="27">
        <v>834</v>
      </c>
      <c r="B835" s="28">
        <v>46060</v>
      </c>
      <c r="C835" s="28" t="str">
        <f t="shared" si="208"/>
        <v>February</v>
      </c>
      <c r="D835" s="27" t="s">
        <v>47</v>
      </c>
      <c r="E835" s="27" t="s">
        <v>98</v>
      </c>
      <c r="F835" s="27" t="s">
        <v>105</v>
      </c>
      <c r="G835" s="27" t="s">
        <v>78</v>
      </c>
      <c r="H835" s="27" t="s">
        <v>51</v>
      </c>
      <c r="I835" s="27" t="s">
        <v>958</v>
      </c>
      <c r="J835" s="27" t="s">
        <v>186</v>
      </c>
      <c r="K835" s="27">
        <v>795</v>
      </c>
      <c r="L835" s="27">
        <v>740</v>
      </c>
      <c r="M835" s="27">
        <v>686</v>
      </c>
      <c r="N835" s="27">
        <v>54</v>
      </c>
      <c r="O835" s="27">
        <v>15</v>
      </c>
      <c r="P835" s="27">
        <v>17</v>
      </c>
      <c r="Q835" s="27" t="s">
        <v>97</v>
      </c>
      <c r="R835" s="27">
        <v>42</v>
      </c>
      <c r="S835" s="27">
        <v>46</v>
      </c>
      <c r="T835" s="29">
        <v>73</v>
      </c>
      <c r="U835" s="29">
        <v>2.09</v>
      </c>
      <c r="V835" s="29">
        <v>29.45</v>
      </c>
      <c r="W835" s="30">
        <v>14501.65</v>
      </c>
      <c r="X835" s="27">
        <v>8.09</v>
      </c>
      <c r="Y835" s="27" t="s">
        <v>66</v>
      </c>
      <c r="Z835" s="29">
        <v>36</v>
      </c>
      <c r="AA835" s="30">
        <v>22099.759999999998</v>
      </c>
      <c r="AB835" s="29">
        <v>0.927027027027027</v>
      </c>
      <c r="AC835" s="30">
        <v>18407.2</v>
      </c>
      <c r="AD835" s="30">
        <v>293.95236486486499</v>
      </c>
      <c r="AE835" s="27">
        <v>556.5</v>
      </c>
      <c r="AF835" s="29">
        <v>0.96945193171608302</v>
      </c>
      <c r="AG835" s="30">
        <v>3398.6076351351298</v>
      </c>
      <c r="AH835" s="31">
        <f t="shared" si="209"/>
        <v>0.9308176100628931</v>
      </c>
      <c r="AI835" s="31">
        <f t="shared" si="210"/>
        <v>7.2972972972972977E-2</v>
      </c>
      <c r="AJ835" s="31">
        <f t="shared" si="211"/>
        <v>2.0270270270270271E-2</v>
      </c>
      <c r="AK835" s="31">
        <f t="shared" si="212"/>
        <v>0.927027027027027</v>
      </c>
      <c r="AL835" s="29">
        <f t="shared" si="213"/>
        <v>0.28333333333333333</v>
      </c>
      <c r="AM835" s="29">
        <f t="shared" si="214"/>
        <v>539.5</v>
      </c>
      <c r="AN835" s="29">
        <f t="shared" si="215"/>
        <v>1.3716404077849862</v>
      </c>
      <c r="AO835" s="29">
        <f t="shared" si="216"/>
        <v>1.4285714285714286</v>
      </c>
      <c r="AP835" s="31">
        <f t="shared" si="217"/>
        <v>0.96014828544949027</v>
      </c>
      <c r="AQ835" s="31">
        <f t="shared" si="218"/>
        <v>0.927027027027027</v>
      </c>
      <c r="AR835" s="31">
        <f t="shared" si="219"/>
        <v>0.86289308176100654</v>
      </c>
      <c r="AS835" s="29">
        <f t="shared" si="220"/>
        <v>24.874594594594594</v>
      </c>
      <c r="AT835" s="29">
        <f t="shared" si="221"/>
        <v>4.5927130204528783</v>
      </c>
      <c r="AU835" s="27" t="str">
        <f t="shared" si="222"/>
        <v>Medium</v>
      </c>
      <c r="AV835" s="27" t="str">
        <f t="shared" si="223"/>
        <v>Normal</v>
      </c>
      <c r="AW835" s="27"/>
    </row>
    <row r="836" spans="1:49" x14ac:dyDescent="0.25">
      <c r="A836" s="27">
        <v>835</v>
      </c>
      <c r="B836" s="28">
        <v>46023</v>
      </c>
      <c r="C836" s="28" t="str">
        <f t="shared" si="208"/>
        <v>January</v>
      </c>
      <c r="D836" s="27" t="s">
        <v>47</v>
      </c>
      <c r="E836" s="27" t="s">
        <v>48</v>
      </c>
      <c r="F836" s="27" t="s">
        <v>56</v>
      </c>
      <c r="G836" s="27" t="s">
        <v>50</v>
      </c>
      <c r="H836" s="27" t="s">
        <v>57</v>
      </c>
      <c r="I836" s="27" t="s">
        <v>959</v>
      </c>
      <c r="J836" s="27" t="s">
        <v>164</v>
      </c>
      <c r="K836" s="27">
        <v>727</v>
      </c>
      <c r="L836" s="27">
        <v>763</v>
      </c>
      <c r="M836" s="27">
        <v>720</v>
      </c>
      <c r="N836" s="27">
        <v>43</v>
      </c>
      <c r="O836" s="27">
        <v>13</v>
      </c>
      <c r="P836" s="27">
        <v>0</v>
      </c>
      <c r="Q836" s="27" t="s">
        <v>60</v>
      </c>
      <c r="R836" s="27">
        <v>45</v>
      </c>
      <c r="S836" s="27">
        <v>48</v>
      </c>
      <c r="T836" s="29">
        <v>76.5</v>
      </c>
      <c r="U836" s="29">
        <v>2.75</v>
      </c>
      <c r="V836" s="29">
        <v>29.03</v>
      </c>
      <c r="W836" s="30">
        <v>16092</v>
      </c>
      <c r="X836" s="27">
        <v>9.6999999999999993</v>
      </c>
      <c r="Y836" s="27" t="s">
        <v>66</v>
      </c>
      <c r="Z836" s="29">
        <v>24</v>
      </c>
      <c r="AA836" s="30">
        <v>25263.17</v>
      </c>
      <c r="AB836" s="29">
        <v>0.94364351245085198</v>
      </c>
      <c r="AC836" s="30">
        <v>20718.27</v>
      </c>
      <c r="AD836" s="30">
        <v>274.17562254259502</v>
      </c>
      <c r="AE836" s="27">
        <v>545.25</v>
      </c>
      <c r="AF836" s="29">
        <v>1</v>
      </c>
      <c r="AG836" s="30">
        <v>4270.7243774573999</v>
      </c>
      <c r="AH836" s="31">
        <f t="shared" si="209"/>
        <v>1.0495185694635489</v>
      </c>
      <c r="AI836" s="31">
        <f t="shared" si="210"/>
        <v>5.6356487549148099E-2</v>
      </c>
      <c r="AJ836" s="31">
        <f t="shared" si="211"/>
        <v>1.7038007863695939E-2</v>
      </c>
      <c r="AK836" s="31">
        <f t="shared" si="212"/>
        <v>0.94364351245085187</v>
      </c>
      <c r="AL836" s="29">
        <f t="shared" si="213"/>
        <v>0</v>
      </c>
      <c r="AM836" s="29">
        <f t="shared" si="214"/>
        <v>545.25</v>
      </c>
      <c r="AN836" s="29">
        <f t="shared" si="215"/>
        <v>1.3993580926180651</v>
      </c>
      <c r="AO836" s="29">
        <f t="shared" si="216"/>
        <v>1.3333333333333333</v>
      </c>
      <c r="AP836" s="31">
        <f t="shared" si="217"/>
        <v>1.0495185694635489</v>
      </c>
      <c r="AQ836" s="31">
        <f t="shared" si="218"/>
        <v>0.94364351245085187</v>
      </c>
      <c r="AR836" s="31">
        <f t="shared" si="219"/>
        <v>0.99037138927097668</v>
      </c>
      <c r="AS836" s="29">
        <f t="shared" si="220"/>
        <v>27.153695937090433</v>
      </c>
      <c r="AT836" s="29">
        <f t="shared" si="221"/>
        <v>5.59727965590747</v>
      </c>
      <c r="AU836" s="27" t="str">
        <f t="shared" si="222"/>
        <v>Low</v>
      </c>
      <c r="AV836" s="27" t="str">
        <f t="shared" si="223"/>
        <v>Normal</v>
      </c>
      <c r="AW836" s="27"/>
    </row>
    <row r="837" spans="1:49" x14ac:dyDescent="0.25">
      <c r="A837" s="27">
        <v>836</v>
      </c>
      <c r="B837" s="28">
        <v>46109</v>
      </c>
      <c r="C837" s="28" t="str">
        <f t="shared" si="208"/>
        <v>March</v>
      </c>
      <c r="D837" s="27" t="s">
        <v>67</v>
      </c>
      <c r="E837" s="27" t="s">
        <v>76</v>
      </c>
      <c r="F837" s="27" t="s">
        <v>77</v>
      </c>
      <c r="G837" s="27" t="s">
        <v>78</v>
      </c>
      <c r="H837" s="27" t="s">
        <v>68</v>
      </c>
      <c r="I837" s="27" t="s">
        <v>960</v>
      </c>
      <c r="J837" s="27" t="s">
        <v>74</v>
      </c>
      <c r="K837" s="27">
        <v>572</v>
      </c>
      <c r="L837" s="27">
        <v>544</v>
      </c>
      <c r="M837" s="27">
        <v>503</v>
      </c>
      <c r="N837" s="27">
        <v>41</v>
      </c>
      <c r="O837" s="27">
        <v>10</v>
      </c>
      <c r="P837" s="27">
        <v>19</v>
      </c>
      <c r="Q837" s="27" t="s">
        <v>54</v>
      </c>
      <c r="R837" s="27">
        <v>64</v>
      </c>
      <c r="S837" s="27">
        <v>69</v>
      </c>
      <c r="T837" s="29">
        <v>75.599999999999994</v>
      </c>
      <c r="U837" s="29">
        <v>1.59</v>
      </c>
      <c r="V837" s="29">
        <v>19.649999999999999</v>
      </c>
      <c r="W837" s="30">
        <v>17315.310000000001</v>
      </c>
      <c r="X837" s="27">
        <v>7.61</v>
      </c>
      <c r="Y837" s="27" t="s">
        <v>55</v>
      </c>
      <c r="Z837" s="29">
        <v>16</v>
      </c>
      <c r="AA837" s="30">
        <v>26830.15</v>
      </c>
      <c r="AB837" s="29">
        <v>0.92463235294117696</v>
      </c>
      <c r="AC837" s="30">
        <v>20916.66</v>
      </c>
      <c r="AD837" s="30">
        <v>318.29613970588201</v>
      </c>
      <c r="AE837" s="27">
        <v>610.13333333333298</v>
      </c>
      <c r="AF837" s="29">
        <v>0.96885926573426595</v>
      </c>
      <c r="AG837" s="30">
        <v>5595.19386029412</v>
      </c>
      <c r="AH837" s="31">
        <f t="shared" si="209"/>
        <v>0.95104895104895104</v>
      </c>
      <c r="AI837" s="31">
        <f t="shared" si="210"/>
        <v>7.5367647058823525E-2</v>
      </c>
      <c r="AJ837" s="31">
        <f t="shared" si="211"/>
        <v>1.8382352941176471E-2</v>
      </c>
      <c r="AK837" s="31">
        <f t="shared" si="212"/>
        <v>0.92463235294117652</v>
      </c>
      <c r="AL837" s="29">
        <f t="shared" si="213"/>
        <v>0.31666666666666665</v>
      </c>
      <c r="AM837" s="29">
        <f t="shared" si="214"/>
        <v>591.13333333333298</v>
      </c>
      <c r="AN837" s="29">
        <f t="shared" si="215"/>
        <v>0.92026615540769197</v>
      </c>
      <c r="AO837" s="29">
        <f t="shared" si="216"/>
        <v>0.9375</v>
      </c>
      <c r="AP837" s="31">
        <f t="shared" si="217"/>
        <v>0.98161723243487142</v>
      </c>
      <c r="AQ837" s="31">
        <f t="shared" si="218"/>
        <v>0.92463235294117652</v>
      </c>
      <c r="AR837" s="31">
        <f t="shared" si="219"/>
        <v>0.87937062937063015</v>
      </c>
      <c r="AS837" s="29">
        <f t="shared" si="220"/>
        <v>38.449742647058827</v>
      </c>
      <c r="AT837" s="29">
        <f t="shared" si="221"/>
        <v>10.285282831423014</v>
      </c>
      <c r="AU837" s="27" t="str">
        <f t="shared" si="222"/>
        <v>Low</v>
      </c>
      <c r="AV837" s="27" t="str">
        <f t="shared" si="223"/>
        <v>Normal</v>
      </c>
      <c r="AW837" s="27"/>
    </row>
    <row r="838" spans="1:49" x14ac:dyDescent="0.25">
      <c r="A838" s="27">
        <v>837</v>
      </c>
      <c r="B838" s="28">
        <v>46156</v>
      </c>
      <c r="C838" s="28" t="str">
        <f t="shared" si="208"/>
        <v>May</v>
      </c>
      <c r="D838" s="27" t="s">
        <v>47</v>
      </c>
      <c r="E838" s="27" t="s">
        <v>129</v>
      </c>
      <c r="F838" s="27" t="s">
        <v>167</v>
      </c>
      <c r="G838" s="27" t="s">
        <v>63</v>
      </c>
      <c r="H838" s="27" t="s">
        <v>124</v>
      </c>
      <c r="I838" s="27" t="s">
        <v>961</v>
      </c>
      <c r="J838" s="27" t="s">
        <v>155</v>
      </c>
      <c r="K838" s="27">
        <v>697</v>
      </c>
      <c r="L838" s="27">
        <v>613</v>
      </c>
      <c r="M838" s="27">
        <v>567</v>
      </c>
      <c r="N838" s="27">
        <v>46</v>
      </c>
      <c r="O838" s="27">
        <v>12</v>
      </c>
      <c r="P838" s="27">
        <v>24</v>
      </c>
      <c r="Q838" s="27" t="s">
        <v>97</v>
      </c>
      <c r="R838" s="27">
        <v>57</v>
      </c>
      <c r="S838" s="27">
        <v>57</v>
      </c>
      <c r="T838" s="29">
        <v>71.400000000000006</v>
      </c>
      <c r="U838" s="29">
        <v>2.0699999999999998</v>
      </c>
      <c r="V838" s="29">
        <v>20.82</v>
      </c>
      <c r="W838" s="30">
        <v>16681.25</v>
      </c>
      <c r="X838" s="27">
        <v>6.42</v>
      </c>
      <c r="Y838" s="27" t="s">
        <v>55</v>
      </c>
      <c r="Z838" s="29">
        <v>3</v>
      </c>
      <c r="AA838" s="30">
        <v>26775.96</v>
      </c>
      <c r="AB838" s="29">
        <v>0.92495921696574201</v>
      </c>
      <c r="AC838" s="30">
        <v>19757.63</v>
      </c>
      <c r="AD838" s="30">
        <v>326.54975530179399</v>
      </c>
      <c r="AE838" s="27">
        <v>662.15</v>
      </c>
      <c r="AF838" s="29">
        <v>0.96375443630597302</v>
      </c>
      <c r="AG838" s="30">
        <v>6691.7802446981996</v>
      </c>
      <c r="AH838" s="31">
        <f t="shared" si="209"/>
        <v>0.87948350071736014</v>
      </c>
      <c r="AI838" s="31">
        <f t="shared" si="210"/>
        <v>7.5040783034257749E-2</v>
      </c>
      <c r="AJ838" s="31">
        <f t="shared" si="211"/>
        <v>1.9575856443719411E-2</v>
      </c>
      <c r="AK838" s="31">
        <f t="shared" si="212"/>
        <v>0.92495921696574224</v>
      </c>
      <c r="AL838" s="29">
        <f t="shared" si="213"/>
        <v>0.4</v>
      </c>
      <c r="AM838" s="29">
        <f t="shared" si="214"/>
        <v>638.15</v>
      </c>
      <c r="AN838" s="29">
        <f t="shared" si="215"/>
        <v>0.96058920316539997</v>
      </c>
      <c r="AO838" s="29">
        <f t="shared" si="216"/>
        <v>1.0526315789473684</v>
      </c>
      <c r="AP838" s="31">
        <f t="shared" si="217"/>
        <v>0.91255974300713005</v>
      </c>
      <c r="AQ838" s="31">
        <f t="shared" si="218"/>
        <v>0.92495921696574224</v>
      </c>
      <c r="AR838" s="31">
        <f t="shared" si="219"/>
        <v>0.81348637015781933</v>
      </c>
      <c r="AS838" s="29">
        <f t="shared" si="220"/>
        <v>32.231044045677002</v>
      </c>
      <c r="AT838" s="29">
        <f t="shared" si="221"/>
        <v>10.916444118594127</v>
      </c>
      <c r="AU838" s="27" t="str">
        <f t="shared" si="222"/>
        <v>Medium</v>
      </c>
      <c r="AV838" s="27" t="str">
        <f t="shared" si="223"/>
        <v>Warning</v>
      </c>
      <c r="AW838" s="27"/>
    </row>
    <row r="839" spans="1:49" x14ac:dyDescent="0.25">
      <c r="A839" s="27">
        <v>838</v>
      </c>
      <c r="B839" s="28">
        <v>46178</v>
      </c>
      <c r="C839" s="28" t="str">
        <f t="shared" si="208"/>
        <v>June</v>
      </c>
      <c r="D839" s="27" t="s">
        <v>67</v>
      </c>
      <c r="E839" s="27" t="s">
        <v>129</v>
      </c>
      <c r="F839" s="27" t="s">
        <v>130</v>
      </c>
      <c r="G839" s="27" t="s">
        <v>78</v>
      </c>
      <c r="H839" s="27" t="s">
        <v>79</v>
      </c>
      <c r="I839" s="27" t="s">
        <v>962</v>
      </c>
      <c r="J839" s="27" t="s">
        <v>191</v>
      </c>
      <c r="K839" s="27">
        <v>841</v>
      </c>
      <c r="L839" s="27">
        <v>628</v>
      </c>
      <c r="M839" s="27">
        <v>525</v>
      </c>
      <c r="N839" s="27">
        <v>103</v>
      </c>
      <c r="O839" s="27">
        <v>31</v>
      </c>
      <c r="P839" s="27">
        <v>63</v>
      </c>
      <c r="Q839" s="27" t="s">
        <v>97</v>
      </c>
      <c r="R839" s="27">
        <v>49</v>
      </c>
      <c r="S839" s="27">
        <v>55</v>
      </c>
      <c r="T839" s="29">
        <v>85.1</v>
      </c>
      <c r="U839" s="29">
        <v>3.23</v>
      </c>
      <c r="V839" s="29">
        <v>26.59</v>
      </c>
      <c r="W839" s="30">
        <v>14592.15</v>
      </c>
      <c r="X839" s="27">
        <v>5.74</v>
      </c>
      <c r="Y839" s="27" t="s">
        <v>71</v>
      </c>
      <c r="Z839" s="29">
        <v>74</v>
      </c>
      <c r="AA839" s="30">
        <v>19519.96</v>
      </c>
      <c r="AB839" s="29">
        <v>0.83598726114649702</v>
      </c>
      <c r="AC839" s="30">
        <v>17414.46</v>
      </c>
      <c r="AD839" s="30">
        <v>720.31313694267499</v>
      </c>
      <c r="AE839" s="27">
        <v>686.81666666666695</v>
      </c>
      <c r="AF839" s="29">
        <v>0.90827246475284495</v>
      </c>
      <c r="AG839" s="30">
        <v>1385.1868630573199</v>
      </c>
      <c r="AH839" s="31">
        <f t="shared" si="209"/>
        <v>0.74673008323424495</v>
      </c>
      <c r="AI839" s="31">
        <f t="shared" si="210"/>
        <v>0.16401273885350318</v>
      </c>
      <c r="AJ839" s="31">
        <f t="shared" si="211"/>
        <v>4.9363057324840767E-2</v>
      </c>
      <c r="AK839" s="31">
        <f t="shared" si="212"/>
        <v>0.8359872611464968</v>
      </c>
      <c r="AL839" s="29">
        <f t="shared" si="213"/>
        <v>1.05</v>
      </c>
      <c r="AM839" s="29">
        <f t="shared" si="214"/>
        <v>623.81666666666695</v>
      </c>
      <c r="AN839" s="29">
        <f t="shared" si="215"/>
        <v>1.0067060300836246</v>
      </c>
      <c r="AO839" s="29">
        <f t="shared" si="216"/>
        <v>1.2244897959183674</v>
      </c>
      <c r="AP839" s="31">
        <f t="shared" si="217"/>
        <v>0.82214325790162668</v>
      </c>
      <c r="AQ839" s="31">
        <f t="shared" si="218"/>
        <v>0.8359872611464968</v>
      </c>
      <c r="AR839" s="31">
        <f t="shared" si="219"/>
        <v>0.62425683709869151</v>
      </c>
      <c r="AS839" s="29">
        <f t="shared" si="220"/>
        <v>27.730031847133755</v>
      </c>
      <c r="AT839" s="29">
        <f t="shared" si="221"/>
        <v>2.2057115653778978</v>
      </c>
      <c r="AU839" s="27" t="str">
        <f t="shared" si="222"/>
        <v>High</v>
      </c>
      <c r="AV839" s="27" t="str">
        <f t="shared" si="223"/>
        <v>Critical</v>
      </c>
      <c r="AW839" s="27"/>
    </row>
    <row r="840" spans="1:49" x14ac:dyDescent="0.25">
      <c r="A840" s="27">
        <v>839</v>
      </c>
      <c r="B840" s="28">
        <v>46158</v>
      </c>
      <c r="C840" s="28" t="str">
        <f t="shared" si="208"/>
        <v>May</v>
      </c>
      <c r="D840" s="27" t="s">
        <v>67</v>
      </c>
      <c r="E840" s="27" t="s">
        <v>76</v>
      </c>
      <c r="F840" s="27" t="s">
        <v>77</v>
      </c>
      <c r="G840" s="27" t="s">
        <v>63</v>
      </c>
      <c r="H840" s="27" t="s">
        <v>57</v>
      </c>
      <c r="I840" s="27" t="s">
        <v>963</v>
      </c>
      <c r="J840" s="27" t="s">
        <v>153</v>
      </c>
      <c r="K840" s="27">
        <v>919</v>
      </c>
      <c r="L840" s="27">
        <v>856</v>
      </c>
      <c r="M840" s="27">
        <v>804</v>
      </c>
      <c r="N840" s="27">
        <v>52</v>
      </c>
      <c r="O840" s="27">
        <v>11</v>
      </c>
      <c r="P840" s="27">
        <v>16</v>
      </c>
      <c r="Q840" s="27" t="s">
        <v>54</v>
      </c>
      <c r="R840" s="27">
        <v>45</v>
      </c>
      <c r="S840" s="27">
        <v>45</v>
      </c>
      <c r="T840" s="29">
        <v>70.900000000000006</v>
      </c>
      <c r="U840" s="29">
        <v>2.17</v>
      </c>
      <c r="V840" s="29">
        <v>26.08</v>
      </c>
      <c r="W840" s="30">
        <v>18496.47</v>
      </c>
      <c r="X840" s="27">
        <v>8.4</v>
      </c>
      <c r="Y840" s="27" t="s">
        <v>55</v>
      </c>
      <c r="Z840" s="29">
        <v>38</v>
      </c>
      <c r="AA840" s="30">
        <v>28222.65</v>
      </c>
      <c r="AB840" s="29">
        <v>0.93925233644859796</v>
      </c>
      <c r="AC840" s="30">
        <v>22511.19</v>
      </c>
      <c r="AD840" s="30">
        <v>237.68828271027999</v>
      </c>
      <c r="AE840" s="27">
        <v>689.25</v>
      </c>
      <c r="AF840" s="29">
        <v>0.97678636198766799</v>
      </c>
      <c r="AG840" s="30">
        <v>5473.7717172897201</v>
      </c>
      <c r="AH840" s="31">
        <f t="shared" si="209"/>
        <v>0.93144722524483137</v>
      </c>
      <c r="AI840" s="31">
        <f t="shared" si="210"/>
        <v>6.0747663551401869E-2</v>
      </c>
      <c r="AJ840" s="31">
        <f t="shared" si="211"/>
        <v>1.2850467289719626E-2</v>
      </c>
      <c r="AK840" s="31">
        <f t="shared" si="212"/>
        <v>0.93925233644859818</v>
      </c>
      <c r="AL840" s="29">
        <f t="shared" si="213"/>
        <v>0.26666666666666666</v>
      </c>
      <c r="AM840" s="29">
        <f t="shared" si="214"/>
        <v>673.25</v>
      </c>
      <c r="AN840" s="29">
        <f t="shared" si="215"/>
        <v>1.2714444857036762</v>
      </c>
      <c r="AO840" s="29">
        <f t="shared" si="216"/>
        <v>1.3333333333333333</v>
      </c>
      <c r="AP840" s="31">
        <f t="shared" si="217"/>
        <v>0.95358336427775714</v>
      </c>
      <c r="AQ840" s="31">
        <f t="shared" si="218"/>
        <v>0.93925233644859818</v>
      </c>
      <c r="AR840" s="31">
        <f t="shared" si="219"/>
        <v>0.87486398258977183</v>
      </c>
      <c r="AS840" s="29">
        <f t="shared" si="220"/>
        <v>26.298119158878503</v>
      </c>
      <c r="AT840" s="29">
        <f t="shared" si="221"/>
        <v>6.3945931276749066</v>
      </c>
      <c r="AU840" s="27" t="str">
        <f t="shared" si="222"/>
        <v>Medium</v>
      </c>
      <c r="AV840" s="27" t="str">
        <f t="shared" si="223"/>
        <v>Normal</v>
      </c>
      <c r="AW840" s="27"/>
    </row>
    <row r="841" spans="1:49" x14ac:dyDescent="0.25">
      <c r="A841" s="27">
        <v>840</v>
      </c>
      <c r="B841" s="28">
        <v>46198</v>
      </c>
      <c r="C841" s="28" t="str">
        <f t="shared" si="208"/>
        <v>June</v>
      </c>
      <c r="D841" s="27" t="s">
        <v>67</v>
      </c>
      <c r="E841" s="27" t="s">
        <v>48</v>
      </c>
      <c r="F841" s="27" t="s">
        <v>49</v>
      </c>
      <c r="G841" s="27" t="s">
        <v>50</v>
      </c>
      <c r="H841" s="27" t="s">
        <v>124</v>
      </c>
      <c r="I841" s="27" t="s">
        <v>964</v>
      </c>
      <c r="J841" s="27" t="s">
        <v>70</v>
      </c>
      <c r="K841" s="27">
        <v>608</v>
      </c>
      <c r="L841" s="27">
        <v>680</v>
      </c>
      <c r="M841" s="27">
        <v>653</v>
      </c>
      <c r="N841" s="27">
        <v>27</v>
      </c>
      <c r="O841" s="27">
        <v>7</v>
      </c>
      <c r="P841" s="27">
        <v>13</v>
      </c>
      <c r="Q841" s="27" t="s">
        <v>75</v>
      </c>
      <c r="R841" s="27">
        <v>57</v>
      </c>
      <c r="S841" s="27">
        <v>62</v>
      </c>
      <c r="T841" s="29">
        <v>78.3</v>
      </c>
      <c r="U841" s="29">
        <v>2.2799999999999998</v>
      </c>
      <c r="V841" s="29">
        <v>23.13</v>
      </c>
      <c r="W841" s="30">
        <v>17864.75</v>
      </c>
      <c r="X841" s="27">
        <v>8.9499999999999993</v>
      </c>
      <c r="Y841" s="27" t="s">
        <v>55</v>
      </c>
      <c r="Z841" s="29">
        <v>23</v>
      </c>
      <c r="AA841" s="30">
        <v>29293.06</v>
      </c>
      <c r="AB841" s="29">
        <v>0.96029411764705896</v>
      </c>
      <c r="AC841" s="30">
        <v>22100.42</v>
      </c>
      <c r="AD841" s="30">
        <v>183.90183823529401</v>
      </c>
      <c r="AE841" s="27">
        <v>577.6</v>
      </c>
      <c r="AF841" s="29">
        <v>0.97749307479224401</v>
      </c>
      <c r="AG841" s="30">
        <v>7008.7381617647097</v>
      </c>
      <c r="AH841" s="31">
        <f t="shared" si="209"/>
        <v>1.118421052631579</v>
      </c>
      <c r="AI841" s="31">
        <f t="shared" si="210"/>
        <v>3.9705882352941174E-2</v>
      </c>
      <c r="AJ841" s="31">
        <f t="shared" si="211"/>
        <v>1.0294117647058823E-2</v>
      </c>
      <c r="AK841" s="31">
        <f t="shared" si="212"/>
        <v>0.96029411764705885</v>
      </c>
      <c r="AL841" s="29">
        <f t="shared" si="213"/>
        <v>0.21666666666666667</v>
      </c>
      <c r="AM841" s="29">
        <f t="shared" si="214"/>
        <v>564.6</v>
      </c>
      <c r="AN841" s="29">
        <f t="shared" si="215"/>
        <v>1.2043924902585901</v>
      </c>
      <c r="AO841" s="29">
        <f t="shared" si="216"/>
        <v>1.0526315789473684</v>
      </c>
      <c r="AP841" s="31">
        <f t="shared" si="217"/>
        <v>1.1441728657456607</v>
      </c>
      <c r="AQ841" s="31">
        <f t="shared" si="218"/>
        <v>0.96029411764705885</v>
      </c>
      <c r="AR841" s="31">
        <f t="shared" si="219"/>
        <v>1.0740131578947372</v>
      </c>
      <c r="AS841" s="29">
        <f t="shared" si="220"/>
        <v>32.500617647058824</v>
      </c>
      <c r="AT841" s="29">
        <f t="shared" si="221"/>
        <v>10.306967884948103</v>
      </c>
      <c r="AU841" s="27" t="str">
        <f t="shared" si="222"/>
        <v>Low</v>
      </c>
      <c r="AV841" s="27" t="str">
        <f t="shared" si="223"/>
        <v>Normal</v>
      </c>
      <c r="AW841" s="27"/>
    </row>
    <row r="842" spans="1:49" x14ac:dyDescent="0.25">
      <c r="A842" s="27">
        <v>841</v>
      </c>
      <c r="B842" s="28">
        <v>46045</v>
      </c>
      <c r="C842" s="28" t="str">
        <f t="shared" si="208"/>
        <v>January</v>
      </c>
      <c r="D842" s="27" t="s">
        <v>47</v>
      </c>
      <c r="E842" s="27" t="s">
        <v>98</v>
      </c>
      <c r="F842" s="27" t="s">
        <v>105</v>
      </c>
      <c r="G842" s="27" t="s">
        <v>63</v>
      </c>
      <c r="H842" s="27" t="s">
        <v>68</v>
      </c>
      <c r="I842" s="27" t="s">
        <v>965</v>
      </c>
      <c r="J842" s="27" t="s">
        <v>74</v>
      </c>
      <c r="K842" s="27">
        <v>467</v>
      </c>
      <c r="L842" s="27">
        <v>381</v>
      </c>
      <c r="M842" s="27">
        <v>355</v>
      </c>
      <c r="N842" s="27">
        <v>26</v>
      </c>
      <c r="O842" s="27">
        <v>10</v>
      </c>
      <c r="P842" s="27">
        <v>43</v>
      </c>
      <c r="Q842" s="27" t="s">
        <v>75</v>
      </c>
      <c r="R842" s="27">
        <v>64</v>
      </c>
      <c r="S842" s="27">
        <v>66</v>
      </c>
      <c r="T842" s="29">
        <v>76.2</v>
      </c>
      <c r="U842" s="29">
        <v>1.41</v>
      </c>
      <c r="V842" s="29">
        <v>18.16</v>
      </c>
      <c r="W842" s="30">
        <v>12170.89</v>
      </c>
      <c r="X842" s="27">
        <v>6.71</v>
      </c>
      <c r="Y842" s="27" t="s">
        <v>110</v>
      </c>
      <c r="Z842" s="29">
        <v>36</v>
      </c>
      <c r="AA842" s="30">
        <v>18981.29</v>
      </c>
      <c r="AB842" s="29">
        <v>0.93175853018372701</v>
      </c>
      <c r="AC842" s="30">
        <v>15353.83</v>
      </c>
      <c r="AD842" s="30">
        <v>319.44593175852998</v>
      </c>
      <c r="AE842" s="27">
        <v>498.13333333333298</v>
      </c>
      <c r="AF842" s="29">
        <v>0.91367773019272003</v>
      </c>
      <c r="AG842" s="30">
        <v>3308.0140682414699</v>
      </c>
      <c r="AH842" s="31">
        <f t="shared" si="209"/>
        <v>0.81584582441113496</v>
      </c>
      <c r="AI842" s="31">
        <f t="shared" si="210"/>
        <v>6.8241469816272965E-2</v>
      </c>
      <c r="AJ842" s="31">
        <f t="shared" si="211"/>
        <v>2.6246719160104987E-2</v>
      </c>
      <c r="AK842" s="31">
        <f t="shared" si="212"/>
        <v>0.93175853018372701</v>
      </c>
      <c r="AL842" s="29">
        <f t="shared" si="213"/>
        <v>0.71666666666666667</v>
      </c>
      <c r="AM842" s="29">
        <f t="shared" si="214"/>
        <v>455.13333333333298</v>
      </c>
      <c r="AN842" s="29">
        <f t="shared" si="215"/>
        <v>0.83711732825545693</v>
      </c>
      <c r="AO842" s="29">
        <f t="shared" si="216"/>
        <v>0.9375</v>
      </c>
      <c r="AP842" s="31">
        <f t="shared" si="217"/>
        <v>0.89292515013915408</v>
      </c>
      <c r="AQ842" s="31">
        <f t="shared" si="218"/>
        <v>0.93175853018372701</v>
      </c>
      <c r="AR842" s="31">
        <f t="shared" si="219"/>
        <v>0.76017130620985118</v>
      </c>
      <c r="AS842" s="29">
        <f t="shared" si="220"/>
        <v>40.298766404199476</v>
      </c>
      <c r="AT842" s="29">
        <f t="shared" si="221"/>
        <v>8.6824516226810236</v>
      </c>
      <c r="AU842" s="27" t="str">
        <f t="shared" si="222"/>
        <v>High</v>
      </c>
      <c r="AV842" s="27" t="str">
        <f t="shared" si="223"/>
        <v>Warning</v>
      </c>
      <c r="AW842" s="27"/>
    </row>
    <row r="843" spans="1:49" x14ac:dyDescent="0.25">
      <c r="A843" s="27">
        <v>842</v>
      </c>
      <c r="B843" s="28">
        <v>46101</v>
      </c>
      <c r="C843" s="28" t="str">
        <f t="shared" si="208"/>
        <v>March</v>
      </c>
      <c r="D843" s="27" t="s">
        <v>47</v>
      </c>
      <c r="E843" s="27" t="s">
        <v>98</v>
      </c>
      <c r="F843" s="27" t="s">
        <v>99</v>
      </c>
      <c r="G843" s="27" t="s">
        <v>50</v>
      </c>
      <c r="H843" s="27" t="s">
        <v>51</v>
      </c>
      <c r="I843" s="27" t="s">
        <v>966</v>
      </c>
      <c r="J843" s="27" t="s">
        <v>121</v>
      </c>
      <c r="K843" s="27">
        <v>916</v>
      </c>
      <c r="L843" s="27">
        <v>901</v>
      </c>
      <c r="M843" s="27">
        <v>859</v>
      </c>
      <c r="N843" s="27">
        <v>42</v>
      </c>
      <c r="O843" s="27">
        <v>10</v>
      </c>
      <c r="P843" s="27">
        <v>44</v>
      </c>
      <c r="Q843" s="27" t="s">
        <v>75</v>
      </c>
      <c r="R843" s="27">
        <v>42</v>
      </c>
      <c r="S843" s="27">
        <v>40</v>
      </c>
      <c r="T843" s="29">
        <v>63.8</v>
      </c>
      <c r="U843" s="29">
        <v>2.06</v>
      </c>
      <c r="V843" s="29">
        <v>36.21</v>
      </c>
      <c r="W843" s="30">
        <v>15966.22</v>
      </c>
      <c r="X843" s="27">
        <v>7.84</v>
      </c>
      <c r="Y843" s="27" t="s">
        <v>66</v>
      </c>
      <c r="Z843" s="29">
        <v>32</v>
      </c>
      <c r="AA843" s="30">
        <v>27359.119999999999</v>
      </c>
      <c r="AB843" s="29">
        <v>0.95338512763595995</v>
      </c>
      <c r="AC843" s="30">
        <v>19820.11</v>
      </c>
      <c r="AD843" s="30">
        <v>177.20554938956701</v>
      </c>
      <c r="AE843" s="27">
        <v>641.20000000000005</v>
      </c>
      <c r="AF843" s="29">
        <v>0.93137866500311906</v>
      </c>
      <c r="AG843" s="30">
        <v>7361.8044506104297</v>
      </c>
      <c r="AH843" s="31">
        <f t="shared" si="209"/>
        <v>0.98362445414847166</v>
      </c>
      <c r="AI843" s="31">
        <f t="shared" si="210"/>
        <v>4.6614872364039953E-2</v>
      </c>
      <c r="AJ843" s="31">
        <f t="shared" si="211"/>
        <v>1.1098779134295227E-2</v>
      </c>
      <c r="AK843" s="31">
        <f t="shared" si="212"/>
        <v>0.95338512763596006</v>
      </c>
      <c r="AL843" s="29">
        <f t="shared" si="213"/>
        <v>0.73333333333333328</v>
      </c>
      <c r="AM843" s="29">
        <f t="shared" si="214"/>
        <v>597.20000000000005</v>
      </c>
      <c r="AN843" s="29">
        <f t="shared" si="215"/>
        <v>1.5087073007367715</v>
      </c>
      <c r="AO843" s="29">
        <f t="shared" si="216"/>
        <v>1.4285714285714286</v>
      </c>
      <c r="AP843" s="31">
        <f t="shared" si="217"/>
        <v>1.0560951105157401</v>
      </c>
      <c r="AQ843" s="31">
        <f t="shared" si="218"/>
        <v>0.95338512763596006</v>
      </c>
      <c r="AR843" s="31">
        <f t="shared" si="219"/>
        <v>0.93777292576419213</v>
      </c>
      <c r="AS843" s="29">
        <f t="shared" si="220"/>
        <v>21.997902330743617</v>
      </c>
      <c r="AT843" s="29">
        <f t="shared" si="221"/>
        <v>8.1707041627196784</v>
      </c>
      <c r="AU843" s="27" t="str">
        <f t="shared" si="222"/>
        <v>Medium</v>
      </c>
      <c r="AV843" s="27" t="str">
        <f t="shared" si="223"/>
        <v>Normal</v>
      </c>
      <c r="AW843" s="27"/>
    </row>
    <row r="844" spans="1:49" x14ac:dyDescent="0.25">
      <c r="A844" s="27">
        <v>843</v>
      </c>
      <c r="B844" s="28">
        <v>46148</v>
      </c>
      <c r="C844" s="28" t="str">
        <f t="shared" si="208"/>
        <v>May</v>
      </c>
      <c r="D844" s="27" t="s">
        <v>67</v>
      </c>
      <c r="E844" s="27" t="s">
        <v>76</v>
      </c>
      <c r="F844" s="27" t="s">
        <v>77</v>
      </c>
      <c r="G844" s="27" t="s">
        <v>50</v>
      </c>
      <c r="H844" s="27" t="s">
        <v>79</v>
      </c>
      <c r="I844" s="27" t="s">
        <v>967</v>
      </c>
      <c r="J844" s="27" t="s">
        <v>53</v>
      </c>
      <c r="K844" s="27">
        <v>684</v>
      </c>
      <c r="L844" s="27">
        <v>696</v>
      </c>
      <c r="M844" s="27">
        <v>645</v>
      </c>
      <c r="N844" s="27">
        <v>51</v>
      </c>
      <c r="O844" s="27">
        <v>19</v>
      </c>
      <c r="P844" s="27">
        <v>13</v>
      </c>
      <c r="Q844" s="27" t="s">
        <v>104</v>
      </c>
      <c r="R844" s="27">
        <v>49</v>
      </c>
      <c r="S844" s="27">
        <v>47</v>
      </c>
      <c r="T844" s="29">
        <v>75.3</v>
      </c>
      <c r="U844" s="29">
        <v>2.4700000000000002</v>
      </c>
      <c r="V844" s="29">
        <v>29.01</v>
      </c>
      <c r="W844" s="30">
        <v>14900.53</v>
      </c>
      <c r="X844" s="27">
        <v>7.58</v>
      </c>
      <c r="Y844" s="27" t="s">
        <v>110</v>
      </c>
      <c r="Z844" s="29">
        <v>20</v>
      </c>
      <c r="AA844" s="30">
        <v>25067.83</v>
      </c>
      <c r="AB844" s="29">
        <v>0.92672413793103503</v>
      </c>
      <c r="AC844" s="30">
        <v>18572.62</v>
      </c>
      <c r="AD844" s="30">
        <v>406.76734195402298</v>
      </c>
      <c r="AE844" s="27">
        <v>558.6</v>
      </c>
      <c r="AF844" s="29">
        <v>0.97672753311851102</v>
      </c>
      <c r="AG844" s="30">
        <v>6088.4426580459804</v>
      </c>
      <c r="AH844" s="31">
        <f t="shared" si="209"/>
        <v>1.0175438596491229</v>
      </c>
      <c r="AI844" s="31">
        <f t="shared" si="210"/>
        <v>7.3275862068965511E-2</v>
      </c>
      <c r="AJ844" s="31">
        <f t="shared" si="211"/>
        <v>2.7298850574712645E-2</v>
      </c>
      <c r="AK844" s="31">
        <f t="shared" si="212"/>
        <v>0.92672413793103448</v>
      </c>
      <c r="AL844" s="29">
        <f t="shared" si="213"/>
        <v>0.21666666666666667</v>
      </c>
      <c r="AM844" s="29">
        <f t="shared" si="214"/>
        <v>545.6</v>
      </c>
      <c r="AN844" s="29">
        <f t="shared" si="215"/>
        <v>1.2756598240469208</v>
      </c>
      <c r="AO844" s="29">
        <f t="shared" si="216"/>
        <v>1.2244897959183674</v>
      </c>
      <c r="AP844" s="31">
        <f t="shared" si="217"/>
        <v>1.0417888563049853</v>
      </c>
      <c r="AQ844" s="31">
        <f t="shared" si="218"/>
        <v>0.92672413793103448</v>
      </c>
      <c r="AR844" s="31">
        <f t="shared" si="219"/>
        <v>0.94298245614035137</v>
      </c>
      <c r="AS844" s="29">
        <f t="shared" si="220"/>
        <v>26.684798850574712</v>
      </c>
      <c r="AT844" s="29">
        <f t="shared" si="221"/>
        <v>8.747762439721237</v>
      </c>
      <c r="AU844" s="27" t="str">
        <f t="shared" si="222"/>
        <v>Medium</v>
      </c>
      <c r="AV844" s="27" t="str">
        <f t="shared" si="223"/>
        <v>Normal</v>
      </c>
      <c r="AW844" s="27"/>
    </row>
    <row r="845" spans="1:49" x14ac:dyDescent="0.25">
      <c r="A845" s="27">
        <v>844</v>
      </c>
      <c r="B845" s="28">
        <v>46127</v>
      </c>
      <c r="C845" s="28" t="str">
        <f t="shared" si="208"/>
        <v>April</v>
      </c>
      <c r="D845" s="27" t="s">
        <v>67</v>
      </c>
      <c r="E845" s="27" t="s">
        <v>76</v>
      </c>
      <c r="F845" s="27" t="s">
        <v>119</v>
      </c>
      <c r="G845" s="27" t="s">
        <v>78</v>
      </c>
      <c r="H845" s="27" t="s">
        <v>79</v>
      </c>
      <c r="I845" s="27" t="s">
        <v>968</v>
      </c>
      <c r="J845" s="27" t="s">
        <v>117</v>
      </c>
      <c r="K845" s="27">
        <v>661</v>
      </c>
      <c r="L845" s="27">
        <v>587</v>
      </c>
      <c r="M845" s="27">
        <v>527</v>
      </c>
      <c r="N845" s="27">
        <v>60</v>
      </c>
      <c r="O845" s="27">
        <v>18</v>
      </c>
      <c r="P845" s="27">
        <v>5</v>
      </c>
      <c r="Q845" s="27" t="s">
        <v>54</v>
      </c>
      <c r="R845" s="27">
        <v>49</v>
      </c>
      <c r="S845" s="27">
        <v>57</v>
      </c>
      <c r="T845" s="29">
        <v>76.599999999999994</v>
      </c>
      <c r="U845" s="29">
        <v>2.48</v>
      </c>
      <c r="V845" s="29">
        <v>18.940000000000001</v>
      </c>
      <c r="W845" s="30">
        <v>12503.79</v>
      </c>
      <c r="X845" s="27">
        <v>8.93</v>
      </c>
      <c r="Y845" s="27" t="s">
        <v>66</v>
      </c>
      <c r="Z845" s="29">
        <v>1</v>
      </c>
      <c r="AA845" s="30">
        <v>19794.82</v>
      </c>
      <c r="AB845" s="29">
        <v>0.89778534923339004</v>
      </c>
      <c r="AC845" s="30">
        <v>16692.75</v>
      </c>
      <c r="AD845" s="30">
        <v>383.42115843270898</v>
      </c>
      <c r="AE845" s="27">
        <v>539.81666666666695</v>
      </c>
      <c r="AF845" s="29">
        <v>0.99073759609744105</v>
      </c>
      <c r="AG845" s="30">
        <v>2718.6488415672902</v>
      </c>
      <c r="AH845" s="31">
        <f t="shared" si="209"/>
        <v>0.88804841149773073</v>
      </c>
      <c r="AI845" s="31">
        <f t="shared" si="210"/>
        <v>0.10221465076660988</v>
      </c>
      <c r="AJ845" s="31">
        <f t="shared" si="211"/>
        <v>3.0664395229982964E-2</v>
      </c>
      <c r="AK845" s="31">
        <f t="shared" si="212"/>
        <v>0.89778534923339015</v>
      </c>
      <c r="AL845" s="29">
        <f t="shared" si="213"/>
        <v>8.3333333333333329E-2</v>
      </c>
      <c r="AM845" s="29">
        <f t="shared" si="214"/>
        <v>534.81666666666695</v>
      </c>
      <c r="AN845" s="29">
        <f t="shared" si="215"/>
        <v>1.0975723768269494</v>
      </c>
      <c r="AO845" s="29">
        <f t="shared" si="216"/>
        <v>1.2244897959183674</v>
      </c>
      <c r="AP845" s="31">
        <f t="shared" si="217"/>
        <v>0.89635077440867539</v>
      </c>
      <c r="AQ845" s="31">
        <f t="shared" si="218"/>
        <v>0.89778534923339015</v>
      </c>
      <c r="AR845" s="31">
        <f t="shared" si="219"/>
        <v>0.79727685325264752</v>
      </c>
      <c r="AS845" s="29">
        <f t="shared" si="220"/>
        <v>28.437393526405451</v>
      </c>
      <c r="AT845" s="29">
        <f t="shared" si="221"/>
        <v>4.6314290316308178</v>
      </c>
      <c r="AU845" s="27" t="str">
        <f t="shared" si="222"/>
        <v>High</v>
      </c>
      <c r="AV845" s="27" t="str">
        <f t="shared" si="223"/>
        <v>Warning</v>
      </c>
      <c r="AW845" s="27"/>
    </row>
    <row r="846" spans="1:49" x14ac:dyDescent="0.25">
      <c r="A846" s="27">
        <v>845</v>
      </c>
      <c r="B846" s="28">
        <v>46101</v>
      </c>
      <c r="C846" s="28" t="str">
        <f t="shared" si="208"/>
        <v>March</v>
      </c>
      <c r="D846" s="27" t="s">
        <v>67</v>
      </c>
      <c r="E846" s="27" t="s">
        <v>61</v>
      </c>
      <c r="F846" s="27" t="s">
        <v>95</v>
      </c>
      <c r="G846" s="27" t="s">
        <v>50</v>
      </c>
      <c r="H846" s="27" t="s">
        <v>51</v>
      </c>
      <c r="I846" s="27" t="s">
        <v>969</v>
      </c>
      <c r="J846" s="27" t="s">
        <v>140</v>
      </c>
      <c r="K846" s="27">
        <v>892</v>
      </c>
      <c r="L846" s="27">
        <v>938</v>
      </c>
      <c r="M846" s="27">
        <v>884</v>
      </c>
      <c r="N846" s="27">
        <v>54</v>
      </c>
      <c r="O846" s="27">
        <v>13</v>
      </c>
      <c r="P846" s="27">
        <v>26</v>
      </c>
      <c r="Q846" s="27" t="s">
        <v>91</v>
      </c>
      <c r="R846" s="27">
        <v>42</v>
      </c>
      <c r="S846" s="27">
        <v>42</v>
      </c>
      <c r="T846" s="29">
        <v>77.099999999999994</v>
      </c>
      <c r="U846" s="29">
        <v>2.63</v>
      </c>
      <c r="V846" s="29">
        <v>31.48</v>
      </c>
      <c r="W846" s="30">
        <v>17907.77</v>
      </c>
      <c r="X846" s="27">
        <v>7.92</v>
      </c>
      <c r="Y846" s="27" t="s">
        <v>66</v>
      </c>
      <c r="Z846" s="29">
        <v>15</v>
      </c>
      <c r="AA846" s="30">
        <v>28276.22</v>
      </c>
      <c r="AB846" s="29">
        <v>0.94243070362473402</v>
      </c>
      <c r="AC846" s="30">
        <v>21755.09</v>
      </c>
      <c r="AD846" s="30">
        <v>248.18871002132201</v>
      </c>
      <c r="AE846" s="27">
        <v>624.4</v>
      </c>
      <c r="AF846" s="29">
        <v>0.95836002562459999</v>
      </c>
      <c r="AG846" s="30">
        <v>6272.9412899786803</v>
      </c>
      <c r="AH846" s="31">
        <f t="shared" si="209"/>
        <v>1.0515695067264574</v>
      </c>
      <c r="AI846" s="31">
        <f t="shared" si="210"/>
        <v>5.7569296375266525E-2</v>
      </c>
      <c r="AJ846" s="31">
        <f t="shared" si="211"/>
        <v>1.3859275053304905E-2</v>
      </c>
      <c r="AK846" s="31">
        <f t="shared" si="212"/>
        <v>0.94243070362473347</v>
      </c>
      <c r="AL846" s="29">
        <f t="shared" si="213"/>
        <v>0.43333333333333335</v>
      </c>
      <c r="AM846" s="29">
        <f t="shared" si="214"/>
        <v>598.4</v>
      </c>
      <c r="AN846" s="29">
        <f t="shared" si="215"/>
        <v>1.5675133689839573</v>
      </c>
      <c r="AO846" s="29">
        <f t="shared" si="216"/>
        <v>1.4285714285714286</v>
      </c>
      <c r="AP846" s="31">
        <f t="shared" si="217"/>
        <v>1.0972593582887702</v>
      </c>
      <c r="AQ846" s="31">
        <f t="shared" si="218"/>
        <v>0.94243070362473347</v>
      </c>
      <c r="AR846" s="31">
        <f t="shared" si="219"/>
        <v>0.99103139013452957</v>
      </c>
      <c r="AS846" s="29">
        <f t="shared" si="220"/>
        <v>23.193059701492537</v>
      </c>
      <c r="AT846" s="29">
        <f t="shared" si="221"/>
        <v>6.6875706716190617</v>
      </c>
      <c r="AU846" s="27" t="str">
        <f t="shared" si="222"/>
        <v>Low</v>
      </c>
      <c r="AV846" s="27" t="str">
        <f t="shared" si="223"/>
        <v>Normal</v>
      </c>
      <c r="AW846" s="27"/>
    </row>
    <row r="847" spans="1:49" x14ac:dyDescent="0.25">
      <c r="A847" s="27">
        <v>846</v>
      </c>
      <c r="B847" s="28">
        <v>46073</v>
      </c>
      <c r="C847" s="28" t="str">
        <f t="shared" si="208"/>
        <v>February</v>
      </c>
      <c r="D847" s="27" t="s">
        <v>47</v>
      </c>
      <c r="E847" s="27" t="s">
        <v>76</v>
      </c>
      <c r="F847" s="27" t="s">
        <v>77</v>
      </c>
      <c r="G847" s="27" t="s">
        <v>63</v>
      </c>
      <c r="H847" s="27" t="s">
        <v>51</v>
      </c>
      <c r="I847" s="27" t="s">
        <v>970</v>
      </c>
      <c r="J847" s="27" t="s">
        <v>74</v>
      </c>
      <c r="K847" s="27">
        <v>839</v>
      </c>
      <c r="L847" s="27">
        <v>791</v>
      </c>
      <c r="M847" s="27">
        <v>724</v>
      </c>
      <c r="N847" s="27">
        <v>67</v>
      </c>
      <c r="O847" s="27">
        <v>19</v>
      </c>
      <c r="P847" s="27">
        <v>27</v>
      </c>
      <c r="Q847" s="27" t="s">
        <v>75</v>
      </c>
      <c r="R847" s="27">
        <v>42</v>
      </c>
      <c r="S847" s="27">
        <v>45</v>
      </c>
      <c r="T847" s="29">
        <v>71.2</v>
      </c>
      <c r="U847" s="29">
        <v>2.8</v>
      </c>
      <c r="V847" s="29">
        <v>23.77</v>
      </c>
      <c r="W847" s="30">
        <v>14211.48</v>
      </c>
      <c r="X847" s="27">
        <v>9.1999999999999993</v>
      </c>
      <c r="Y847" s="27" t="s">
        <v>110</v>
      </c>
      <c r="Z847" s="29">
        <v>52</v>
      </c>
      <c r="AA847" s="30">
        <v>22609.66</v>
      </c>
      <c r="AB847" s="29">
        <v>0.91529709228824296</v>
      </c>
      <c r="AC847" s="30">
        <v>18565.41</v>
      </c>
      <c r="AD847" s="30">
        <v>341.36298356510702</v>
      </c>
      <c r="AE847" s="27">
        <v>587.29999999999995</v>
      </c>
      <c r="AF847" s="29">
        <v>0.95402690277541302</v>
      </c>
      <c r="AG847" s="30">
        <v>3702.88701643489</v>
      </c>
      <c r="AH847" s="31">
        <f t="shared" si="209"/>
        <v>0.94278903456495833</v>
      </c>
      <c r="AI847" s="31">
        <f t="shared" si="210"/>
        <v>8.4702907711757272E-2</v>
      </c>
      <c r="AJ847" s="31">
        <f t="shared" si="211"/>
        <v>2.402022756005057E-2</v>
      </c>
      <c r="AK847" s="31">
        <f t="shared" si="212"/>
        <v>0.91529709228824274</v>
      </c>
      <c r="AL847" s="29">
        <f t="shared" si="213"/>
        <v>0.45</v>
      </c>
      <c r="AM847" s="29">
        <f t="shared" si="214"/>
        <v>560.29999999999995</v>
      </c>
      <c r="AN847" s="29">
        <f t="shared" si="215"/>
        <v>1.4117437087274676</v>
      </c>
      <c r="AO847" s="29">
        <f t="shared" si="216"/>
        <v>1.4285714285714286</v>
      </c>
      <c r="AP847" s="31">
        <f t="shared" si="217"/>
        <v>0.9882205961092273</v>
      </c>
      <c r="AQ847" s="31">
        <f t="shared" si="218"/>
        <v>0.91529709228824274</v>
      </c>
      <c r="AR847" s="31">
        <f t="shared" si="219"/>
        <v>0.86293206197854599</v>
      </c>
      <c r="AS847" s="29">
        <f t="shared" si="220"/>
        <v>23.470809102402022</v>
      </c>
      <c r="AT847" s="29">
        <f t="shared" si="221"/>
        <v>4.6812730928380404</v>
      </c>
      <c r="AU847" s="27" t="str">
        <f t="shared" si="222"/>
        <v>Medium</v>
      </c>
      <c r="AV847" s="27" t="str">
        <f t="shared" si="223"/>
        <v>Warning</v>
      </c>
      <c r="AW847" s="27"/>
    </row>
    <row r="848" spans="1:49" x14ac:dyDescent="0.25">
      <c r="A848" s="27">
        <v>847</v>
      </c>
      <c r="B848" s="28">
        <v>46048</v>
      </c>
      <c r="C848" s="28" t="str">
        <f t="shared" si="208"/>
        <v>January</v>
      </c>
      <c r="D848" s="27" t="s">
        <v>47</v>
      </c>
      <c r="E848" s="27" t="s">
        <v>98</v>
      </c>
      <c r="F848" s="27" t="s">
        <v>105</v>
      </c>
      <c r="G848" s="27" t="s">
        <v>50</v>
      </c>
      <c r="H848" s="27" t="s">
        <v>68</v>
      </c>
      <c r="I848" s="27" t="s">
        <v>971</v>
      </c>
      <c r="J848" s="27" t="s">
        <v>121</v>
      </c>
      <c r="K848" s="27">
        <v>500</v>
      </c>
      <c r="L848" s="27">
        <v>490</v>
      </c>
      <c r="M848" s="27">
        <v>454</v>
      </c>
      <c r="N848" s="27">
        <v>36</v>
      </c>
      <c r="O848" s="27">
        <v>7</v>
      </c>
      <c r="P848" s="27">
        <v>51</v>
      </c>
      <c r="Q848" s="27" t="s">
        <v>54</v>
      </c>
      <c r="R848" s="27">
        <v>64</v>
      </c>
      <c r="S848" s="27">
        <v>69</v>
      </c>
      <c r="T848" s="29">
        <v>75.400000000000006</v>
      </c>
      <c r="U848" s="29">
        <v>1.81</v>
      </c>
      <c r="V848" s="29">
        <v>22.54</v>
      </c>
      <c r="W848" s="30">
        <v>14461.76</v>
      </c>
      <c r="X848" s="27">
        <v>9.42</v>
      </c>
      <c r="Y848" s="27" t="s">
        <v>110</v>
      </c>
      <c r="Z848" s="29">
        <v>20</v>
      </c>
      <c r="AA848" s="30">
        <v>23445.18</v>
      </c>
      <c r="AB848" s="29">
        <v>0.92653061224489797</v>
      </c>
      <c r="AC848" s="30">
        <v>18903.62</v>
      </c>
      <c r="AD848" s="30">
        <v>206.596571428571</v>
      </c>
      <c r="AE848" s="27">
        <v>533.33333333333303</v>
      </c>
      <c r="AF848" s="29">
        <v>0.90437500000000004</v>
      </c>
      <c r="AG848" s="30">
        <v>4334.9634285714301</v>
      </c>
      <c r="AH848" s="31">
        <f t="shared" si="209"/>
        <v>0.98</v>
      </c>
      <c r="AI848" s="31">
        <f t="shared" si="210"/>
        <v>7.3469387755102047E-2</v>
      </c>
      <c r="AJ848" s="31">
        <f t="shared" si="211"/>
        <v>1.4285714285714285E-2</v>
      </c>
      <c r="AK848" s="31">
        <f t="shared" si="212"/>
        <v>0.92653061224489797</v>
      </c>
      <c r="AL848" s="29">
        <f t="shared" si="213"/>
        <v>0.85</v>
      </c>
      <c r="AM848" s="29">
        <f t="shared" si="214"/>
        <v>482.33333333333303</v>
      </c>
      <c r="AN848" s="29">
        <f t="shared" si="215"/>
        <v>1.0158949550794754</v>
      </c>
      <c r="AO848" s="29">
        <f t="shared" si="216"/>
        <v>0.9375</v>
      </c>
      <c r="AP848" s="31">
        <f t="shared" si="217"/>
        <v>1.0836212854181071</v>
      </c>
      <c r="AQ848" s="31">
        <f t="shared" si="218"/>
        <v>0.92653061224489797</v>
      </c>
      <c r="AR848" s="31">
        <f t="shared" si="219"/>
        <v>0.90800000000000058</v>
      </c>
      <c r="AS848" s="29">
        <f t="shared" si="220"/>
        <v>38.578816326530607</v>
      </c>
      <c r="AT848" s="29">
        <f t="shared" si="221"/>
        <v>8.8468641399416938</v>
      </c>
      <c r="AU848" s="27" t="str">
        <f t="shared" si="222"/>
        <v>Medium</v>
      </c>
      <c r="AV848" s="27" t="str">
        <f t="shared" si="223"/>
        <v>Normal</v>
      </c>
      <c r="AW848" s="27"/>
    </row>
    <row r="849" spans="1:49" x14ac:dyDescent="0.25">
      <c r="A849" s="27">
        <v>848</v>
      </c>
      <c r="B849" s="28">
        <v>46037</v>
      </c>
      <c r="C849" s="28" t="str">
        <f t="shared" si="208"/>
        <v>January</v>
      </c>
      <c r="D849" s="27" t="s">
        <v>47</v>
      </c>
      <c r="E849" s="27" t="s">
        <v>98</v>
      </c>
      <c r="F849" s="27" t="s">
        <v>105</v>
      </c>
      <c r="G849" s="27" t="s">
        <v>78</v>
      </c>
      <c r="H849" s="27" t="s">
        <v>51</v>
      </c>
      <c r="I849" s="27" t="s">
        <v>972</v>
      </c>
      <c r="J849" s="27" t="s">
        <v>218</v>
      </c>
      <c r="K849" s="27">
        <v>745</v>
      </c>
      <c r="L849" s="27">
        <v>567</v>
      </c>
      <c r="M849" s="27">
        <v>529</v>
      </c>
      <c r="N849" s="27">
        <v>38</v>
      </c>
      <c r="O849" s="27">
        <v>14</v>
      </c>
      <c r="P849" s="27">
        <v>32</v>
      </c>
      <c r="Q849" s="27" t="s">
        <v>54</v>
      </c>
      <c r="R849" s="27">
        <v>42</v>
      </c>
      <c r="S849" s="27">
        <v>43</v>
      </c>
      <c r="T849" s="29">
        <v>80.400000000000006</v>
      </c>
      <c r="U849" s="29">
        <v>1.77</v>
      </c>
      <c r="V849" s="29">
        <v>20.78</v>
      </c>
      <c r="W849" s="30">
        <v>10895.61</v>
      </c>
      <c r="X849" s="27">
        <v>7.39</v>
      </c>
      <c r="Y849" s="27" t="s">
        <v>71</v>
      </c>
      <c r="Z849" s="29">
        <v>42</v>
      </c>
      <c r="AA849" s="30">
        <v>16466.46</v>
      </c>
      <c r="AB849" s="29">
        <v>0.93298059964726598</v>
      </c>
      <c r="AC849" s="30">
        <v>14408.13</v>
      </c>
      <c r="AD849" s="30">
        <v>269.027407407407</v>
      </c>
      <c r="AE849" s="27">
        <v>521.5</v>
      </c>
      <c r="AF849" s="29">
        <v>0.93863854266538804</v>
      </c>
      <c r="AG849" s="30">
        <v>1789.3025925925899</v>
      </c>
      <c r="AH849" s="31">
        <f t="shared" si="209"/>
        <v>0.76107382550335567</v>
      </c>
      <c r="AI849" s="31">
        <f t="shared" si="210"/>
        <v>6.7019400352733682E-2</v>
      </c>
      <c r="AJ849" s="31">
        <f t="shared" si="211"/>
        <v>2.4691358024691357E-2</v>
      </c>
      <c r="AK849" s="31">
        <f t="shared" si="212"/>
        <v>0.93298059964726632</v>
      </c>
      <c r="AL849" s="29">
        <f t="shared" si="213"/>
        <v>0.53333333333333333</v>
      </c>
      <c r="AM849" s="29">
        <f t="shared" si="214"/>
        <v>489.5</v>
      </c>
      <c r="AN849" s="29">
        <f t="shared" si="215"/>
        <v>1.1583248212461696</v>
      </c>
      <c r="AO849" s="29">
        <f t="shared" si="216"/>
        <v>1.4285714285714286</v>
      </c>
      <c r="AP849" s="31">
        <f t="shared" si="217"/>
        <v>0.81082737487231871</v>
      </c>
      <c r="AQ849" s="31">
        <f t="shared" si="218"/>
        <v>0.93298059964726632</v>
      </c>
      <c r="AR849" s="31">
        <f t="shared" si="219"/>
        <v>0.71006711409395962</v>
      </c>
      <c r="AS849" s="29">
        <f t="shared" si="220"/>
        <v>25.411164021164019</v>
      </c>
      <c r="AT849" s="29">
        <f t="shared" si="221"/>
        <v>3.1557364948722926</v>
      </c>
      <c r="AU849" s="27" t="str">
        <f t="shared" si="222"/>
        <v>High</v>
      </c>
      <c r="AV849" s="27" t="str">
        <f t="shared" si="223"/>
        <v>Critical</v>
      </c>
      <c r="AW849" s="27"/>
    </row>
    <row r="850" spans="1:49" x14ac:dyDescent="0.25">
      <c r="A850" s="27">
        <v>849</v>
      </c>
      <c r="B850" s="28">
        <v>46049</v>
      </c>
      <c r="C850" s="28" t="str">
        <f t="shared" si="208"/>
        <v>January</v>
      </c>
      <c r="D850" s="27" t="s">
        <v>67</v>
      </c>
      <c r="E850" s="27" t="s">
        <v>98</v>
      </c>
      <c r="F850" s="27" t="s">
        <v>99</v>
      </c>
      <c r="G850" s="27" t="s">
        <v>63</v>
      </c>
      <c r="H850" s="27" t="s">
        <v>124</v>
      </c>
      <c r="I850" s="27" t="s">
        <v>973</v>
      </c>
      <c r="J850" s="27" t="s">
        <v>150</v>
      </c>
      <c r="K850" s="27">
        <v>704</v>
      </c>
      <c r="L850" s="27">
        <v>642</v>
      </c>
      <c r="M850" s="27">
        <v>618</v>
      </c>
      <c r="N850" s="27">
        <v>24</v>
      </c>
      <c r="O850" s="27">
        <v>6</v>
      </c>
      <c r="P850" s="27">
        <v>39</v>
      </c>
      <c r="Q850" s="27" t="s">
        <v>82</v>
      </c>
      <c r="R850" s="27">
        <v>57</v>
      </c>
      <c r="S850" s="27">
        <v>60</v>
      </c>
      <c r="T850" s="29">
        <v>68</v>
      </c>
      <c r="U850" s="29">
        <v>2.0099999999999998</v>
      </c>
      <c r="V850" s="29">
        <v>23.34</v>
      </c>
      <c r="W850" s="30">
        <v>17718.79</v>
      </c>
      <c r="X850" s="27">
        <v>8.69</v>
      </c>
      <c r="Y850" s="27" t="s">
        <v>55</v>
      </c>
      <c r="Z850" s="29">
        <v>38</v>
      </c>
      <c r="AA850" s="30">
        <v>29148.86</v>
      </c>
      <c r="AB850" s="29">
        <v>0.96261682242990698</v>
      </c>
      <c r="AC850" s="30">
        <v>21839.35</v>
      </c>
      <c r="AD850" s="30">
        <v>165.59616822429899</v>
      </c>
      <c r="AE850" s="27">
        <v>668.8</v>
      </c>
      <c r="AF850" s="29">
        <v>0.94168660287081296</v>
      </c>
      <c r="AG850" s="30">
        <v>7143.9138317756997</v>
      </c>
      <c r="AH850" s="31">
        <f t="shared" si="209"/>
        <v>0.91193181818181823</v>
      </c>
      <c r="AI850" s="31">
        <f t="shared" si="210"/>
        <v>3.7383177570093455E-2</v>
      </c>
      <c r="AJ850" s="31">
        <f t="shared" si="211"/>
        <v>9.3457943925233638E-3</v>
      </c>
      <c r="AK850" s="31">
        <f t="shared" si="212"/>
        <v>0.96261682242990654</v>
      </c>
      <c r="AL850" s="29">
        <f t="shared" si="213"/>
        <v>0.65</v>
      </c>
      <c r="AM850" s="29">
        <f t="shared" si="214"/>
        <v>629.79999999999995</v>
      </c>
      <c r="AN850" s="29">
        <f t="shared" si="215"/>
        <v>1.0193712289615753</v>
      </c>
      <c r="AO850" s="29">
        <f t="shared" si="216"/>
        <v>1.0526315789473684</v>
      </c>
      <c r="AP850" s="31">
        <f t="shared" si="217"/>
        <v>0.96840266751349657</v>
      </c>
      <c r="AQ850" s="31">
        <f t="shared" si="218"/>
        <v>0.96261682242990654</v>
      </c>
      <c r="AR850" s="31">
        <f t="shared" si="219"/>
        <v>0.87784090909090895</v>
      </c>
      <c r="AS850" s="29">
        <f t="shared" si="220"/>
        <v>34.017679127725856</v>
      </c>
      <c r="AT850" s="29">
        <f t="shared" si="221"/>
        <v>11.127591638279906</v>
      </c>
      <c r="AU850" s="27" t="str">
        <f t="shared" si="222"/>
        <v>Medium</v>
      </c>
      <c r="AV850" s="27" t="str">
        <f t="shared" si="223"/>
        <v>Normal</v>
      </c>
      <c r="AW850" s="27"/>
    </row>
    <row r="851" spans="1:49" x14ac:dyDescent="0.25">
      <c r="A851" s="27">
        <v>850</v>
      </c>
      <c r="B851" s="28">
        <v>46165</v>
      </c>
      <c r="C851" s="28" t="str">
        <f t="shared" si="208"/>
        <v>May</v>
      </c>
      <c r="D851" s="27" t="s">
        <v>67</v>
      </c>
      <c r="E851" s="27" t="s">
        <v>76</v>
      </c>
      <c r="F851" s="27" t="s">
        <v>113</v>
      </c>
      <c r="G851" s="27" t="s">
        <v>50</v>
      </c>
      <c r="H851" s="27" t="s">
        <v>51</v>
      </c>
      <c r="I851" s="27" t="s">
        <v>974</v>
      </c>
      <c r="J851" s="27" t="s">
        <v>117</v>
      </c>
      <c r="K851" s="27">
        <v>748</v>
      </c>
      <c r="L851" s="27">
        <v>802</v>
      </c>
      <c r="M851" s="27">
        <v>772</v>
      </c>
      <c r="N851" s="27">
        <v>30</v>
      </c>
      <c r="O851" s="27">
        <v>10</v>
      </c>
      <c r="P851" s="27">
        <v>0</v>
      </c>
      <c r="Q851" s="27" t="s">
        <v>60</v>
      </c>
      <c r="R851" s="27">
        <v>42</v>
      </c>
      <c r="S851" s="27">
        <v>41</v>
      </c>
      <c r="T851" s="29">
        <v>79.5</v>
      </c>
      <c r="U851" s="29">
        <v>2.17</v>
      </c>
      <c r="V851" s="29">
        <v>32.630000000000003</v>
      </c>
      <c r="W851" s="30">
        <v>15538.06</v>
      </c>
      <c r="X851" s="27">
        <v>10.11</v>
      </c>
      <c r="Y851" s="27" t="s">
        <v>71</v>
      </c>
      <c r="Z851" s="29">
        <v>25</v>
      </c>
      <c r="AA851" s="30">
        <v>24834.55</v>
      </c>
      <c r="AB851" s="29">
        <v>0.96259351620947597</v>
      </c>
      <c r="AC851" s="30">
        <v>20381.23</v>
      </c>
      <c r="AD851" s="30">
        <v>193.741396508728</v>
      </c>
      <c r="AE851" s="27">
        <v>523.6</v>
      </c>
      <c r="AF851" s="29">
        <v>1</v>
      </c>
      <c r="AG851" s="30">
        <v>4259.5786034912799</v>
      </c>
      <c r="AH851" s="31">
        <f t="shared" si="209"/>
        <v>1.072192513368984</v>
      </c>
      <c r="AI851" s="31">
        <f t="shared" si="210"/>
        <v>3.7406483790523692E-2</v>
      </c>
      <c r="AJ851" s="31">
        <f t="shared" si="211"/>
        <v>1.2468827930174564E-2</v>
      </c>
      <c r="AK851" s="31">
        <f t="shared" si="212"/>
        <v>0.96259351620947631</v>
      </c>
      <c r="AL851" s="29">
        <f t="shared" si="213"/>
        <v>0</v>
      </c>
      <c r="AM851" s="29">
        <f t="shared" si="214"/>
        <v>523.6</v>
      </c>
      <c r="AN851" s="29">
        <f t="shared" si="215"/>
        <v>1.5317035905271199</v>
      </c>
      <c r="AO851" s="29">
        <f t="shared" si="216"/>
        <v>1.4285714285714286</v>
      </c>
      <c r="AP851" s="31">
        <f t="shared" si="217"/>
        <v>1.0721925133689838</v>
      </c>
      <c r="AQ851" s="31">
        <f t="shared" si="218"/>
        <v>0.96259351620947631</v>
      </c>
      <c r="AR851" s="31">
        <f t="shared" si="219"/>
        <v>1.0320855614973261</v>
      </c>
      <c r="AS851" s="29">
        <f t="shared" si="220"/>
        <v>25.413004987531171</v>
      </c>
      <c r="AT851" s="29">
        <f t="shared" si="221"/>
        <v>5.3111952661986033</v>
      </c>
      <c r="AU851" s="27" t="str">
        <f t="shared" si="222"/>
        <v>High</v>
      </c>
      <c r="AV851" s="27" t="str">
        <f t="shared" si="223"/>
        <v>Normal</v>
      </c>
      <c r="AW851" s="27"/>
    </row>
    <row r="852" spans="1:49" x14ac:dyDescent="0.25">
      <c r="A852" s="27">
        <v>851</v>
      </c>
      <c r="B852" s="28">
        <v>46121</v>
      </c>
      <c r="C852" s="28" t="str">
        <f t="shared" si="208"/>
        <v>April</v>
      </c>
      <c r="D852" s="27" t="s">
        <v>67</v>
      </c>
      <c r="E852" s="27" t="s">
        <v>61</v>
      </c>
      <c r="F852" s="27" t="s">
        <v>62</v>
      </c>
      <c r="G852" s="27" t="s">
        <v>63</v>
      </c>
      <c r="H852" s="27" t="s">
        <v>124</v>
      </c>
      <c r="I852" s="27" t="s">
        <v>975</v>
      </c>
      <c r="J852" s="27" t="s">
        <v>186</v>
      </c>
      <c r="K852" s="27">
        <v>606</v>
      </c>
      <c r="L852" s="27">
        <v>632</v>
      </c>
      <c r="M852" s="27">
        <v>589</v>
      </c>
      <c r="N852" s="27">
        <v>43</v>
      </c>
      <c r="O852" s="27">
        <v>13</v>
      </c>
      <c r="P852" s="27">
        <v>40</v>
      </c>
      <c r="Q852" s="27" t="s">
        <v>94</v>
      </c>
      <c r="R852" s="27">
        <v>57</v>
      </c>
      <c r="S852" s="27">
        <v>56</v>
      </c>
      <c r="T852" s="29">
        <v>75.8</v>
      </c>
      <c r="U852" s="29">
        <v>2.78</v>
      </c>
      <c r="V852" s="29">
        <v>27.12</v>
      </c>
      <c r="W852" s="30">
        <v>16691.16</v>
      </c>
      <c r="X852" s="27">
        <v>8.39</v>
      </c>
      <c r="Y852" s="27" t="s">
        <v>71</v>
      </c>
      <c r="Z852" s="29">
        <v>47</v>
      </c>
      <c r="AA852" s="30">
        <v>26596.81</v>
      </c>
      <c r="AB852" s="29">
        <v>0.931962025316456</v>
      </c>
      <c r="AC852" s="30">
        <v>20710.740000000002</v>
      </c>
      <c r="AD852" s="30">
        <v>343.33082278480998</v>
      </c>
      <c r="AE852" s="27">
        <v>575.70000000000005</v>
      </c>
      <c r="AF852" s="29">
        <v>0.93051936772624599</v>
      </c>
      <c r="AG852" s="30">
        <v>5542.7391772151896</v>
      </c>
      <c r="AH852" s="31">
        <f t="shared" si="209"/>
        <v>1.0429042904290429</v>
      </c>
      <c r="AI852" s="31">
        <f t="shared" si="210"/>
        <v>6.8037974683544306E-2</v>
      </c>
      <c r="AJ852" s="31">
        <f t="shared" si="211"/>
        <v>2.0569620253164556E-2</v>
      </c>
      <c r="AK852" s="31">
        <f t="shared" si="212"/>
        <v>0.93196202531645567</v>
      </c>
      <c r="AL852" s="29">
        <f t="shared" si="213"/>
        <v>0.66666666666666663</v>
      </c>
      <c r="AM852" s="29">
        <f t="shared" si="214"/>
        <v>535.70000000000005</v>
      </c>
      <c r="AN852" s="29">
        <f t="shared" si="215"/>
        <v>1.1797647937278326</v>
      </c>
      <c r="AO852" s="29">
        <f t="shared" si="216"/>
        <v>1.0526315789473684</v>
      </c>
      <c r="AP852" s="31">
        <f t="shared" si="217"/>
        <v>1.1207765540414409</v>
      </c>
      <c r="AQ852" s="31">
        <f t="shared" si="218"/>
        <v>0.93196202531645567</v>
      </c>
      <c r="AR852" s="31">
        <f t="shared" si="219"/>
        <v>0.97194719471947144</v>
      </c>
      <c r="AS852" s="29">
        <f t="shared" si="220"/>
        <v>32.770158227848107</v>
      </c>
      <c r="AT852" s="29">
        <f t="shared" si="221"/>
        <v>8.7701569259734011</v>
      </c>
      <c r="AU852" s="27" t="str">
        <f t="shared" si="222"/>
        <v>High</v>
      </c>
      <c r="AV852" s="27" t="str">
        <f t="shared" si="223"/>
        <v>Normal</v>
      </c>
      <c r="AW852" s="27"/>
    </row>
    <row r="853" spans="1:49" x14ac:dyDescent="0.25">
      <c r="A853" s="27">
        <v>852</v>
      </c>
      <c r="B853" s="28">
        <v>46057</v>
      </c>
      <c r="C853" s="28" t="str">
        <f t="shared" si="208"/>
        <v>February</v>
      </c>
      <c r="D853" s="27" t="s">
        <v>47</v>
      </c>
      <c r="E853" s="27" t="s">
        <v>61</v>
      </c>
      <c r="F853" s="27" t="s">
        <v>88</v>
      </c>
      <c r="G853" s="27" t="s">
        <v>50</v>
      </c>
      <c r="H853" s="27" t="s">
        <v>57</v>
      </c>
      <c r="I853" s="27" t="s">
        <v>976</v>
      </c>
      <c r="J853" s="27" t="s">
        <v>191</v>
      </c>
      <c r="K853" s="27">
        <v>699</v>
      </c>
      <c r="L853" s="27">
        <v>811</v>
      </c>
      <c r="M853" s="27">
        <v>785</v>
      </c>
      <c r="N853" s="27">
        <v>26</v>
      </c>
      <c r="O853" s="27">
        <v>8</v>
      </c>
      <c r="P853" s="27">
        <v>0</v>
      </c>
      <c r="Q853" s="27" t="s">
        <v>60</v>
      </c>
      <c r="R853" s="27">
        <v>45</v>
      </c>
      <c r="S853" s="27">
        <v>46</v>
      </c>
      <c r="T853" s="29">
        <v>68.7</v>
      </c>
      <c r="U853" s="29">
        <v>2.4300000000000002</v>
      </c>
      <c r="V853" s="29">
        <v>26.81</v>
      </c>
      <c r="W853" s="30">
        <v>16989.88</v>
      </c>
      <c r="X853" s="27">
        <v>8.61</v>
      </c>
      <c r="Y853" s="27" t="s">
        <v>110</v>
      </c>
      <c r="Z853" s="29">
        <v>26</v>
      </c>
      <c r="AA853" s="30">
        <v>26845.919999999998</v>
      </c>
      <c r="AB853" s="29">
        <v>0.96794081381011099</v>
      </c>
      <c r="AC853" s="30">
        <v>21105.67</v>
      </c>
      <c r="AD853" s="30">
        <v>167.59437731196101</v>
      </c>
      <c r="AE853" s="27">
        <v>524.25</v>
      </c>
      <c r="AF853" s="29">
        <v>1</v>
      </c>
      <c r="AG853" s="30">
        <v>5572.6556226880402</v>
      </c>
      <c r="AH853" s="31">
        <f t="shared" si="209"/>
        <v>1.1602288984263234</v>
      </c>
      <c r="AI853" s="31">
        <f t="shared" si="210"/>
        <v>3.2059186189889025E-2</v>
      </c>
      <c r="AJ853" s="31">
        <f t="shared" si="211"/>
        <v>9.8643649815043158E-3</v>
      </c>
      <c r="AK853" s="31">
        <f t="shared" si="212"/>
        <v>0.96794081381011099</v>
      </c>
      <c r="AL853" s="29">
        <f t="shared" si="213"/>
        <v>0</v>
      </c>
      <c r="AM853" s="29">
        <f t="shared" si="214"/>
        <v>524.25</v>
      </c>
      <c r="AN853" s="29">
        <f t="shared" si="215"/>
        <v>1.5469718645684312</v>
      </c>
      <c r="AO853" s="29">
        <f t="shared" si="216"/>
        <v>1.3333333333333333</v>
      </c>
      <c r="AP853" s="31">
        <f t="shared" si="217"/>
        <v>1.1602288984263234</v>
      </c>
      <c r="AQ853" s="31">
        <f t="shared" si="218"/>
        <v>0.96794081381011099</v>
      </c>
      <c r="AR853" s="31">
        <f t="shared" si="219"/>
        <v>1.1230329041487841</v>
      </c>
      <c r="AS853" s="29">
        <f t="shared" si="220"/>
        <v>26.024254007398273</v>
      </c>
      <c r="AT853" s="29">
        <f t="shared" si="221"/>
        <v>6.8713386223033792</v>
      </c>
      <c r="AU853" s="27" t="str">
        <f t="shared" si="222"/>
        <v>Medium</v>
      </c>
      <c r="AV853" s="27" t="str">
        <f t="shared" si="223"/>
        <v>Normal</v>
      </c>
      <c r="AW853" s="27"/>
    </row>
    <row r="854" spans="1:49" x14ac:dyDescent="0.25">
      <c r="A854" s="27">
        <v>853</v>
      </c>
      <c r="B854" s="28">
        <v>46170</v>
      </c>
      <c r="C854" s="28" t="str">
        <f t="shared" si="208"/>
        <v>May</v>
      </c>
      <c r="D854" s="27" t="s">
        <v>67</v>
      </c>
      <c r="E854" s="27" t="s">
        <v>98</v>
      </c>
      <c r="F854" s="27" t="s">
        <v>105</v>
      </c>
      <c r="G854" s="27" t="s">
        <v>50</v>
      </c>
      <c r="H854" s="27" t="s">
        <v>57</v>
      </c>
      <c r="I854" s="27" t="s">
        <v>977</v>
      </c>
      <c r="J854" s="27" t="s">
        <v>107</v>
      </c>
      <c r="K854" s="27">
        <v>832</v>
      </c>
      <c r="L854" s="27">
        <v>791</v>
      </c>
      <c r="M854" s="27">
        <v>734</v>
      </c>
      <c r="N854" s="27">
        <v>57</v>
      </c>
      <c r="O854" s="27">
        <v>22</v>
      </c>
      <c r="P854" s="27">
        <v>23</v>
      </c>
      <c r="Q854" s="27" t="s">
        <v>97</v>
      </c>
      <c r="R854" s="27">
        <v>45</v>
      </c>
      <c r="S854" s="27">
        <v>45</v>
      </c>
      <c r="T854" s="29">
        <v>82.5</v>
      </c>
      <c r="U854" s="29">
        <v>2.72</v>
      </c>
      <c r="V854" s="29">
        <v>25.34</v>
      </c>
      <c r="W854" s="30">
        <v>16610.150000000001</v>
      </c>
      <c r="X854" s="27">
        <v>9.0299999999999994</v>
      </c>
      <c r="Y854" s="27" t="s">
        <v>110</v>
      </c>
      <c r="Z854" s="29">
        <v>23</v>
      </c>
      <c r="AA854" s="30">
        <v>26253.69</v>
      </c>
      <c r="AB854" s="29">
        <v>0.92793931731984802</v>
      </c>
      <c r="AC854" s="30">
        <v>20901.71</v>
      </c>
      <c r="AD854" s="30">
        <v>461.97635903919098</v>
      </c>
      <c r="AE854" s="27">
        <v>624</v>
      </c>
      <c r="AF854" s="29">
        <v>0.96314102564102599</v>
      </c>
      <c r="AG854" s="30">
        <v>4890.0036409608101</v>
      </c>
      <c r="AH854" s="31">
        <f t="shared" si="209"/>
        <v>0.95072115384615385</v>
      </c>
      <c r="AI854" s="31">
        <f t="shared" si="210"/>
        <v>7.2060682680151714E-2</v>
      </c>
      <c r="AJ854" s="31">
        <f t="shared" si="211"/>
        <v>2.7812895069532238E-2</v>
      </c>
      <c r="AK854" s="31">
        <f t="shared" si="212"/>
        <v>0.92793931731984824</v>
      </c>
      <c r="AL854" s="29">
        <f t="shared" si="213"/>
        <v>0.38333333333333336</v>
      </c>
      <c r="AM854" s="29">
        <f t="shared" si="214"/>
        <v>601</v>
      </c>
      <c r="AN854" s="29">
        <f t="shared" si="215"/>
        <v>1.3161397670549084</v>
      </c>
      <c r="AO854" s="29">
        <f t="shared" si="216"/>
        <v>1.3333333333333333</v>
      </c>
      <c r="AP854" s="31">
        <f t="shared" si="217"/>
        <v>0.98710482529118138</v>
      </c>
      <c r="AQ854" s="31">
        <f t="shared" si="218"/>
        <v>0.92793931731984824</v>
      </c>
      <c r="AR854" s="31">
        <f t="shared" si="219"/>
        <v>0.88221153846153877</v>
      </c>
      <c r="AS854" s="29">
        <f t="shared" si="220"/>
        <v>26.424412136536031</v>
      </c>
      <c r="AT854" s="29">
        <f t="shared" si="221"/>
        <v>6.1820526434397092</v>
      </c>
      <c r="AU854" s="27" t="str">
        <f t="shared" si="222"/>
        <v>Medium</v>
      </c>
      <c r="AV854" s="27" t="str">
        <f t="shared" si="223"/>
        <v>Warning</v>
      </c>
      <c r="AW854" s="27"/>
    </row>
    <row r="855" spans="1:49" x14ac:dyDescent="0.25">
      <c r="A855" s="27">
        <v>854</v>
      </c>
      <c r="B855" s="28">
        <v>46170</v>
      </c>
      <c r="C855" s="28" t="str">
        <f t="shared" si="208"/>
        <v>May</v>
      </c>
      <c r="D855" s="27" t="s">
        <v>47</v>
      </c>
      <c r="E855" s="27" t="s">
        <v>129</v>
      </c>
      <c r="F855" s="27" t="s">
        <v>130</v>
      </c>
      <c r="G855" s="27" t="s">
        <v>78</v>
      </c>
      <c r="H855" s="27" t="s">
        <v>124</v>
      </c>
      <c r="I855" s="27" t="s">
        <v>978</v>
      </c>
      <c r="J855" s="27" t="s">
        <v>286</v>
      </c>
      <c r="K855" s="27">
        <v>526</v>
      </c>
      <c r="L855" s="27">
        <v>355</v>
      </c>
      <c r="M855" s="27">
        <v>310</v>
      </c>
      <c r="N855" s="27">
        <v>45</v>
      </c>
      <c r="O855" s="27">
        <v>12</v>
      </c>
      <c r="P855" s="27">
        <v>25</v>
      </c>
      <c r="Q855" s="27" t="s">
        <v>82</v>
      </c>
      <c r="R855" s="27">
        <v>57</v>
      </c>
      <c r="S855" s="27">
        <v>61</v>
      </c>
      <c r="T855" s="29">
        <v>77.2</v>
      </c>
      <c r="U855" s="29">
        <v>3</v>
      </c>
      <c r="V855" s="29">
        <v>15.09</v>
      </c>
      <c r="W855" s="30">
        <v>9631.4500000000007</v>
      </c>
      <c r="X855" s="27">
        <v>5.51</v>
      </c>
      <c r="Y855" s="27" t="s">
        <v>110</v>
      </c>
      <c r="Z855" s="29">
        <v>27</v>
      </c>
      <c r="AA855" s="30">
        <v>14041.88</v>
      </c>
      <c r="AB855" s="29">
        <v>0.87323943661971803</v>
      </c>
      <c r="AC855" s="30">
        <v>12246.76</v>
      </c>
      <c r="AD855" s="30">
        <v>325.57014084507</v>
      </c>
      <c r="AE855" s="27">
        <v>499.7</v>
      </c>
      <c r="AF855" s="29">
        <v>0.94996998198919402</v>
      </c>
      <c r="AG855" s="30">
        <v>1469.5498591549299</v>
      </c>
      <c r="AH855" s="31">
        <f t="shared" si="209"/>
        <v>0.67490494296577952</v>
      </c>
      <c r="AI855" s="31">
        <f t="shared" si="210"/>
        <v>0.12676056338028169</v>
      </c>
      <c r="AJ855" s="31">
        <f t="shared" si="211"/>
        <v>3.3802816901408447E-2</v>
      </c>
      <c r="AK855" s="31">
        <f t="shared" si="212"/>
        <v>0.87323943661971826</v>
      </c>
      <c r="AL855" s="29">
        <f t="shared" si="213"/>
        <v>0.41666666666666669</v>
      </c>
      <c r="AM855" s="29">
        <f t="shared" si="214"/>
        <v>474.7</v>
      </c>
      <c r="AN855" s="29">
        <f t="shared" si="215"/>
        <v>0.74784074152096058</v>
      </c>
      <c r="AO855" s="29">
        <f t="shared" si="216"/>
        <v>1.0526315789473684</v>
      </c>
      <c r="AP855" s="31">
        <f t="shared" si="217"/>
        <v>0.71044870444491259</v>
      </c>
      <c r="AQ855" s="31">
        <f t="shared" si="218"/>
        <v>0.87323943661971826</v>
      </c>
      <c r="AR855" s="31">
        <f t="shared" si="219"/>
        <v>0.58935361216730064</v>
      </c>
      <c r="AS855" s="29">
        <f t="shared" si="220"/>
        <v>34.497915492957745</v>
      </c>
      <c r="AT855" s="29">
        <f t="shared" si="221"/>
        <v>4.1395770680420556</v>
      </c>
      <c r="AU855" s="27" t="str">
        <f t="shared" si="222"/>
        <v>High</v>
      </c>
      <c r="AV855" s="27" t="str">
        <f t="shared" si="223"/>
        <v>Critical</v>
      </c>
      <c r="AW855" s="27"/>
    </row>
    <row r="856" spans="1:49" x14ac:dyDescent="0.25">
      <c r="A856" s="27">
        <v>855</v>
      </c>
      <c r="B856" s="28">
        <v>46193</v>
      </c>
      <c r="C856" s="28" t="str">
        <f t="shared" si="208"/>
        <v>June</v>
      </c>
      <c r="D856" s="27" t="s">
        <v>67</v>
      </c>
      <c r="E856" s="27" t="s">
        <v>98</v>
      </c>
      <c r="F856" s="27" t="s">
        <v>99</v>
      </c>
      <c r="G856" s="27" t="s">
        <v>63</v>
      </c>
      <c r="H856" s="27" t="s">
        <v>51</v>
      </c>
      <c r="I856" s="27" t="s">
        <v>979</v>
      </c>
      <c r="J856" s="27" t="s">
        <v>70</v>
      </c>
      <c r="K856" s="27">
        <v>728</v>
      </c>
      <c r="L856" s="27">
        <v>753</v>
      </c>
      <c r="M856" s="27">
        <v>721</v>
      </c>
      <c r="N856" s="27">
        <v>32</v>
      </c>
      <c r="O856" s="27">
        <v>13</v>
      </c>
      <c r="P856" s="27">
        <v>12</v>
      </c>
      <c r="Q856" s="27" t="s">
        <v>94</v>
      </c>
      <c r="R856" s="27">
        <v>42</v>
      </c>
      <c r="S856" s="27">
        <v>42</v>
      </c>
      <c r="T856" s="29">
        <v>71.8</v>
      </c>
      <c r="U856" s="29">
        <v>2.31</v>
      </c>
      <c r="V856" s="29">
        <v>24.76</v>
      </c>
      <c r="W856" s="30">
        <v>13657.95</v>
      </c>
      <c r="X856" s="27">
        <v>9.99</v>
      </c>
      <c r="Y856" s="27" t="s">
        <v>71</v>
      </c>
      <c r="Z856" s="29">
        <v>31</v>
      </c>
      <c r="AA856" s="30">
        <v>22533.73</v>
      </c>
      <c r="AB856" s="29">
        <v>0.957503320053121</v>
      </c>
      <c r="AC856" s="30">
        <v>18376.29</v>
      </c>
      <c r="AD856" s="30">
        <v>235.79462151394401</v>
      </c>
      <c r="AE856" s="27">
        <v>509.6</v>
      </c>
      <c r="AF856" s="29">
        <v>0.97645211930926201</v>
      </c>
      <c r="AG856" s="30">
        <v>3921.64537848605</v>
      </c>
      <c r="AH856" s="31">
        <f t="shared" si="209"/>
        <v>1.0343406593406594</v>
      </c>
      <c r="AI856" s="31">
        <f t="shared" si="210"/>
        <v>4.2496679946879147E-2</v>
      </c>
      <c r="AJ856" s="31">
        <f t="shared" si="211"/>
        <v>1.7264276228419653E-2</v>
      </c>
      <c r="AK856" s="31">
        <f t="shared" si="212"/>
        <v>0.95750332005312089</v>
      </c>
      <c r="AL856" s="29">
        <f t="shared" si="213"/>
        <v>0.2</v>
      </c>
      <c r="AM856" s="29">
        <f t="shared" si="214"/>
        <v>497.6</v>
      </c>
      <c r="AN856" s="29">
        <f t="shared" si="215"/>
        <v>1.5132636655948553</v>
      </c>
      <c r="AO856" s="29">
        <f t="shared" si="216"/>
        <v>1.4285714285714286</v>
      </c>
      <c r="AP856" s="31">
        <f t="shared" si="217"/>
        <v>1.0592845659163987</v>
      </c>
      <c r="AQ856" s="31">
        <f t="shared" si="218"/>
        <v>0.95750332005312089</v>
      </c>
      <c r="AR856" s="31">
        <f t="shared" si="219"/>
        <v>0.99038461538461531</v>
      </c>
      <c r="AS856" s="29">
        <f t="shared" si="220"/>
        <v>24.404103585657371</v>
      </c>
      <c r="AT856" s="29">
        <f t="shared" si="221"/>
        <v>5.2080283910837322</v>
      </c>
      <c r="AU856" s="27" t="str">
        <f t="shared" si="222"/>
        <v>High</v>
      </c>
      <c r="AV856" s="27" t="str">
        <f t="shared" si="223"/>
        <v>Normal</v>
      </c>
      <c r="AW856" s="27"/>
    </row>
    <row r="857" spans="1:49" x14ac:dyDescent="0.25">
      <c r="A857" s="27">
        <v>856</v>
      </c>
      <c r="B857" s="28">
        <v>46162</v>
      </c>
      <c r="C857" s="28" t="str">
        <f t="shared" si="208"/>
        <v>May</v>
      </c>
      <c r="D857" s="27" t="s">
        <v>47</v>
      </c>
      <c r="E857" s="27" t="s">
        <v>61</v>
      </c>
      <c r="F857" s="27" t="s">
        <v>62</v>
      </c>
      <c r="G857" s="27" t="s">
        <v>50</v>
      </c>
      <c r="H857" s="27" t="s">
        <v>51</v>
      </c>
      <c r="I857" s="27" t="s">
        <v>980</v>
      </c>
      <c r="J857" s="27" t="s">
        <v>286</v>
      </c>
      <c r="K857" s="27">
        <v>910</v>
      </c>
      <c r="L857" s="27">
        <v>997</v>
      </c>
      <c r="M857" s="27">
        <v>948</v>
      </c>
      <c r="N857" s="27">
        <v>49</v>
      </c>
      <c r="O857" s="27">
        <v>18</v>
      </c>
      <c r="P857" s="27">
        <v>13</v>
      </c>
      <c r="Q857" s="27" t="s">
        <v>75</v>
      </c>
      <c r="R857" s="27">
        <v>42</v>
      </c>
      <c r="S857" s="27">
        <v>41</v>
      </c>
      <c r="T857" s="29">
        <v>76.3</v>
      </c>
      <c r="U857" s="29">
        <v>1.54</v>
      </c>
      <c r="V857" s="29">
        <v>34.479999999999997</v>
      </c>
      <c r="W857" s="30">
        <v>18186.32</v>
      </c>
      <c r="X857" s="27">
        <v>8.44</v>
      </c>
      <c r="Y857" s="27" t="s">
        <v>66</v>
      </c>
      <c r="Z857" s="29">
        <v>9</v>
      </c>
      <c r="AA857" s="30">
        <v>30217.93</v>
      </c>
      <c r="AB857" s="29">
        <v>0.95085255767301902</v>
      </c>
      <c r="AC857" s="30">
        <v>22294.639999999999</v>
      </c>
      <c r="AD857" s="30">
        <v>328.33877632898702</v>
      </c>
      <c r="AE857" s="27">
        <v>637</v>
      </c>
      <c r="AF857" s="29">
        <v>0.97959183673469397</v>
      </c>
      <c r="AG857" s="30">
        <v>7594.9512236710098</v>
      </c>
      <c r="AH857" s="31">
        <f t="shared" si="209"/>
        <v>1.0956043956043957</v>
      </c>
      <c r="AI857" s="31">
        <f t="shared" si="210"/>
        <v>4.9147442326980942E-2</v>
      </c>
      <c r="AJ857" s="31">
        <f t="shared" si="211"/>
        <v>1.8054162487462388E-2</v>
      </c>
      <c r="AK857" s="31">
        <f t="shared" si="212"/>
        <v>0.95085255767301902</v>
      </c>
      <c r="AL857" s="29">
        <f t="shared" si="213"/>
        <v>0.21666666666666667</v>
      </c>
      <c r="AM857" s="29">
        <f t="shared" si="214"/>
        <v>624</v>
      </c>
      <c r="AN857" s="29">
        <f t="shared" si="215"/>
        <v>1.5977564102564104</v>
      </c>
      <c r="AO857" s="29">
        <f t="shared" si="216"/>
        <v>1.4285714285714286</v>
      </c>
      <c r="AP857" s="31">
        <f t="shared" si="217"/>
        <v>1.1184294871794873</v>
      </c>
      <c r="AQ857" s="31">
        <f t="shared" si="218"/>
        <v>0.95085255767301902</v>
      </c>
      <c r="AR857" s="31">
        <f t="shared" si="219"/>
        <v>1.0417582417582421</v>
      </c>
      <c r="AS857" s="29">
        <f t="shared" si="220"/>
        <v>22.36172517552658</v>
      </c>
      <c r="AT857" s="29">
        <f t="shared" si="221"/>
        <v>7.6178046375837614</v>
      </c>
      <c r="AU857" s="27" t="str">
        <f t="shared" si="222"/>
        <v>Low</v>
      </c>
      <c r="AV857" s="27" t="str">
        <f t="shared" si="223"/>
        <v>Normal</v>
      </c>
      <c r="AW857" s="27"/>
    </row>
    <row r="858" spans="1:49" x14ac:dyDescent="0.25">
      <c r="A858" s="27">
        <v>857</v>
      </c>
      <c r="B858" s="28">
        <v>46117</v>
      </c>
      <c r="C858" s="28" t="str">
        <f t="shared" si="208"/>
        <v>April</v>
      </c>
      <c r="D858" s="27" t="s">
        <v>67</v>
      </c>
      <c r="E858" s="27" t="s">
        <v>61</v>
      </c>
      <c r="F858" s="27" t="s">
        <v>62</v>
      </c>
      <c r="G858" s="27" t="s">
        <v>63</v>
      </c>
      <c r="H858" s="27" t="s">
        <v>51</v>
      </c>
      <c r="I858" s="27" t="s">
        <v>981</v>
      </c>
      <c r="J858" s="27" t="s">
        <v>93</v>
      </c>
      <c r="K858" s="27">
        <v>946</v>
      </c>
      <c r="L858" s="27">
        <v>861</v>
      </c>
      <c r="M858" s="27">
        <v>820</v>
      </c>
      <c r="N858" s="27">
        <v>41</v>
      </c>
      <c r="O858" s="27">
        <v>10</v>
      </c>
      <c r="P858" s="27">
        <v>22</v>
      </c>
      <c r="Q858" s="27" t="s">
        <v>94</v>
      </c>
      <c r="R858" s="27">
        <v>42</v>
      </c>
      <c r="S858" s="27">
        <v>41</v>
      </c>
      <c r="T858" s="29">
        <v>74.599999999999994</v>
      </c>
      <c r="U858" s="29">
        <v>1.73</v>
      </c>
      <c r="V858" s="29">
        <v>32.369999999999997</v>
      </c>
      <c r="W858" s="30">
        <v>15159.54</v>
      </c>
      <c r="X858" s="27">
        <v>7.51</v>
      </c>
      <c r="Y858" s="27" t="s">
        <v>71</v>
      </c>
      <c r="Z858" s="29">
        <v>19</v>
      </c>
      <c r="AA858" s="30">
        <v>26287.35</v>
      </c>
      <c r="AB858" s="29">
        <v>0.952380952380952</v>
      </c>
      <c r="AC858" s="30">
        <v>18830.37</v>
      </c>
      <c r="AD858" s="30">
        <v>176.068989547038</v>
      </c>
      <c r="AE858" s="27">
        <v>662.2</v>
      </c>
      <c r="AF858" s="29">
        <v>0.96677740863787398</v>
      </c>
      <c r="AG858" s="30">
        <v>7280.91101045296</v>
      </c>
      <c r="AH858" s="31">
        <f t="shared" si="209"/>
        <v>0.91014799154334036</v>
      </c>
      <c r="AI858" s="31">
        <f t="shared" si="210"/>
        <v>4.7619047619047616E-2</v>
      </c>
      <c r="AJ858" s="31">
        <f t="shared" si="211"/>
        <v>1.1614401858304297E-2</v>
      </c>
      <c r="AK858" s="31">
        <f t="shared" si="212"/>
        <v>0.95238095238095233</v>
      </c>
      <c r="AL858" s="29">
        <f t="shared" si="213"/>
        <v>0.36666666666666664</v>
      </c>
      <c r="AM858" s="29">
        <f t="shared" si="214"/>
        <v>640.20000000000005</v>
      </c>
      <c r="AN858" s="29">
        <f t="shared" si="215"/>
        <v>1.3448922211808809</v>
      </c>
      <c r="AO858" s="29">
        <f t="shared" si="216"/>
        <v>1.4285714285714286</v>
      </c>
      <c r="AP858" s="31">
        <f t="shared" si="217"/>
        <v>0.94142455482661658</v>
      </c>
      <c r="AQ858" s="31">
        <f t="shared" si="218"/>
        <v>0.95238095238095233</v>
      </c>
      <c r="AR858" s="31">
        <f t="shared" si="219"/>
        <v>0.86680761099365755</v>
      </c>
      <c r="AS858" s="29">
        <f t="shared" si="220"/>
        <v>21.870348432055749</v>
      </c>
      <c r="AT858" s="29">
        <f t="shared" si="221"/>
        <v>8.4563426369953074</v>
      </c>
      <c r="AU858" s="27" t="str">
        <f t="shared" si="222"/>
        <v>High</v>
      </c>
      <c r="AV858" s="27" t="str">
        <f t="shared" si="223"/>
        <v>Normal</v>
      </c>
      <c r="AW858" s="27"/>
    </row>
    <row r="859" spans="1:49" x14ac:dyDescent="0.25">
      <c r="A859" s="27">
        <v>858</v>
      </c>
      <c r="B859" s="28">
        <v>46070</v>
      </c>
      <c r="C859" s="28" t="str">
        <f t="shared" si="208"/>
        <v>February</v>
      </c>
      <c r="D859" s="27" t="s">
        <v>67</v>
      </c>
      <c r="E859" s="27" t="s">
        <v>129</v>
      </c>
      <c r="F859" s="27" t="s">
        <v>167</v>
      </c>
      <c r="G859" s="27" t="s">
        <v>78</v>
      </c>
      <c r="H859" s="27" t="s">
        <v>124</v>
      </c>
      <c r="I859" s="27" t="s">
        <v>982</v>
      </c>
      <c r="J859" s="27" t="s">
        <v>70</v>
      </c>
      <c r="K859" s="27">
        <v>700</v>
      </c>
      <c r="L859" s="27">
        <v>573</v>
      </c>
      <c r="M859" s="27">
        <v>520</v>
      </c>
      <c r="N859" s="27">
        <v>53</v>
      </c>
      <c r="O859" s="27">
        <v>22</v>
      </c>
      <c r="P859" s="27">
        <v>26</v>
      </c>
      <c r="Q859" s="27" t="s">
        <v>94</v>
      </c>
      <c r="R859" s="27">
        <v>57</v>
      </c>
      <c r="S859" s="27">
        <v>59</v>
      </c>
      <c r="T859" s="29">
        <v>72.599999999999994</v>
      </c>
      <c r="U859" s="29">
        <v>1.68</v>
      </c>
      <c r="V859" s="29">
        <v>23.8</v>
      </c>
      <c r="W859" s="30">
        <v>15788.12</v>
      </c>
      <c r="X859" s="27">
        <v>6.7</v>
      </c>
      <c r="Y859" s="27" t="s">
        <v>55</v>
      </c>
      <c r="Z859" s="29">
        <v>11</v>
      </c>
      <c r="AA859" s="30">
        <v>23800.33</v>
      </c>
      <c r="AB859" s="29">
        <v>0.90750436300174497</v>
      </c>
      <c r="AC859" s="30">
        <v>19017.32</v>
      </c>
      <c r="AD859" s="30">
        <v>606.17563699825496</v>
      </c>
      <c r="AE859" s="27">
        <v>665</v>
      </c>
      <c r="AF859" s="29">
        <v>0.96090225563909804</v>
      </c>
      <c r="AG859" s="30">
        <v>4176.8343630017398</v>
      </c>
      <c r="AH859" s="31">
        <f t="shared" si="209"/>
        <v>0.81857142857142862</v>
      </c>
      <c r="AI859" s="31">
        <f t="shared" si="210"/>
        <v>9.2495636998254804E-2</v>
      </c>
      <c r="AJ859" s="31">
        <f t="shared" si="211"/>
        <v>3.8394415357766144E-2</v>
      </c>
      <c r="AK859" s="31">
        <f t="shared" si="212"/>
        <v>0.9075043630017452</v>
      </c>
      <c r="AL859" s="29">
        <f t="shared" si="213"/>
        <v>0.43333333333333335</v>
      </c>
      <c r="AM859" s="29">
        <f t="shared" si="214"/>
        <v>639</v>
      </c>
      <c r="AN859" s="29">
        <f t="shared" si="215"/>
        <v>0.89671361502347413</v>
      </c>
      <c r="AO859" s="29">
        <f t="shared" si="216"/>
        <v>1.0526315789473684</v>
      </c>
      <c r="AP859" s="31">
        <f t="shared" si="217"/>
        <v>0.85187793427230052</v>
      </c>
      <c r="AQ859" s="31">
        <f t="shared" si="218"/>
        <v>0.9075043630017452</v>
      </c>
      <c r="AR859" s="31">
        <f t="shared" si="219"/>
        <v>0.7428571428571431</v>
      </c>
      <c r="AS859" s="29">
        <f t="shared" si="220"/>
        <v>33.189040139616054</v>
      </c>
      <c r="AT859" s="29">
        <f t="shared" si="221"/>
        <v>7.2894142460763351</v>
      </c>
      <c r="AU859" s="27" t="str">
        <f t="shared" si="222"/>
        <v>High</v>
      </c>
      <c r="AV859" s="27" t="str">
        <f t="shared" si="223"/>
        <v>Critical</v>
      </c>
      <c r="AW859" s="27"/>
    </row>
    <row r="860" spans="1:49" x14ac:dyDescent="0.25">
      <c r="A860" s="27">
        <v>859</v>
      </c>
      <c r="B860" s="28">
        <v>46087</v>
      </c>
      <c r="C860" s="28" t="str">
        <f t="shared" si="208"/>
        <v>March</v>
      </c>
      <c r="D860" s="27" t="s">
        <v>47</v>
      </c>
      <c r="E860" s="27" t="s">
        <v>48</v>
      </c>
      <c r="F860" s="27" t="s">
        <v>56</v>
      </c>
      <c r="G860" s="27" t="s">
        <v>63</v>
      </c>
      <c r="H860" s="27" t="s">
        <v>79</v>
      </c>
      <c r="I860" s="27" t="s">
        <v>983</v>
      </c>
      <c r="J860" s="27" t="s">
        <v>161</v>
      </c>
      <c r="K860" s="27">
        <v>693</v>
      </c>
      <c r="L860" s="27">
        <v>629</v>
      </c>
      <c r="M860" s="27">
        <v>599</v>
      </c>
      <c r="N860" s="27">
        <v>30</v>
      </c>
      <c r="O860" s="27">
        <v>10</v>
      </c>
      <c r="P860" s="27">
        <v>44</v>
      </c>
      <c r="Q860" s="27" t="s">
        <v>54</v>
      </c>
      <c r="R860" s="27">
        <v>49</v>
      </c>
      <c r="S860" s="27">
        <v>49</v>
      </c>
      <c r="T860" s="29">
        <v>60</v>
      </c>
      <c r="U860" s="29">
        <v>1.69</v>
      </c>
      <c r="V860" s="29">
        <v>21.86</v>
      </c>
      <c r="W860" s="30">
        <v>14206.7</v>
      </c>
      <c r="X860" s="27">
        <v>9.0399999999999991</v>
      </c>
      <c r="Y860" s="27" t="s">
        <v>71</v>
      </c>
      <c r="Z860" s="29">
        <v>44</v>
      </c>
      <c r="AA860" s="30">
        <v>22634.22</v>
      </c>
      <c r="AB860" s="29">
        <v>0.95230524642289405</v>
      </c>
      <c r="AC860" s="30">
        <v>18471.439999999999</v>
      </c>
      <c r="AD860" s="30">
        <v>225.86168521462599</v>
      </c>
      <c r="AE860" s="27">
        <v>565.95000000000005</v>
      </c>
      <c r="AF860" s="29">
        <v>0.92225461613216697</v>
      </c>
      <c r="AG860" s="30">
        <v>3936.9183147853701</v>
      </c>
      <c r="AH860" s="31">
        <f t="shared" si="209"/>
        <v>0.90764790764790759</v>
      </c>
      <c r="AI860" s="31">
        <f t="shared" si="210"/>
        <v>4.7694753577106522E-2</v>
      </c>
      <c r="AJ860" s="31">
        <f t="shared" si="211"/>
        <v>1.5898251192368838E-2</v>
      </c>
      <c r="AK860" s="31">
        <f t="shared" si="212"/>
        <v>0.95230524642289349</v>
      </c>
      <c r="AL860" s="29">
        <f t="shared" si="213"/>
        <v>0.73333333333333328</v>
      </c>
      <c r="AM860" s="29">
        <f t="shared" si="214"/>
        <v>521.95000000000005</v>
      </c>
      <c r="AN860" s="29">
        <f t="shared" si="215"/>
        <v>1.2050962735894242</v>
      </c>
      <c r="AO860" s="29">
        <f t="shared" si="216"/>
        <v>1.2244897959183674</v>
      </c>
      <c r="AP860" s="31">
        <f t="shared" si="217"/>
        <v>0.98416195676469642</v>
      </c>
      <c r="AQ860" s="31">
        <f t="shared" si="218"/>
        <v>0.95230524642289349</v>
      </c>
      <c r="AR860" s="31">
        <f t="shared" si="219"/>
        <v>0.8643578643578641</v>
      </c>
      <c r="AS860" s="29">
        <f t="shared" si="220"/>
        <v>29.366359300476944</v>
      </c>
      <c r="AT860" s="29">
        <f t="shared" si="221"/>
        <v>6.2590116292295228</v>
      </c>
      <c r="AU860" s="27" t="str">
        <f t="shared" si="222"/>
        <v>High</v>
      </c>
      <c r="AV860" s="27" t="str">
        <f t="shared" si="223"/>
        <v>Normal</v>
      </c>
      <c r="AW860" s="27"/>
    </row>
    <row r="861" spans="1:49" x14ac:dyDescent="0.25">
      <c r="A861" s="27">
        <v>860</v>
      </c>
      <c r="B861" s="28">
        <v>46194</v>
      </c>
      <c r="C861" s="28" t="str">
        <f t="shared" si="208"/>
        <v>June</v>
      </c>
      <c r="D861" s="27" t="s">
        <v>47</v>
      </c>
      <c r="E861" s="27" t="s">
        <v>129</v>
      </c>
      <c r="F861" s="27" t="s">
        <v>130</v>
      </c>
      <c r="G861" s="27" t="s">
        <v>78</v>
      </c>
      <c r="H861" s="27" t="s">
        <v>124</v>
      </c>
      <c r="I861" s="27" t="s">
        <v>984</v>
      </c>
      <c r="J861" s="27" t="s">
        <v>191</v>
      </c>
      <c r="K861" s="27">
        <v>671</v>
      </c>
      <c r="L861" s="27">
        <v>546</v>
      </c>
      <c r="M861" s="27">
        <v>483</v>
      </c>
      <c r="N861" s="27">
        <v>63</v>
      </c>
      <c r="O861" s="27">
        <v>14</v>
      </c>
      <c r="P861" s="27">
        <v>48</v>
      </c>
      <c r="Q861" s="27" t="s">
        <v>54</v>
      </c>
      <c r="R861" s="27">
        <v>57</v>
      </c>
      <c r="S861" s="27">
        <v>59</v>
      </c>
      <c r="T861" s="29">
        <v>81.5</v>
      </c>
      <c r="U861" s="29">
        <v>2.56</v>
      </c>
      <c r="V861" s="29">
        <v>20.100000000000001</v>
      </c>
      <c r="W861" s="30">
        <v>15744.38</v>
      </c>
      <c r="X861" s="27">
        <v>7.46</v>
      </c>
      <c r="Y861" s="27" t="s">
        <v>110</v>
      </c>
      <c r="Z861" s="29">
        <v>41</v>
      </c>
      <c r="AA861" s="30">
        <v>22819.95</v>
      </c>
      <c r="AB861" s="29">
        <v>0.88461538461538503</v>
      </c>
      <c r="AC861" s="30">
        <v>19282.28</v>
      </c>
      <c r="AD861" s="30">
        <v>403.702051282051</v>
      </c>
      <c r="AE861" s="27">
        <v>637.45000000000005</v>
      </c>
      <c r="AF861" s="29">
        <v>0.92469997646874302</v>
      </c>
      <c r="AG861" s="30">
        <v>3133.9679487179501</v>
      </c>
      <c r="AH861" s="31">
        <f t="shared" si="209"/>
        <v>0.8137108792846498</v>
      </c>
      <c r="AI861" s="31">
        <f t="shared" si="210"/>
        <v>0.11538461538461539</v>
      </c>
      <c r="AJ861" s="31">
        <f t="shared" si="211"/>
        <v>2.564102564102564E-2</v>
      </c>
      <c r="AK861" s="31">
        <f t="shared" si="212"/>
        <v>0.88461538461538458</v>
      </c>
      <c r="AL861" s="29">
        <f t="shared" si="213"/>
        <v>0.8</v>
      </c>
      <c r="AM861" s="29">
        <f t="shared" si="214"/>
        <v>589.45000000000005</v>
      </c>
      <c r="AN861" s="29">
        <f t="shared" si="215"/>
        <v>0.92628721689710736</v>
      </c>
      <c r="AO861" s="29">
        <f t="shared" si="216"/>
        <v>1.0526315789473684</v>
      </c>
      <c r="AP861" s="31">
        <f t="shared" si="217"/>
        <v>0.87997285605225206</v>
      </c>
      <c r="AQ861" s="31">
        <f t="shared" si="218"/>
        <v>0.88461538461538458</v>
      </c>
      <c r="AR861" s="31">
        <f t="shared" si="219"/>
        <v>0.71982116244411343</v>
      </c>
      <c r="AS861" s="29">
        <f t="shared" si="220"/>
        <v>35.315531135531131</v>
      </c>
      <c r="AT861" s="29">
        <f t="shared" si="221"/>
        <v>5.7398680379449631</v>
      </c>
      <c r="AU861" s="27" t="str">
        <f t="shared" si="222"/>
        <v>High</v>
      </c>
      <c r="AV861" s="27" t="str">
        <f t="shared" si="223"/>
        <v>Critical</v>
      </c>
      <c r="AW861" s="27"/>
    </row>
    <row r="862" spans="1:49" x14ac:dyDescent="0.25">
      <c r="A862" s="27">
        <v>861</v>
      </c>
      <c r="B862" s="28">
        <v>46025</v>
      </c>
      <c r="C862" s="28" t="str">
        <f t="shared" si="208"/>
        <v>January</v>
      </c>
      <c r="D862" s="27" t="s">
        <v>67</v>
      </c>
      <c r="E862" s="27" t="s">
        <v>98</v>
      </c>
      <c r="F862" s="27" t="s">
        <v>126</v>
      </c>
      <c r="G862" s="27" t="s">
        <v>63</v>
      </c>
      <c r="H862" s="27" t="s">
        <v>79</v>
      </c>
      <c r="I862" s="27" t="s">
        <v>985</v>
      </c>
      <c r="J862" s="27" t="s">
        <v>218</v>
      </c>
      <c r="K862" s="27">
        <v>649</v>
      </c>
      <c r="L862" s="27">
        <v>611</v>
      </c>
      <c r="M862" s="27">
        <v>562</v>
      </c>
      <c r="N862" s="27">
        <v>49</v>
      </c>
      <c r="O862" s="27">
        <v>15</v>
      </c>
      <c r="P862" s="27">
        <v>23</v>
      </c>
      <c r="Q862" s="27" t="s">
        <v>75</v>
      </c>
      <c r="R862" s="27">
        <v>49</v>
      </c>
      <c r="S862" s="27">
        <v>49</v>
      </c>
      <c r="T862" s="29">
        <v>72.8</v>
      </c>
      <c r="U862" s="29">
        <v>2.08</v>
      </c>
      <c r="V862" s="29">
        <v>19.25</v>
      </c>
      <c r="W862" s="30">
        <v>12974.31</v>
      </c>
      <c r="X862" s="27">
        <v>8.0299999999999994</v>
      </c>
      <c r="Y862" s="27" t="s">
        <v>66</v>
      </c>
      <c r="Z862" s="29">
        <v>1</v>
      </c>
      <c r="AA862" s="30">
        <v>21298.9</v>
      </c>
      <c r="AB862" s="29">
        <v>0.91980360065466504</v>
      </c>
      <c r="AC862" s="30">
        <v>16761.060000000001</v>
      </c>
      <c r="AD862" s="30">
        <v>318.51824877250402</v>
      </c>
      <c r="AE862" s="27">
        <v>530.01666666666699</v>
      </c>
      <c r="AF862" s="29">
        <v>0.95660513820320103</v>
      </c>
      <c r="AG862" s="30">
        <v>4219.3217512274996</v>
      </c>
      <c r="AH862" s="31">
        <f t="shared" si="209"/>
        <v>0.94144838212634818</v>
      </c>
      <c r="AI862" s="31">
        <f t="shared" si="210"/>
        <v>8.0196399345335512E-2</v>
      </c>
      <c r="AJ862" s="31">
        <f t="shared" si="211"/>
        <v>2.4549918166939442E-2</v>
      </c>
      <c r="AK862" s="31">
        <f t="shared" si="212"/>
        <v>0.91980360065466449</v>
      </c>
      <c r="AL862" s="29">
        <f t="shared" si="213"/>
        <v>0.38333333333333336</v>
      </c>
      <c r="AM862" s="29">
        <f t="shared" si="214"/>
        <v>507.01666666666699</v>
      </c>
      <c r="AN862" s="29">
        <f t="shared" si="215"/>
        <v>1.2050885901186672</v>
      </c>
      <c r="AO862" s="29">
        <f t="shared" si="216"/>
        <v>1.2244897959183674</v>
      </c>
      <c r="AP862" s="31">
        <f t="shared" si="217"/>
        <v>0.98415568193024483</v>
      </c>
      <c r="AQ862" s="31">
        <f t="shared" si="218"/>
        <v>0.91980360065466449</v>
      </c>
      <c r="AR862" s="31">
        <f t="shared" si="219"/>
        <v>0.86594761171032286</v>
      </c>
      <c r="AS862" s="29">
        <f t="shared" si="220"/>
        <v>27.432176759410805</v>
      </c>
      <c r="AT862" s="29">
        <f t="shared" si="221"/>
        <v>6.9056002475081826</v>
      </c>
      <c r="AU862" s="27" t="str">
        <f t="shared" si="222"/>
        <v>Medium</v>
      </c>
      <c r="AV862" s="27" t="str">
        <f t="shared" si="223"/>
        <v>Warning</v>
      </c>
      <c r="AW862" s="27"/>
    </row>
    <row r="863" spans="1:49" x14ac:dyDescent="0.25">
      <c r="A863" s="27">
        <v>862</v>
      </c>
      <c r="B863" s="28">
        <v>46075</v>
      </c>
      <c r="C863" s="28" t="str">
        <f t="shared" si="208"/>
        <v>February</v>
      </c>
      <c r="D863" s="27" t="s">
        <v>47</v>
      </c>
      <c r="E863" s="27" t="s">
        <v>48</v>
      </c>
      <c r="F863" s="27" t="s">
        <v>49</v>
      </c>
      <c r="G863" s="27" t="s">
        <v>50</v>
      </c>
      <c r="H863" s="27" t="s">
        <v>68</v>
      </c>
      <c r="I863" s="27" t="s">
        <v>986</v>
      </c>
      <c r="J863" s="27" t="s">
        <v>101</v>
      </c>
      <c r="K863" s="27">
        <v>573</v>
      </c>
      <c r="L863" s="27">
        <v>483</v>
      </c>
      <c r="M863" s="27">
        <v>453</v>
      </c>
      <c r="N863" s="27">
        <v>30</v>
      </c>
      <c r="O863" s="27">
        <v>6</v>
      </c>
      <c r="P863" s="27">
        <v>23</v>
      </c>
      <c r="Q863" s="27" t="s">
        <v>82</v>
      </c>
      <c r="R863" s="27">
        <v>64</v>
      </c>
      <c r="S863" s="27">
        <v>67</v>
      </c>
      <c r="T863" s="29">
        <v>65.2</v>
      </c>
      <c r="U863" s="29">
        <v>2.09</v>
      </c>
      <c r="V863" s="29">
        <v>16.079999999999998</v>
      </c>
      <c r="W863" s="30">
        <v>14357.82</v>
      </c>
      <c r="X863" s="27">
        <v>8.5299999999999994</v>
      </c>
      <c r="Y863" s="27" t="s">
        <v>66</v>
      </c>
      <c r="Z863" s="29">
        <v>21</v>
      </c>
      <c r="AA863" s="30">
        <v>23257.71</v>
      </c>
      <c r="AB863" s="29">
        <v>0.93788819875776397</v>
      </c>
      <c r="AC863" s="30">
        <v>18341.04</v>
      </c>
      <c r="AD863" s="30">
        <v>178.35801242235999</v>
      </c>
      <c r="AE863" s="27">
        <v>611.20000000000005</v>
      </c>
      <c r="AF863" s="29">
        <v>0.96236910994764402</v>
      </c>
      <c r="AG863" s="30">
        <v>4738.3119875776401</v>
      </c>
      <c r="AH863" s="31">
        <f t="shared" si="209"/>
        <v>0.84293193717277481</v>
      </c>
      <c r="AI863" s="31">
        <f t="shared" si="210"/>
        <v>6.2111801242236024E-2</v>
      </c>
      <c r="AJ863" s="31">
        <f t="shared" si="211"/>
        <v>1.2422360248447204E-2</v>
      </c>
      <c r="AK863" s="31">
        <f t="shared" si="212"/>
        <v>0.93788819875776397</v>
      </c>
      <c r="AL863" s="29">
        <f t="shared" si="213"/>
        <v>0.38333333333333336</v>
      </c>
      <c r="AM863" s="29">
        <f t="shared" si="214"/>
        <v>588.20000000000005</v>
      </c>
      <c r="AN863" s="29">
        <f t="shared" si="215"/>
        <v>0.82114926895613727</v>
      </c>
      <c r="AO863" s="29">
        <f t="shared" si="216"/>
        <v>0.9375</v>
      </c>
      <c r="AP863" s="31">
        <f t="shared" si="217"/>
        <v>0.87589255355321305</v>
      </c>
      <c r="AQ863" s="31">
        <f t="shared" si="218"/>
        <v>0.93788819875776397</v>
      </c>
      <c r="AR863" s="31">
        <f t="shared" si="219"/>
        <v>0.79057591623036638</v>
      </c>
      <c r="AS863" s="29">
        <f t="shared" si="220"/>
        <v>37.973167701863353</v>
      </c>
      <c r="AT863" s="29">
        <f t="shared" si="221"/>
        <v>9.8101697465375572</v>
      </c>
      <c r="AU863" s="27" t="str">
        <f t="shared" si="222"/>
        <v>High</v>
      </c>
      <c r="AV863" s="27" t="str">
        <f t="shared" si="223"/>
        <v>Warning</v>
      </c>
      <c r="AW863" s="27"/>
    </row>
    <row r="864" spans="1:49" x14ac:dyDescent="0.25">
      <c r="A864" s="27">
        <v>863</v>
      </c>
      <c r="B864" s="28">
        <v>46164</v>
      </c>
      <c r="C864" s="28" t="str">
        <f t="shared" si="208"/>
        <v>May</v>
      </c>
      <c r="D864" s="27" t="s">
        <v>67</v>
      </c>
      <c r="E864" s="27" t="s">
        <v>76</v>
      </c>
      <c r="F864" s="27" t="s">
        <v>113</v>
      </c>
      <c r="G864" s="27" t="s">
        <v>50</v>
      </c>
      <c r="H864" s="27" t="s">
        <v>79</v>
      </c>
      <c r="I864" s="27" t="s">
        <v>987</v>
      </c>
      <c r="J864" s="27" t="s">
        <v>53</v>
      </c>
      <c r="K864" s="27">
        <v>837</v>
      </c>
      <c r="L864" s="27">
        <v>913</v>
      </c>
      <c r="M864" s="27">
        <v>858</v>
      </c>
      <c r="N864" s="27">
        <v>55</v>
      </c>
      <c r="O864" s="27">
        <v>10</v>
      </c>
      <c r="P864" s="27">
        <v>28</v>
      </c>
      <c r="Q864" s="27" t="s">
        <v>82</v>
      </c>
      <c r="R864" s="27">
        <v>49</v>
      </c>
      <c r="S864" s="27">
        <v>48</v>
      </c>
      <c r="T864" s="29">
        <v>67.099999999999994</v>
      </c>
      <c r="U864" s="29">
        <v>3.35</v>
      </c>
      <c r="V864" s="29">
        <v>39.369999999999997</v>
      </c>
      <c r="W864" s="30">
        <v>19325.27</v>
      </c>
      <c r="X864" s="27">
        <v>9.2799999999999994</v>
      </c>
      <c r="Y864" s="27" t="s">
        <v>66</v>
      </c>
      <c r="Z864" s="29">
        <v>39</v>
      </c>
      <c r="AA864" s="30">
        <v>31777.360000000001</v>
      </c>
      <c r="AB864" s="29">
        <v>0.93975903614457801</v>
      </c>
      <c r="AC864" s="30">
        <v>23855.599999999999</v>
      </c>
      <c r="AD864" s="30">
        <v>211.66779846659401</v>
      </c>
      <c r="AE864" s="27">
        <v>683.55</v>
      </c>
      <c r="AF864" s="29">
        <v>0.95903737839221703</v>
      </c>
      <c r="AG864" s="30">
        <v>7710.0922015333999</v>
      </c>
      <c r="AH864" s="31">
        <f t="shared" si="209"/>
        <v>1.090800477897252</v>
      </c>
      <c r="AI864" s="31">
        <f t="shared" si="210"/>
        <v>6.0240963855421686E-2</v>
      </c>
      <c r="AJ864" s="31">
        <f t="shared" si="211"/>
        <v>1.0952902519167579E-2</v>
      </c>
      <c r="AK864" s="31">
        <f t="shared" si="212"/>
        <v>0.93975903614457834</v>
      </c>
      <c r="AL864" s="29">
        <f t="shared" si="213"/>
        <v>0.46666666666666667</v>
      </c>
      <c r="AM864" s="29">
        <f t="shared" si="214"/>
        <v>655.55</v>
      </c>
      <c r="AN864" s="29">
        <f t="shared" si="215"/>
        <v>1.3927236671497216</v>
      </c>
      <c r="AO864" s="29">
        <f t="shared" si="216"/>
        <v>1.2244897959183674</v>
      </c>
      <c r="AP864" s="31">
        <f t="shared" si="217"/>
        <v>1.1373909948389394</v>
      </c>
      <c r="AQ864" s="31">
        <f t="shared" si="218"/>
        <v>0.93975903614457834</v>
      </c>
      <c r="AR864" s="31">
        <f t="shared" si="219"/>
        <v>1.0250896057347669</v>
      </c>
      <c r="AS864" s="29">
        <f t="shared" si="220"/>
        <v>26.12880613362541</v>
      </c>
      <c r="AT864" s="29">
        <f t="shared" si="221"/>
        <v>8.4447888297189486</v>
      </c>
      <c r="AU864" s="27" t="str">
        <f t="shared" si="222"/>
        <v>Medium</v>
      </c>
      <c r="AV864" s="27" t="str">
        <f t="shared" si="223"/>
        <v>Warning</v>
      </c>
      <c r="AW864" s="27"/>
    </row>
    <row r="865" spans="1:49" x14ac:dyDescent="0.25">
      <c r="A865" s="27">
        <v>864</v>
      </c>
      <c r="B865" s="28">
        <v>46131</v>
      </c>
      <c r="C865" s="28" t="str">
        <f t="shared" si="208"/>
        <v>April</v>
      </c>
      <c r="D865" s="27" t="s">
        <v>47</v>
      </c>
      <c r="E865" s="27" t="s">
        <v>48</v>
      </c>
      <c r="F865" s="27" t="s">
        <v>56</v>
      </c>
      <c r="G865" s="27" t="s">
        <v>63</v>
      </c>
      <c r="H865" s="27" t="s">
        <v>68</v>
      </c>
      <c r="I865" s="27" t="s">
        <v>988</v>
      </c>
      <c r="J865" s="27" t="s">
        <v>164</v>
      </c>
      <c r="K865" s="27">
        <v>685</v>
      </c>
      <c r="L865" s="27">
        <v>611</v>
      </c>
      <c r="M865" s="27">
        <v>578</v>
      </c>
      <c r="N865" s="27">
        <v>33</v>
      </c>
      <c r="O865" s="27">
        <v>6</v>
      </c>
      <c r="P865" s="27">
        <v>37</v>
      </c>
      <c r="Q865" s="27" t="s">
        <v>54</v>
      </c>
      <c r="R865" s="27">
        <v>64</v>
      </c>
      <c r="S865" s="27">
        <v>69</v>
      </c>
      <c r="T865" s="29">
        <v>76.400000000000006</v>
      </c>
      <c r="U865" s="29">
        <v>2.17</v>
      </c>
      <c r="V865" s="29">
        <v>23.35</v>
      </c>
      <c r="W865" s="30">
        <v>18743.87</v>
      </c>
      <c r="X865" s="27">
        <v>7.77</v>
      </c>
      <c r="Y865" s="27" t="s">
        <v>55</v>
      </c>
      <c r="Z865" s="29">
        <v>22</v>
      </c>
      <c r="AA865" s="30">
        <v>29658.65</v>
      </c>
      <c r="AB865" s="29">
        <v>0.94599018003273305</v>
      </c>
      <c r="AC865" s="30">
        <v>22450.52</v>
      </c>
      <c r="AD865" s="30">
        <v>184.0641898527</v>
      </c>
      <c r="AE865" s="27">
        <v>730.66666666666697</v>
      </c>
      <c r="AF865" s="29">
        <v>0.949361313868613</v>
      </c>
      <c r="AG865" s="30">
        <v>7024.0658101473</v>
      </c>
      <c r="AH865" s="31">
        <f t="shared" si="209"/>
        <v>0.89197080291970798</v>
      </c>
      <c r="AI865" s="31">
        <f t="shared" si="210"/>
        <v>5.4009819967266774E-2</v>
      </c>
      <c r="AJ865" s="31">
        <f t="shared" si="211"/>
        <v>9.8199672667757774E-3</v>
      </c>
      <c r="AK865" s="31">
        <f t="shared" si="212"/>
        <v>0.94599018003273327</v>
      </c>
      <c r="AL865" s="29">
        <f t="shared" si="213"/>
        <v>0.6166666666666667</v>
      </c>
      <c r="AM865" s="29">
        <f t="shared" si="214"/>
        <v>693.66666666666697</v>
      </c>
      <c r="AN865" s="29">
        <f t="shared" si="215"/>
        <v>0.8808265257087935</v>
      </c>
      <c r="AO865" s="29">
        <f t="shared" si="216"/>
        <v>0.9375</v>
      </c>
      <c r="AP865" s="31">
        <f t="shared" si="217"/>
        <v>0.93954829408937968</v>
      </c>
      <c r="AQ865" s="31">
        <f t="shared" si="218"/>
        <v>0.94599018003273327</v>
      </c>
      <c r="AR865" s="31">
        <f t="shared" si="219"/>
        <v>0.84379562043795575</v>
      </c>
      <c r="AS865" s="29">
        <f t="shared" si="220"/>
        <v>36.743895253682489</v>
      </c>
      <c r="AT865" s="29">
        <f t="shared" si="221"/>
        <v>11.496016055887562</v>
      </c>
      <c r="AU865" s="27" t="str">
        <f t="shared" si="222"/>
        <v>Medium</v>
      </c>
      <c r="AV865" s="27" t="str">
        <f t="shared" si="223"/>
        <v>Warning</v>
      </c>
      <c r="AW865" s="27"/>
    </row>
    <row r="866" spans="1:49" x14ac:dyDescent="0.25">
      <c r="A866" s="27">
        <v>865</v>
      </c>
      <c r="B866" s="28">
        <v>46170</v>
      </c>
      <c r="C866" s="28" t="str">
        <f t="shared" si="208"/>
        <v>May</v>
      </c>
      <c r="D866" s="27" t="s">
        <v>47</v>
      </c>
      <c r="E866" s="27" t="s">
        <v>48</v>
      </c>
      <c r="F866" s="27" t="s">
        <v>56</v>
      </c>
      <c r="G866" s="27" t="s">
        <v>50</v>
      </c>
      <c r="H866" s="27" t="s">
        <v>79</v>
      </c>
      <c r="I866" s="27" t="s">
        <v>989</v>
      </c>
      <c r="J866" s="27" t="s">
        <v>218</v>
      </c>
      <c r="K866" s="27">
        <v>841</v>
      </c>
      <c r="L866" s="27">
        <v>911</v>
      </c>
      <c r="M866" s="27">
        <v>855</v>
      </c>
      <c r="N866" s="27">
        <v>56</v>
      </c>
      <c r="O866" s="27">
        <v>18</v>
      </c>
      <c r="P866" s="27">
        <v>20</v>
      </c>
      <c r="Q866" s="27" t="s">
        <v>54</v>
      </c>
      <c r="R866" s="27">
        <v>49</v>
      </c>
      <c r="S866" s="27">
        <v>51</v>
      </c>
      <c r="T866" s="29">
        <v>63.6</v>
      </c>
      <c r="U866" s="29">
        <v>2</v>
      </c>
      <c r="V866" s="29">
        <v>34.25</v>
      </c>
      <c r="W866" s="30">
        <v>19621.240000000002</v>
      </c>
      <c r="X866" s="27">
        <v>10.3</v>
      </c>
      <c r="Y866" s="27" t="s">
        <v>55</v>
      </c>
      <c r="Z866" s="29">
        <v>25</v>
      </c>
      <c r="AA866" s="30">
        <v>32694.12</v>
      </c>
      <c r="AB866" s="29">
        <v>0.93852908891328202</v>
      </c>
      <c r="AC866" s="30">
        <v>24564.49</v>
      </c>
      <c r="AD866" s="30">
        <v>387.68641053787098</v>
      </c>
      <c r="AE866" s="27">
        <v>686.81666666666695</v>
      </c>
      <c r="AF866" s="29">
        <v>0.97088014754058605</v>
      </c>
      <c r="AG866" s="30">
        <v>7741.9435894621301</v>
      </c>
      <c r="AH866" s="31">
        <f t="shared" si="209"/>
        <v>1.0832342449464922</v>
      </c>
      <c r="AI866" s="31">
        <f t="shared" si="210"/>
        <v>6.1470911086717893E-2</v>
      </c>
      <c r="AJ866" s="31">
        <f t="shared" si="211"/>
        <v>1.9758507135016465E-2</v>
      </c>
      <c r="AK866" s="31">
        <f t="shared" si="212"/>
        <v>0.93852908891328213</v>
      </c>
      <c r="AL866" s="29">
        <f t="shared" si="213"/>
        <v>0.33333333333333331</v>
      </c>
      <c r="AM866" s="29">
        <f t="shared" si="214"/>
        <v>666.81666666666695</v>
      </c>
      <c r="AN866" s="29">
        <f t="shared" si="215"/>
        <v>1.3661926066635002</v>
      </c>
      <c r="AO866" s="29">
        <f t="shared" si="216"/>
        <v>1.2244897959183674</v>
      </c>
      <c r="AP866" s="31">
        <f t="shared" si="217"/>
        <v>1.1157239621085251</v>
      </c>
      <c r="AQ866" s="31">
        <f t="shared" si="218"/>
        <v>0.93852908891328213</v>
      </c>
      <c r="AR866" s="31">
        <f t="shared" si="219"/>
        <v>1.0166468489892981</v>
      </c>
      <c r="AS866" s="29">
        <f t="shared" si="220"/>
        <v>26.96431394072448</v>
      </c>
      <c r="AT866" s="29">
        <f t="shared" si="221"/>
        <v>8.4982915361823608</v>
      </c>
      <c r="AU866" s="27" t="str">
        <f t="shared" si="222"/>
        <v>Low</v>
      </c>
      <c r="AV866" s="27" t="str">
        <f t="shared" si="223"/>
        <v>Normal</v>
      </c>
      <c r="AW866" s="27"/>
    </row>
    <row r="867" spans="1:49" x14ac:dyDescent="0.25">
      <c r="A867" s="27">
        <v>866</v>
      </c>
      <c r="B867" s="28">
        <v>46055</v>
      </c>
      <c r="C867" s="28" t="str">
        <f t="shared" si="208"/>
        <v>February</v>
      </c>
      <c r="D867" s="27" t="s">
        <v>67</v>
      </c>
      <c r="E867" s="27" t="s">
        <v>98</v>
      </c>
      <c r="F867" s="27" t="s">
        <v>99</v>
      </c>
      <c r="G867" s="27" t="s">
        <v>50</v>
      </c>
      <c r="H867" s="27" t="s">
        <v>68</v>
      </c>
      <c r="I867" s="27" t="s">
        <v>990</v>
      </c>
      <c r="J867" s="27" t="s">
        <v>65</v>
      </c>
      <c r="K867" s="27">
        <v>679</v>
      </c>
      <c r="L867" s="27">
        <v>640</v>
      </c>
      <c r="M867" s="27">
        <v>612</v>
      </c>
      <c r="N867" s="27">
        <v>28</v>
      </c>
      <c r="O867" s="27">
        <v>11</v>
      </c>
      <c r="P867" s="27">
        <v>25</v>
      </c>
      <c r="Q867" s="27" t="s">
        <v>102</v>
      </c>
      <c r="R867" s="27">
        <v>64</v>
      </c>
      <c r="S867" s="27">
        <v>64</v>
      </c>
      <c r="T867" s="29">
        <v>73.3</v>
      </c>
      <c r="U867" s="29">
        <v>1.23</v>
      </c>
      <c r="V867" s="29">
        <v>25.23</v>
      </c>
      <c r="W867" s="30">
        <v>20187.32</v>
      </c>
      <c r="X867" s="27">
        <v>9.35</v>
      </c>
      <c r="Y867" s="27" t="s">
        <v>66</v>
      </c>
      <c r="Z867" s="29">
        <v>27</v>
      </c>
      <c r="AA867" s="30">
        <v>31186.639999999999</v>
      </c>
      <c r="AB867" s="29">
        <v>0.95625000000000004</v>
      </c>
      <c r="AC867" s="30">
        <v>24621.89</v>
      </c>
      <c r="AD867" s="30">
        <v>346.96956249999999</v>
      </c>
      <c r="AE867" s="27">
        <v>724.26666666666699</v>
      </c>
      <c r="AF867" s="29">
        <v>0.96548232695139902</v>
      </c>
      <c r="AG867" s="30">
        <v>6217.7804374999996</v>
      </c>
      <c r="AH867" s="31">
        <f t="shared" si="209"/>
        <v>0.94256259204712811</v>
      </c>
      <c r="AI867" s="31">
        <f t="shared" si="210"/>
        <v>4.3749999999999997E-2</v>
      </c>
      <c r="AJ867" s="31">
        <f t="shared" si="211"/>
        <v>1.7187500000000001E-2</v>
      </c>
      <c r="AK867" s="31">
        <f t="shared" si="212"/>
        <v>0.95625000000000004</v>
      </c>
      <c r="AL867" s="29">
        <f t="shared" si="213"/>
        <v>0.41666666666666669</v>
      </c>
      <c r="AM867" s="29">
        <f t="shared" si="214"/>
        <v>699.26666666666699</v>
      </c>
      <c r="AN867" s="29">
        <f t="shared" si="215"/>
        <v>0.91524454190103877</v>
      </c>
      <c r="AO867" s="29">
        <f t="shared" si="216"/>
        <v>0.9375</v>
      </c>
      <c r="AP867" s="31">
        <f t="shared" si="217"/>
        <v>0.9762608446944413</v>
      </c>
      <c r="AQ867" s="31">
        <f t="shared" si="218"/>
        <v>0.95625000000000004</v>
      </c>
      <c r="AR867" s="31">
        <f t="shared" si="219"/>
        <v>0.90132547864506574</v>
      </c>
      <c r="AS867" s="29">
        <f t="shared" si="220"/>
        <v>38.471703124999998</v>
      </c>
      <c r="AT867" s="29">
        <f t="shared" si="221"/>
        <v>9.715281933593749</v>
      </c>
      <c r="AU867" s="27" t="str">
        <f t="shared" si="222"/>
        <v>Low</v>
      </c>
      <c r="AV867" s="27" t="str">
        <f t="shared" si="223"/>
        <v>Normal</v>
      </c>
      <c r="AW867" s="27"/>
    </row>
    <row r="868" spans="1:49" x14ac:dyDescent="0.25">
      <c r="A868" s="27">
        <v>867</v>
      </c>
      <c r="B868" s="28">
        <v>46187</v>
      </c>
      <c r="C868" s="28" t="str">
        <f t="shared" si="208"/>
        <v>June</v>
      </c>
      <c r="D868" s="27" t="s">
        <v>67</v>
      </c>
      <c r="E868" s="27" t="s">
        <v>129</v>
      </c>
      <c r="F868" s="27" t="s">
        <v>167</v>
      </c>
      <c r="G868" s="27" t="s">
        <v>63</v>
      </c>
      <c r="H868" s="27" t="s">
        <v>79</v>
      </c>
      <c r="I868" s="27" t="s">
        <v>991</v>
      </c>
      <c r="J868" s="27" t="s">
        <v>155</v>
      </c>
      <c r="K868" s="27">
        <v>631</v>
      </c>
      <c r="L868" s="27">
        <v>516</v>
      </c>
      <c r="M868" s="27">
        <v>463</v>
      </c>
      <c r="N868" s="27">
        <v>53</v>
      </c>
      <c r="O868" s="27">
        <v>18</v>
      </c>
      <c r="P868" s="27">
        <v>36</v>
      </c>
      <c r="Q868" s="27" t="s">
        <v>104</v>
      </c>
      <c r="R868" s="27">
        <v>49</v>
      </c>
      <c r="S868" s="27">
        <v>53</v>
      </c>
      <c r="T868" s="29">
        <v>81.2</v>
      </c>
      <c r="U868" s="29">
        <v>2.2599999999999998</v>
      </c>
      <c r="V868" s="29">
        <v>22.71</v>
      </c>
      <c r="W868" s="30">
        <v>11818.44</v>
      </c>
      <c r="X868" s="27">
        <v>6.35</v>
      </c>
      <c r="Y868" s="27" t="s">
        <v>55</v>
      </c>
      <c r="Z868" s="29">
        <v>47</v>
      </c>
      <c r="AA868" s="30">
        <v>17262.71</v>
      </c>
      <c r="AB868" s="29">
        <v>0.89728682170542595</v>
      </c>
      <c r="AC868" s="30">
        <v>14880.33</v>
      </c>
      <c r="AD868" s="30">
        <v>412.27116279069799</v>
      </c>
      <c r="AE868" s="27">
        <v>515.31666666666695</v>
      </c>
      <c r="AF868" s="29">
        <v>0.93014004333904698</v>
      </c>
      <c r="AG868" s="30">
        <v>1970.1088372093</v>
      </c>
      <c r="AH868" s="31">
        <f t="shared" si="209"/>
        <v>0.81774960380348649</v>
      </c>
      <c r="AI868" s="31">
        <f t="shared" si="210"/>
        <v>0.10271317829457365</v>
      </c>
      <c r="AJ868" s="31">
        <f t="shared" si="211"/>
        <v>3.4883720930232558E-2</v>
      </c>
      <c r="AK868" s="31">
        <f t="shared" si="212"/>
        <v>0.8972868217054264</v>
      </c>
      <c r="AL868" s="29">
        <f t="shared" si="213"/>
        <v>0.6</v>
      </c>
      <c r="AM868" s="29">
        <f t="shared" si="214"/>
        <v>479.31666666666695</v>
      </c>
      <c r="AN868" s="29">
        <f t="shared" si="215"/>
        <v>1.0765325637191829</v>
      </c>
      <c r="AO868" s="29">
        <f t="shared" si="216"/>
        <v>1.2244897959183674</v>
      </c>
      <c r="AP868" s="31">
        <f t="shared" si="217"/>
        <v>0.87916826037066609</v>
      </c>
      <c r="AQ868" s="31">
        <f t="shared" si="218"/>
        <v>0.8972868217054264</v>
      </c>
      <c r="AR868" s="31">
        <f t="shared" si="219"/>
        <v>0.73375594294770152</v>
      </c>
      <c r="AS868" s="29">
        <f t="shared" si="220"/>
        <v>28.837848837209304</v>
      </c>
      <c r="AT868" s="29">
        <f t="shared" si="221"/>
        <v>3.818040382188566</v>
      </c>
      <c r="AU868" s="27" t="str">
        <f t="shared" si="222"/>
        <v>High</v>
      </c>
      <c r="AV868" s="27" t="str">
        <f t="shared" si="223"/>
        <v>Critical</v>
      </c>
      <c r="AW868" s="27"/>
    </row>
    <row r="869" spans="1:49" x14ac:dyDescent="0.25">
      <c r="A869" s="27">
        <v>868</v>
      </c>
      <c r="B869" s="28">
        <v>46042</v>
      </c>
      <c r="C869" s="28" t="str">
        <f t="shared" si="208"/>
        <v>January</v>
      </c>
      <c r="D869" s="27" t="s">
        <v>67</v>
      </c>
      <c r="E869" s="27" t="s">
        <v>129</v>
      </c>
      <c r="F869" s="27" t="s">
        <v>167</v>
      </c>
      <c r="G869" s="27" t="s">
        <v>63</v>
      </c>
      <c r="H869" s="27" t="s">
        <v>79</v>
      </c>
      <c r="I869" s="27" t="s">
        <v>992</v>
      </c>
      <c r="J869" s="27" t="s">
        <v>128</v>
      </c>
      <c r="K869" s="27">
        <v>637</v>
      </c>
      <c r="L869" s="27">
        <v>582</v>
      </c>
      <c r="M869" s="27">
        <v>532</v>
      </c>
      <c r="N869" s="27">
        <v>50</v>
      </c>
      <c r="O869" s="27">
        <v>10</v>
      </c>
      <c r="P869" s="27">
        <v>31</v>
      </c>
      <c r="Q869" s="27" t="s">
        <v>97</v>
      </c>
      <c r="R869" s="27">
        <v>49</v>
      </c>
      <c r="S869" s="27">
        <v>49</v>
      </c>
      <c r="T869" s="29">
        <v>77.8</v>
      </c>
      <c r="U869" s="29">
        <v>3.13</v>
      </c>
      <c r="V869" s="29">
        <v>19.010000000000002</v>
      </c>
      <c r="W869" s="30">
        <v>13037.51</v>
      </c>
      <c r="X869" s="27">
        <v>7.58</v>
      </c>
      <c r="Y869" s="27" t="s">
        <v>71</v>
      </c>
      <c r="Z869" s="29">
        <v>33</v>
      </c>
      <c r="AA869" s="30">
        <v>19681.55</v>
      </c>
      <c r="AB869" s="29">
        <v>0.91408934707903799</v>
      </c>
      <c r="AC869" s="30">
        <v>16619.599999999999</v>
      </c>
      <c r="AD869" s="30">
        <v>224.01219931271501</v>
      </c>
      <c r="AE869" s="27">
        <v>520.21666666666704</v>
      </c>
      <c r="AF869" s="29">
        <v>0.94040944478262301</v>
      </c>
      <c r="AG869" s="30">
        <v>2837.9378006872798</v>
      </c>
      <c r="AH869" s="31">
        <f t="shared" si="209"/>
        <v>0.91365777080062793</v>
      </c>
      <c r="AI869" s="31">
        <f t="shared" si="210"/>
        <v>8.5910652920962199E-2</v>
      </c>
      <c r="AJ869" s="31">
        <f t="shared" si="211"/>
        <v>1.7182130584192441E-2</v>
      </c>
      <c r="AK869" s="31">
        <f t="shared" si="212"/>
        <v>0.91408934707903777</v>
      </c>
      <c r="AL869" s="29">
        <f t="shared" si="213"/>
        <v>0.51666666666666672</v>
      </c>
      <c r="AM869" s="29">
        <f t="shared" si="214"/>
        <v>489.21666666666704</v>
      </c>
      <c r="AN869" s="29">
        <f t="shared" si="215"/>
        <v>1.1896569345552406</v>
      </c>
      <c r="AO869" s="29">
        <f t="shared" si="216"/>
        <v>1.2244897959183674</v>
      </c>
      <c r="AP869" s="31">
        <f t="shared" si="217"/>
        <v>0.97155316322011309</v>
      </c>
      <c r="AQ869" s="31">
        <f t="shared" si="218"/>
        <v>0.91408934707903777</v>
      </c>
      <c r="AR869" s="31">
        <f t="shared" si="219"/>
        <v>0.83516483516483497</v>
      </c>
      <c r="AS869" s="29">
        <f t="shared" si="220"/>
        <v>28.556013745704465</v>
      </c>
      <c r="AT869" s="29">
        <f t="shared" si="221"/>
        <v>4.8761817881224738</v>
      </c>
      <c r="AU869" s="27" t="str">
        <f t="shared" si="222"/>
        <v>High</v>
      </c>
      <c r="AV869" s="27" t="str">
        <f t="shared" si="223"/>
        <v>Warning</v>
      </c>
      <c r="AW869" s="27"/>
    </row>
    <row r="870" spans="1:49" x14ac:dyDescent="0.25">
      <c r="A870" s="27">
        <v>869</v>
      </c>
      <c r="B870" s="28">
        <v>46181</v>
      </c>
      <c r="C870" s="28" t="str">
        <f t="shared" si="208"/>
        <v>June</v>
      </c>
      <c r="D870" s="27" t="s">
        <v>47</v>
      </c>
      <c r="E870" s="27" t="s">
        <v>129</v>
      </c>
      <c r="F870" s="27" t="s">
        <v>151</v>
      </c>
      <c r="G870" s="27" t="s">
        <v>50</v>
      </c>
      <c r="H870" s="27" t="s">
        <v>57</v>
      </c>
      <c r="I870" s="27" t="s">
        <v>993</v>
      </c>
      <c r="J870" s="27" t="s">
        <v>86</v>
      </c>
      <c r="K870" s="27">
        <v>795</v>
      </c>
      <c r="L870" s="27">
        <v>812</v>
      </c>
      <c r="M870" s="27">
        <v>762</v>
      </c>
      <c r="N870" s="27">
        <v>50</v>
      </c>
      <c r="O870" s="27">
        <v>13</v>
      </c>
      <c r="P870" s="27">
        <v>7</v>
      </c>
      <c r="Q870" s="27" t="s">
        <v>82</v>
      </c>
      <c r="R870" s="27">
        <v>45</v>
      </c>
      <c r="S870" s="27">
        <v>45</v>
      </c>
      <c r="T870" s="29">
        <v>65.2</v>
      </c>
      <c r="U870" s="29">
        <v>2.08</v>
      </c>
      <c r="V870" s="29">
        <v>25.84</v>
      </c>
      <c r="W870" s="30">
        <v>16829.96</v>
      </c>
      <c r="X870" s="27">
        <v>7.8</v>
      </c>
      <c r="Y870" s="27" t="s">
        <v>66</v>
      </c>
      <c r="Z870" s="29">
        <v>4</v>
      </c>
      <c r="AA870" s="30">
        <v>25912.55</v>
      </c>
      <c r="AB870" s="29">
        <v>0.93842364532019695</v>
      </c>
      <c r="AC870" s="30">
        <v>20572.52</v>
      </c>
      <c r="AD870" s="30">
        <v>269.44517241379299</v>
      </c>
      <c r="AE870" s="27">
        <v>596.25</v>
      </c>
      <c r="AF870" s="29">
        <v>0.98825995807127898</v>
      </c>
      <c r="AG870" s="30">
        <v>5070.5848275862099</v>
      </c>
      <c r="AH870" s="31">
        <f t="shared" si="209"/>
        <v>1.0213836477987421</v>
      </c>
      <c r="AI870" s="31">
        <f t="shared" si="210"/>
        <v>6.1576354679802957E-2</v>
      </c>
      <c r="AJ870" s="31">
        <f t="shared" si="211"/>
        <v>1.600985221674877E-2</v>
      </c>
      <c r="AK870" s="31">
        <f t="shared" si="212"/>
        <v>0.93842364532019706</v>
      </c>
      <c r="AL870" s="29">
        <f t="shared" si="213"/>
        <v>0.11666666666666667</v>
      </c>
      <c r="AM870" s="29">
        <f t="shared" si="214"/>
        <v>589.25</v>
      </c>
      <c r="AN870" s="29">
        <f t="shared" si="215"/>
        <v>1.378022910479423</v>
      </c>
      <c r="AO870" s="29">
        <f t="shared" si="216"/>
        <v>1.3333333333333333</v>
      </c>
      <c r="AP870" s="31">
        <f t="shared" si="217"/>
        <v>1.0335171828595673</v>
      </c>
      <c r="AQ870" s="31">
        <f t="shared" si="218"/>
        <v>0.93842364532019706</v>
      </c>
      <c r="AR870" s="31">
        <f t="shared" si="219"/>
        <v>0.95849056603773608</v>
      </c>
      <c r="AS870" s="29">
        <f t="shared" si="220"/>
        <v>25.335615763546798</v>
      </c>
      <c r="AT870" s="29">
        <f t="shared" si="221"/>
        <v>6.2445625955495192</v>
      </c>
      <c r="AU870" s="27" t="str">
        <f t="shared" si="222"/>
        <v>Low</v>
      </c>
      <c r="AV870" s="27" t="str">
        <f t="shared" si="223"/>
        <v>Normal</v>
      </c>
      <c r="AW870" s="27"/>
    </row>
    <row r="871" spans="1:49" x14ac:dyDescent="0.25">
      <c r="A871" s="27">
        <v>870</v>
      </c>
      <c r="B871" s="28">
        <v>46167</v>
      </c>
      <c r="C871" s="28" t="str">
        <f t="shared" si="208"/>
        <v>May</v>
      </c>
      <c r="D871" s="27" t="s">
        <v>47</v>
      </c>
      <c r="E871" s="27" t="s">
        <v>48</v>
      </c>
      <c r="F871" s="27" t="s">
        <v>72</v>
      </c>
      <c r="G871" s="27" t="s">
        <v>78</v>
      </c>
      <c r="H871" s="27" t="s">
        <v>57</v>
      </c>
      <c r="I871" s="27" t="s">
        <v>994</v>
      </c>
      <c r="J871" s="27" t="s">
        <v>109</v>
      </c>
      <c r="K871" s="27">
        <v>726</v>
      </c>
      <c r="L871" s="27">
        <v>617</v>
      </c>
      <c r="M871" s="27">
        <v>586</v>
      </c>
      <c r="N871" s="27">
        <v>31</v>
      </c>
      <c r="O871" s="27">
        <v>10</v>
      </c>
      <c r="P871" s="27">
        <v>0</v>
      </c>
      <c r="Q871" s="27" t="s">
        <v>60</v>
      </c>
      <c r="R871" s="27">
        <v>45</v>
      </c>
      <c r="S871" s="27">
        <v>47</v>
      </c>
      <c r="T871" s="29">
        <v>68.5</v>
      </c>
      <c r="U871" s="29">
        <v>1.81</v>
      </c>
      <c r="V871" s="29">
        <v>18.350000000000001</v>
      </c>
      <c r="W871" s="30">
        <v>12106.1</v>
      </c>
      <c r="X871" s="27">
        <v>8.83</v>
      </c>
      <c r="Y871" s="27" t="s">
        <v>55</v>
      </c>
      <c r="Z871" s="29">
        <v>14</v>
      </c>
      <c r="AA871" s="30">
        <v>19987.310000000001</v>
      </c>
      <c r="AB871" s="29">
        <v>0.94975688816855797</v>
      </c>
      <c r="AC871" s="30">
        <v>16244.75</v>
      </c>
      <c r="AD871" s="30">
        <v>196.20907617504099</v>
      </c>
      <c r="AE871" s="27">
        <v>544.5</v>
      </c>
      <c r="AF871" s="29">
        <v>1</v>
      </c>
      <c r="AG871" s="30">
        <v>3546.3509238249599</v>
      </c>
      <c r="AH871" s="31">
        <f t="shared" si="209"/>
        <v>0.84986225895316803</v>
      </c>
      <c r="AI871" s="31">
        <f t="shared" si="210"/>
        <v>5.0243111831442464E-2</v>
      </c>
      <c r="AJ871" s="31">
        <f t="shared" si="211"/>
        <v>1.6207455429497569E-2</v>
      </c>
      <c r="AK871" s="31">
        <f t="shared" si="212"/>
        <v>0.94975688816855752</v>
      </c>
      <c r="AL871" s="29">
        <f t="shared" si="213"/>
        <v>0</v>
      </c>
      <c r="AM871" s="29">
        <f t="shared" si="214"/>
        <v>544.5</v>
      </c>
      <c r="AN871" s="29">
        <f t="shared" si="215"/>
        <v>1.1331496786042241</v>
      </c>
      <c r="AO871" s="29">
        <f t="shared" si="216"/>
        <v>1.3333333333333333</v>
      </c>
      <c r="AP871" s="31">
        <f t="shared" si="217"/>
        <v>0.84986225895316814</v>
      </c>
      <c r="AQ871" s="31">
        <f t="shared" si="218"/>
        <v>0.94975688816855752</v>
      </c>
      <c r="AR871" s="31">
        <f t="shared" si="219"/>
        <v>0.80716253443526176</v>
      </c>
      <c r="AS871" s="29">
        <f t="shared" si="220"/>
        <v>26.328606158833065</v>
      </c>
      <c r="AT871" s="29">
        <f t="shared" si="221"/>
        <v>5.7477324535250567</v>
      </c>
      <c r="AU871" s="27" t="str">
        <f t="shared" si="222"/>
        <v>Medium</v>
      </c>
      <c r="AV871" s="27" t="str">
        <f t="shared" si="223"/>
        <v>Warning</v>
      </c>
      <c r="AW871" s="27"/>
    </row>
    <row r="872" spans="1:49" x14ac:dyDescent="0.25">
      <c r="A872" s="27">
        <v>871</v>
      </c>
      <c r="B872" s="28">
        <v>46140</v>
      </c>
      <c r="C872" s="28" t="str">
        <f t="shared" si="208"/>
        <v>April</v>
      </c>
      <c r="D872" s="27" t="s">
        <v>67</v>
      </c>
      <c r="E872" s="27" t="s">
        <v>76</v>
      </c>
      <c r="F872" s="27" t="s">
        <v>119</v>
      </c>
      <c r="G872" s="27" t="s">
        <v>50</v>
      </c>
      <c r="H872" s="27" t="s">
        <v>51</v>
      </c>
      <c r="I872" s="27" t="s">
        <v>995</v>
      </c>
      <c r="J872" s="27" t="s">
        <v>132</v>
      </c>
      <c r="K872" s="27">
        <v>916</v>
      </c>
      <c r="L872" s="27">
        <v>830</v>
      </c>
      <c r="M872" s="27">
        <v>752</v>
      </c>
      <c r="N872" s="27">
        <v>78</v>
      </c>
      <c r="O872" s="27">
        <v>27</v>
      </c>
      <c r="P872" s="27">
        <v>13</v>
      </c>
      <c r="Q872" s="27" t="s">
        <v>54</v>
      </c>
      <c r="R872" s="27">
        <v>42</v>
      </c>
      <c r="S872" s="27">
        <v>45</v>
      </c>
      <c r="T872" s="29">
        <v>65.8</v>
      </c>
      <c r="U872" s="29">
        <v>1.9</v>
      </c>
      <c r="V872" s="29">
        <v>24.97</v>
      </c>
      <c r="W872" s="30">
        <v>15765.07</v>
      </c>
      <c r="X872" s="27">
        <v>6.91</v>
      </c>
      <c r="Y872" s="27" t="s">
        <v>66</v>
      </c>
      <c r="Z872" s="29">
        <v>25</v>
      </c>
      <c r="AA872" s="30">
        <v>24714.87</v>
      </c>
      <c r="AB872" s="29">
        <v>0.90602409638554204</v>
      </c>
      <c r="AC872" s="30">
        <v>19099.3</v>
      </c>
      <c r="AD872" s="30">
        <v>512.83962650602405</v>
      </c>
      <c r="AE872" s="27">
        <v>641.20000000000005</v>
      </c>
      <c r="AF872" s="29">
        <v>0.97972551466001301</v>
      </c>
      <c r="AG872" s="30">
        <v>5102.7303734939796</v>
      </c>
      <c r="AH872" s="31">
        <f t="shared" si="209"/>
        <v>0.90611353711790388</v>
      </c>
      <c r="AI872" s="31">
        <f t="shared" si="210"/>
        <v>9.3975903614457831E-2</v>
      </c>
      <c r="AJ872" s="31">
        <f t="shared" si="211"/>
        <v>3.2530120481927709E-2</v>
      </c>
      <c r="AK872" s="31">
        <f t="shared" si="212"/>
        <v>0.90602409638554215</v>
      </c>
      <c r="AL872" s="29">
        <f t="shared" si="213"/>
        <v>0.21666666666666667</v>
      </c>
      <c r="AM872" s="29">
        <f t="shared" si="214"/>
        <v>628.20000000000005</v>
      </c>
      <c r="AN872" s="29">
        <f t="shared" si="215"/>
        <v>1.3212352753900032</v>
      </c>
      <c r="AO872" s="29">
        <f t="shared" si="216"/>
        <v>1.4285714285714286</v>
      </c>
      <c r="AP872" s="31">
        <f t="shared" si="217"/>
        <v>0.92486469277300221</v>
      </c>
      <c r="AQ872" s="31">
        <f t="shared" si="218"/>
        <v>0.90602409638554215</v>
      </c>
      <c r="AR872" s="31">
        <f t="shared" si="219"/>
        <v>0.8209606986899568</v>
      </c>
      <c r="AS872" s="29">
        <f t="shared" si="220"/>
        <v>23.011204819277108</v>
      </c>
      <c r="AT872" s="29">
        <f t="shared" si="221"/>
        <v>6.1478679198722643</v>
      </c>
      <c r="AU872" s="27" t="str">
        <f t="shared" si="222"/>
        <v>Medium</v>
      </c>
      <c r="AV872" s="27" t="str">
        <f t="shared" si="223"/>
        <v>Warning</v>
      </c>
      <c r="AW872" s="27"/>
    </row>
    <row r="873" spans="1:49" x14ac:dyDescent="0.25">
      <c r="A873" s="27">
        <v>872</v>
      </c>
      <c r="B873" s="28">
        <v>46144</v>
      </c>
      <c r="C873" s="28" t="str">
        <f t="shared" si="208"/>
        <v>May</v>
      </c>
      <c r="D873" s="27" t="s">
        <v>67</v>
      </c>
      <c r="E873" s="27" t="s">
        <v>98</v>
      </c>
      <c r="F873" s="27" t="s">
        <v>126</v>
      </c>
      <c r="G873" s="27" t="s">
        <v>78</v>
      </c>
      <c r="H873" s="27" t="s">
        <v>124</v>
      </c>
      <c r="I873" s="27" t="s">
        <v>996</v>
      </c>
      <c r="J873" s="27" t="s">
        <v>191</v>
      </c>
      <c r="K873" s="27">
        <v>584</v>
      </c>
      <c r="L873" s="27">
        <v>332</v>
      </c>
      <c r="M873" s="27">
        <v>304</v>
      </c>
      <c r="N873" s="27">
        <v>28</v>
      </c>
      <c r="O873" s="27">
        <v>6</v>
      </c>
      <c r="P873" s="27">
        <v>169</v>
      </c>
      <c r="Q873" s="27" t="s">
        <v>104</v>
      </c>
      <c r="R873" s="27">
        <v>57</v>
      </c>
      <c r="S873" s="27">
        <v>60</v>
      </c>
      <c r="T873" s="29">
        <v>72.099999999999994</v>
      </c>
      <c r="U873" s="29">
        <v>2</v>
      </c>
      <c r="V873" s="29">
        <v>22.02</v>
      </c>
      <c r="W873" s="30">
        <v>8876.4599999999991</v>
      </c>
      <c r="X873" s="27">
        <v>5.73</v>
      </c>
      <c r="Y873" s="27" t="s">
        <v>55</v>
      </c>
      <c r="Z873" s="29">
        <v>20</v>
      </c>
      <c r="AA873" s="30">
        <v>13724.78</v>
      </c>
      <c r="AB873" s="29">
        <v>0.91566265060241003</v>
      </c>
      <c r="AC873" s="30">
        <v>11653.14</v>
      </c>
      <c r="AD873" s="30">
        <v>160.417951807229</v>
      </c>
      <c r="AE873" s="27">
        <v>554.79999999999995</v>
      </c>
      <c r="AF873" s="29">
        <v>0.69538572458543602</v>
      </c>
      <c r="AG873" s="30">
        <v>1911.22204819277</v>
      </c>
      <c r="AH873" s="31">
        <f t="shared" si="209"/>
        <v>0.56849315068493156</v>
      </c>
      <c r="AI873" s="31">
        <f t="shared" si="210"/>
        <v>8.4337349397590355E-2</v>
      </c>
      <c r="AJ873" s="31">
        <f t="shared" si="211"/>
        <v>1.8072289156626505E-2</v>
      </c>
      <c r="AK873" s="31">
        <f t="shared" si="212"/>
        <v>0.91566265060240959</v>
      </c>
      <c r="AL873" s="29">
        <f t="shared" si="213"/>
        <v>2.8166666666666669</v>
      </c>
      <c r="AM873" s="29">
        <f t="shared" si="214"/>
        <v>385.79999999999995</v>
      </c>
      <c r="AN873" s="29">
        <f t="shared" si="215"/>
        <v>0.86054950751684822</v>
      </c>
      <c r="AO873" s="29">
        <f t="shared" si="216"/>
        <v>1.0526315789473684</v>
      </c>
      <c r="AP873" s="31">
        <f t="shared" si="217"/>
        <v>0.81752203214100583</v>
      </c>
      <c r="AQ873" s="31">
        <f t="shared" si="218"/>
        <v>0.91566265060240959</v>
      </c>
      <c r="AR873" s="31">
        <f t="shared" si="219"/>
        <v>0.52054794520547942</v>
      </c>
      <c r="AS873" s="29">
        <f t="shared" si="220"/>
        <v>35.099819277108431</v>
      </c>
      <c r="AT873" s="29">
        <f t="shared" si="221"/>
        <v>5.7566929162432832</v>
      </c>
      <c r="AU873" s="27" t="str">
        <f t="shared" si="222"/>
        <v>High</v>
      </c>
      <c r="AV873" s="27" t="str">
        <f t="shared" si="223"/>
        <v>Critical</v>
      </c>
      <c r="AW873" s="27"/>
    </row>
    <row r="874" spans="1:49" x14ac:dyDescent="0.25">
      <c r="A874" s="27">
        <v>873</v>
      </c>
      <c r="B874" s="28">
        <v>46203</v>
      </c>
      <c r="C874" s="28" t="str">
        <f t="shared" si="208"/>
        <v>June</v>
      </c>
      <c r="D874" s="27" t="s">
        <v>47</v>
      </c>
      <c r="E874" s="27" t="s">
        <v>48</v>
      </c>
      <c r="F874" s="27" t="s">
        <v>56</v>
      </c>
      <c r="G874" s="27" t="s">
        <v>63</v>
      </c>
      <c r="H874" s="27" t="s">
        <v>68</v>
      </c>
      <c r="I874" s="27" t="s">
        <v>997</v>
      </c>
      <c r="J874" s="27" t="s">
        <v>170</v>
      </c>
      <c r="K874" s="27">
        <v>452</v>
      </c>
      <c r="L874" s="27">
        <v>420</v>
      </c>
      <c r="M874" s="27">
        <v>394</v>
      </c>
      <c r="N874" s="27">
        <v>26</v>
      </c>
      <c r="O874" s="27">
        <v>10</v>
      </c>
      <c r="P874" s="27">
        <v>47</v>
      </c>
      <c r="Q874" s="27" t="s">
        <v>54</v>
      </c>
      <c r="R874" s="27">
        <v>64</v>
      </c>
      <c r="S874" s="27">
        <v>67</v>
      </c>
      <c r="T874" s="29">
        <v>74.3</v>
      </c>
      <c r="U874" s="29">
        <v>2.37</v>
      </c>
      <c r="V874" s="29">
        <v>16.18</v>
      </c>
      <c r="W874" s="30">
        <v>12967.09</v>
      </c>
      <c r="X874" s="27">
        <v>9.68</v>
      </c>
      <c r="Y874" s="27" t="s">
        <v>66</v>
      </c>
      <c r="Z874" s="29">
        <v>21</v>
      </c>
      <c r="AA874" s="30">
        <v>20784.560000000001</v>
      </c>
      <c r="AB874" s="29">
        <v>0.93809523809523798</v>
      </c>
      <c r="AC874" s="30">
        <v>17468.71</v>
      </c>
      <c r="AD874" s="30">
        <v>308.740238095238</v>
      </c>
      <c r="AE874" s="27">
        <v>482.13333333333298</v>
      </c>
      <c r="AF874" s="29">
        <v>0.90251659292035402</v>
      </c>
      <c r="AG874" s="30">
        <v>3007.10976190476</v>
      </c>
      <c r="AH874" s="31">
        <f t="shared" si="209"/>
        <v>0.92920353982300885</v>
      </c>
      <c r="AI874" s="31">
        <f t="shared" si="210"/>
        <v>6.1904761904761907E-2</v>
      </c>
      <c r="AJ874" s="31">
        <f t="shared" si="211"/>
        <v>2.3809523809523808E-2</v>
      </c>
      <c r="AK874" s="31">
        <f t="shared" si="212"/>
        <v>0.93809523809523809</v>
      </c>
      <c r="AL874" s="29">
        <f t="shared" si="213"/>
        <v>0.78333333333333333</v>
      </c>
      <c r="AM874" s="29">
        <f t="shared" si="214"/>
        <v>435.13333333333298</v>
      </c>
      <c r="AN874" s="29">
        <f t="shared" si="215"/>
        <v>0.96522138808028268</v>
      </c>
      <c r="AO874" s="29">
        <f t="shared" si="216"/>
        <v>0.9375</v>
      </c>
      <c r="AP874" s="31">
        <f t="shared" si="217"/>
        <v>1.0295694806189681</v>
      </c>
      <c r="AQ874" s="31">
        <f t="shared" si="218"/>
        <v>0.93809523809523809</v>
      </c>
      <c r="AR874" s="31">
        <f t="shared" si="219"/>
        <v>0.87168141592920423</v>
      </c>
      <c r="AS874" s="29">
        <f t="shared" si="220"/>
        <v>41.592166666666664</v>
      </c>
      <c r="AT874" s="29">
        <f t="shared" si="221"/>
        <v>7.1597851473922862</v>
      </c>
      <c r="AU874" s="27" t="str">
        <f t="shared" si="222"/>
        <v>Low</v>
      </c>
      <c r="AV874" s="27" t="str">
        <f t="shared" si="223"/>
        <v>Normal</v>
      </c>
      <c r="AW874" s="27"/>
    </row>
    <row r="875" spans="1:49" x14ac:dyDescent="0.25">
      <c r="A875" s="27">
        <v>874</v>
      </c>
      <c r="B875" s="28">
        <v>46056</v>
      </c>
      <c r="C875" s="28" t="str">
        <f t="shared" si="208"/>
        <v>February</v>
      </c>
      <c r="D875" s="27" t="s">
        <v>47</v>
      </c>
      <c r="E875" s="27" t="s">
        <v>48</v>
      </c>
      <c r="F875" s="27" t="s">
        <v>49</v>
      </c>
      <c r="G875" s="27" t="s">
        <v>63</v>
      </c>
      <c r="H875" s="27" t="s">
        <v>57</v>
      </c>
      <c r="I875" s="27" t="s">
        <v>998</v>
      </c>
      <c r="J875" s="27" t="s">
        <v>59</v>
      </c>
      <c r="K875" s="27">
        <v>844</v>
      </c>
      <c r="L875" s="27">
        <v>849</v>
      </c>
      <c r="M875" s="27">
        <v>811</v>
      </c>
      <c r="N875" s="27">
        <v>38</v>
      </c>
      <c r="O875" s="27">
        <v>7</v>
      </c>
      <c r="P875" s="27">
        <v>13</v>
      </c>
      <c r="Q875" s="27" t="s">
        <v>54</v>
      </c>
      <c r="R875" s="27">
        <v>45</v>
      </c>
      <c r="S875" s="27">
        <v>49</v>
      </c>
      <c r="T875" s="29">
        <v>80.599999999999994</v>
      </c>
      <c r="U875" s="29">
        <v>2.09</v>
      </c>
      <c r="V875" s="29">
        <v>29.86</v>
      </c>
      <c r="W875" s="30">
        <v>17560.27</v>
      </c>
      <c r="X875" s="27">
        <v>10.43</v>
      </c>
      <c r="Y875" s="27" t="s">
        <v>110</v>
      </c>
      <c r="Z875" s="29">
        <v>11</v>
      </c>
      <c r="AA875" s="30">
        <v>28823.64</v>
      </c>
      <c r="AB875" s="29">
        <v>0.95524146054181402</v>
      </c>
      <c r="AC875" s="30">
        <v>22522.51</v>
      </c>
      <c r="AD875" s="30">
        <v>144.784322732627</v>
      </c>
      <c r="AE875" s="27">
        <v>633</v>
      </c>
      <c r="AF875" s="29">
        <v>0.97946287519747199</v>
      </c>
      <c r="AG875" s="30">
        <v>6156.3456772673699</v>
      </c>
      <c r="AH875" s="31">
        <f t="shared" si="209"/>
        <v>1.0059241706161137</v>
      </c>
      <c r="AI875" s="31">
        <f t="shared" si="210"/>
        <v>4.47585394581861E-2</v>
      </c>
      <c r="AJ875" s="31">
        <f t="shared" si="211"/>
        <v>8.2449941107184919E-3</v>
      </c>
      <c r="AK875" s="31">
        <f t="shared" si="212"/>
        <v>0.95524146054181391</v>
      </c>
      <c r="AL875" s="29">
        <f t="shared" si="213"/>
        <v>0.21666666666666667</v>
      </c>
      <c r="AM875" s="29">
        <f t="shared" si="214"/>
        <v>620</v>
      </c>
      <c r="AN875" s="29">
        <f t="shared" si="215"/>
        <v>1.3693548387096774</v>
      </c>
      <c r="AO875" s="29">
        <f t="shared" si="216"/>
        <v>1.3333333333333333</v>
      </c>
      <c r="AP875" s="31">
        <f t="shared" si="217"/>
        <v>1.0270161290322581</v>
      </c>
      <c r="AQ875" s="31">
        <f t="shared" si="218"/>
        <v>0.95524146054181391</v>
      </c>
      <c r="AR875" s="31">
        <f t="shared" si="219"/>
        <v>0.96090047393364908</v>
      </c>
      <c r="AS875" s="29">
        <f t="shared" si="220"/>
        <v>26.528280329799763</v>
      </c>
      <c r="AT875" s="29">
        <f t="shared" si="221"/>
        <v>7.2512905503738159</v>
      </c>
      <c r="AU875" s="27" t="str">
        <f t="shared" si="222"/>
        <v>Medium</v>
      </c>
      <c r="AV875" s="27" t="str">
        <f t="shared" si="223"/>
        <v>Warning</v>
      </c>
      <c r="AW875" s="27"/>
    </row>
    <row r="876" spans="1:49" x14ac:dyDescent="0.25">
      <c r="A876" s="27">
        <v>875</v>
      </c>
      <c r="B876" s="28">
        <v>46173</v>
      </c>
      <c r="C876" s="28" t="str">
        <f t="shared" si="208"/>
        <v>May</v>
      </c>
      <c r="D876" s="27" t="s">
        <v>67</v>
      </c>
      <c r="E876" s="27" t="s">
        <v>129</v>
      </c>
      <c r="F876" s="27" t="s">
        <v>167</v>
      </c>
      <c r="G876" s="27" t="s">
        <v>50</v>
      </c>
      <c r="H876" s="27" t="s">
        <v>124</v>
      </c>
      <c r="I876" s="27" t="s">
        <v>999</v>
      </c>
      <c r="J876" s="27" t="s">
        <v>150</v>
      </c>
      <c r="K876" s="27">
        <v>562</v>
      </c>
      <c r="L876" s="27">
        <v>521</v>
      </c>
      <c r="M876" s="27">
        <v>474</v>
      </c>
      <c r="N876" s="27">
        <v>47</v>
      </c>
      <c r="O876" s="27">
        <v>17</v>
      </c>
      <c r="P876" s="27">
        <v>0</v>
      </c>
      <c r="Q876" s="27" t="s">
        <v>60</v>
      </c>
      <c r="R876" s="27">
        <v>57</v>
      </c>
      <c r="S876" s="27">
        <v>62</v>
      </c>
      <c r="T876" s="29">
        <v>82.2</v>
      </c>
      <c r="U876" s="29">
        <v>1.86</v>
      </c>
      <c r="V876" s="29">
        <v>18.18</v>
      </c>
      <c r="W876" s="30">
        <v>14398.83</v>
      </c>
      <c r="X876" s="27">
        <v>9.65</v>
      </c>
      <c r="Y876" s="27" t="s">
        <v>55</v>
      </c>
      <c r="Z876" s="29">
        <v>20</v>
      </c>
      <c r="AA876" s="30">
        <v>21721.9</v>
      </c>
      <c r="AB876" s="29">
        <v>0.90978886756237998</v>
      </c>
      <c r="AC876" s="30">
        <v>18904.95</v>
      </c>
      <c r="AD876" s="30">
        <v>469.82746641074903</v>
      </c>
      <c r="AE876" s="27">
        <v>533.9</v>
      </c>
      <c r="AF876" s="29">
        <v>1</v>
      </c>
      <c r="AG876" s="30">
        <v>2347.12253358925</v>
      </c>
      <c r="AH876" s="31">
        <f t="shared" si="209"/>
        <v>0.92704626334519569</v>
      </c>
      <c r="AI876" s="31">
        <f t="shared" si="210"/>
        <v>9.0211132437619967E-2</v>
      </c>
      <c r="AJ876" s="31">
        <f t="shared" si="211"/>
        <v>3.2629558541266791E-2</v>
      </c>
      <c r="AK876" s="31">
        <f t="shared" si="212"/>
        <v>0.90978886756238009</v>
      </c>
      <c r="AL876" s="29">
        <f t="shared" si="213"/>
        <v>0</v>
      </c>
      <c r="AM876" s="29">
        <f t="shared" si="214"/>
        <v>533.9</v>
      </c>
      <c r="AN876" s="29">
        <f t="shared" si="215"/>
        <v>0.97583817194231137</v>
      </c>
      <c r="AO876" s="29">
        <f t="shared" si="216"/>
        <v>1.0526315789473684</v>
      </c>
      <c r="AP876" s="31">
        <f t="shared" si="217"/>
        <v>0.92704626334519591</v>
      </c>
      <c r="AQ876" s="31">
        <f t="shared" si="218"/>
        <v>0.90978886756238009</v>
      </c>
      <c r="AR876" s="31">
        <f t="shared" si="219"/>
        <v>0.84341637010676174</v>
      </c>
      <c r="AS876" s="29">
        <f t="shared" si="220"/>
        <v>36.285892514395393</v>
      </c>
      <c r="AT876" s="29">
        <f t="shared" si="221"/>
        <v>4.5050336537221689</v>
      </c>
      <c r="AU876" s="27" t="str">
        <f t="shared" si="222"/>
        <v>Medium</v>
      </c>
      <c r="AV876" s="27" t="str">
        <f t="shared" si="223"/>
        <v>Warning</v>
      </c>
      <c r="AW876" s="27"/>
    </row>
    <row r="877" spans="1:49" x14ac:dyDescent="0.25">
      <c r="A877" s="27">
        <v>876</v>
      </c>
      <c r="B877" s="28">
        <v>46145</v>
      </c>
      <c r="C877" s="28" t="str">
        <f t="shared" si="208"/>
        <v>May</v>
      </c>
      <c r="D877" s="27" t="s">
        <v>47</v>
      </c>
      <c r="E877" s="27" t="s">
        <v>61</v>
      </c>
      <c r="F877" s="27" t="s">
        <v>88</v>
      </c>
      <c r="G877" s="27" t="s">
        <v>50</v>
      </c>
      <c r="H877" s="27" t="s">
        <v>124</v>
      </c>
      <c r="I877" s="27" t="s">
        <v>1000</v>
      </c>
      <c r="J877" s="27" t="s">
        <v>191</v>
      </c>
      <c r="K877" s="27">
        <v>643</v>
      </c>
      <c r="L877" s="27">
        <v>623</v>
      </c>
      <c r="M877" s="27">
        <v>599</v>
      </c>
      <c r="N877" s="27">
        <v>24</v>
      </c>
      <c r="O877" s="27">
        <v>5</v>
      </c>
      <c r="P877" s="27">
        <v>15</v>
      </c>
      <c r="Q877" s="27" t="s">
        <v>75</v>
      </c>
      <c r="R877" s="27">
        <v>57</v>
      </c>
      <c r="S877" s="27">
        <v>56</v>
      </c>
      <c r="T877" s="29">
        <v>73.900000000000006</v>
      </c>
      <c r="U877" s="29">
        <v>1.1299999999999999</v>
      </c>
      <c r="V877" s="29">
        <v>22.81</v>
      </c>
      <c r="W877" s="30">
        <v>16431.490000000002</v>
      </c>
      <c r="X877" s="27">
        <v>7.56</v>
      </c>
      <c r="Y877" s="27" t="s">
        <v>66</v>
      </c>
      <c r="Z877" s="29">
        <v>36</v>
      </c>
      <c r="AA877" s="30">
        <v>27975.55</v>
      </c>
      <c r="AB877" s="29">
        <v>0.96147672552166896</v>
      </c>
      <c r="AC877" s="30">
        <v>20038.78</v>
      </c>
      <c r="AD877" s="30">
        <v>131.87391653290501</v>
      </c>
      <c r="AE877" s="27">
        <v>610.85</v>
      </c>
      <c r="AF877" s="29">
        <v>0.97544405336825701</v>
      </c>
      <c r="AG877" s="30">
        <v>7804.8960834670897</v>
      </c>
      <c r="AH877" s="31">
        <f t="shared" si="209"/>
        <v>0.96889580093312599</v>
      </c>
      <c r="AI877" s="31">
        <f t="shared" si="210"/>
        <v>3.8523274478330656E-2</v>
      </c>
      <c r="AJ877" s="31">
        <f t="shared" si="211"/>
        <v>8.0256821829855531E-3</v>
      </c>
      <c r="AK877" s="31">
        <f t="shared" si="212"/>
        <v>0.9614767255216693</v>
      </c>
      <c r="AL877" s="29">
        <f t="shared" si="213"/>
        <v>0.25</v>
      </c>
      <c r="AM877" s="29">
        <f t="shared" si="214"/>
        <v>595.85</v>
      </c>
      <c r="AN877" s="29">
        <f t="shared" si="215"/>
        <v>1.0455651590165309</v>
      </c>
      <c r="AO877" s="29">
        <f t="shared" si="216"/>
        <v>1.0526315789473684</v>
      </c>
      <c r="AP877" s="31">
        <f t="shared" si="217"/>
        <v>0.99328690106570439</v>
      </c>
      <c r="AQ877" s="31">
        <f t="shared" si="218"/>
        <v>0.9614767255216693</v>
      </c>
      <c r="AR877" s="31">
        <f t="shared" si="219"/>
        <v>0.9315707620528767</v>
      </c>
      <c r="AS877" s="29">
        <f t="shared" si="220"/>
        <v>32.164975922953452</v>
      </c>
      <c r="AT877" s="29">
        <f t="shared" si="221"/>
        <v>12.52792308742711</v>
      </c>
      <c r="AU877" s="27" t="str">
        <f t="shared" si="222"/>
        <v>Medium</v>
      </c>
      <c r="AV877" s="27" t="str">
        <f t="shared" si="223"/>
        <v>Normal</v>
      </c>
      <c r="AW877" s="27"/>
    </row>
    <row r="878" spans="1:49" x14ac:dyDescent="0.25">
      <c r="A878" s="27">
        <v>877</v>
      </c>
      <c r="B878" s="28">
        <v>46159</v>
      </c>
      <c r="C878" s="28" t="str">
        <f t="shared" si="208"/>
        <v>May</v>
      </c>
      <c r="D878" s="27" t="s">
        <v>47</v>
      </c>
      <c r="E878" s="27" t="s">
        <v>129</v>
      </c>
      <c r="F878" s="27" t="s">
        <v>130</v>
      </c>
      <c r="G878" s="27" t="s">
        <v>78</v>
      </c>
      <c r="H878" s="27" t="s">
        <v>68</v>
      </c>
      <c r="I878" s="27" t="s">
        <v>1001</v>
      </c>
      <c r="J878" s="27" t="s">
        <v>191</v>
      </c>
      <c r="K878" s="27">
        <v>493</v>
      </c>
      <c r="L878" s="27">
        <v>403</v>
      </c>
      <c r="M878" s="27">
        <v>334</v>
      </c>
      <c r="N878" s="27">
        <v>69</v>
      </c>
      <c r="O878" s="27">
        <v>13</v>
      </c>
      <c r="P878" s="27">
        <v>46</v>
      </c>
      <c r="Q878" s="27" t="s">
        <v>94</v>
      </c>
      <c r="R878" s="27">
        <v>64</v>
      </c>
      <c r="S878" s="27">
        <v>68</v>
      </c>
      <c r="T878" s="29">
        <v>79</v>
      </c>
      <c r="U878" s="29">
        <v>4.3899999999999997</v>
      </c>
      <c r="V878" s="29">
        <v>15</v>
      </c>
      <c r="W878" s="30">
        <v>12369.33</v>
      </c>
      <c r="X878" s="27">
        <v>6.34</v>
      </c>
      <c r="Y878" s="27" t="s">
        <v>71</v>
      </c>
      <c r="Z878" s="29">
        <v>59</v>
      </c>
      <c r="AA878" s="30">
        <v>16888.39</v>
      </c>
      <c r="AB878" s="29">
        <v>0.82878411910670002</v>
      </c>
      <c r="AC878" s="30">
        <v>15357.33</v>
      </c>
      <c r="AD878" s="30">
        <v>399.01064516128997</v>
      </c>
      <c r="AE878" s="27">
        <v>525.86666666666702</v>
      </c>
      <c r="AF878" s="29">
        <v>0.91252535496957399</v>
      </c>
      <c r="AG878" s="30">
        <v>1132.0493548387101</v>
      </c>
      <c r="AH878" s="31">
        <f t="shared" si="209"/>
        <v>0.81744421906693709</v>
      </c>
      <c r="AI878" s="31">
        <f t="shared" si="210"/>
        <v>0.17121588089330025</v>
      </c>
      <c r="AJ878" s="31">
        <f t="shared" si="211"/>
        <v>3.2258064516129031E-2</v>
      </c>
      <c r="AK878" s="31">
        <f t="shared" si="212"/>
        <v>0.8287841191066998</v>
      </c>
      <c r="AL878" s="29">
        <f t="shared" si="213"/>
        <v>0.76666666666666672</v>
      </c>
      <c r="AM878" s="29">
        <f t="shared" si="214"/>
        <v>479.86666666666702</v>
      </c>
      <c r="AN878" s="29">
        <f t="shared" si="215"/>
        <v>0.83981661572659005</v>
      </c>
      <c r="AO878" s="29">
        <f t="shared" si="216"/>
        <v>0.9375</v>
      </c>
      <c r="AP878" s="31">
        <f t="shared" si="217"/>
        <v>0.89580439010836277</v>
      </c>
      <c r="AQ878" s="31">
        <f t="shared" si="218"/>
        <v>0.8287841191066998</v>
      </c>
      <c r="AR878" s="31">
        <f t="shared" si="219"/>
        <v>0.6774847870182551</v>
      </c>
      <c r="AS878" s="29">
        <f t="shared" si="220"/>
        <v>38.107518610421835</v>
      </c>
      <c r="AT878" s="29">
        <f t="shared" si="221"/>
        <v>2.8090554710637967</v>
      </c>
      <c r="AU878" s="27" t="str">
        <f t="shared" si="222"/>
        <v>High</v>
      </c>
      <c r="AV878" s="27" t="str">
        <f t="shared" si="223"/>
        <v>Critical</v>
      </c>
      <c r="AW878" s="27"/>
    </row>
    <row r="879" spans="1:49" x14ac:dyDescent="0.25">
      <c r="A879" s="27">
        <v>878</v>
      </c>
      <c r="B879" s="28">
        <v>46127</v>
      </c>
      <c r="C879" s="28" t="str">
        <f t="shared" si="208"/>
        <v>April</v>
      </c>
      <c r="D879" s="27" t="s">
        <v>67</v>
      </c>
      <c r="E879" s="27" t="s">
        <v>48</v>
      </c>
      <c r="F879" s="27" t="s">
        <v>56</v>
      </c>
      <c r="G879" s="27" t="s">
        <v>78</v>
      </c>
      <c r="H879" s="27" t="s">
        <v>68</v>
      </c>
      <c r="I879" s="27" t="s">
        <v>1002</v>
      </c>
      <c r="J879" s="27" t="s">
        <v>150</v>
      </c>
      <c r="K879" s="27">
        <v>696</v>
      </c>
      <c r="L879" s="27">
        <v>642</v>
      </c>
      <c r="M879" s="27">
        <v>595</v>
      </c>
      <c r="N879" s="27">
        <v>47</v>
      </c>
      <c r="O879" s="27">
        <v>9</v>
      </c>
      <c r="P879" s="27">
        <v>12</v>
      </c>
      <c r="Q879" s="27" t="s">
        <v>94</v>
      </c>
      <c r="R879" s="27">
        <v>64</v>
      </c>
      <c r="S879" s="27">
        <v>66</v>
      </c>
      <c r="T879" s="29">
        <v>79.7</v>
      </c>
      <c r="U879" s="29">
        <v>2.25</v>
      </c>
      <c r="V879" s="29">
        <v>25.02</v>
      </c>
      <c r="W879" s="30">
        <v>19294.46</v>
      </c>
      <c r="X879" s="27">
        <v>8.9600000000000009</v>
      </c>
      <c r="Y879" s="27" t="s">
        <v>55</v>
      </c>
      <c r="Z879" s="29">
        <v>18</v>
      </c>
      <c r="AA879" s="30">
        <v>30341.56</v>
      </c>
      <c r="AB879" s="29">
        <v>0.92679127725856703</v>
      </c>
      <c r="AC879" s="30">
        <v>23551.64</v>
      </c>
      <c r="AD879" s="30">
        <v>270.48308411214998</v>
      </c>
      <c r="AE879" s="27">
        <v>742.4</v>
      </c>
      <c r="AF879" s="29">
        <v>0.98383620689655205</v>
      </c>
      <c r="AG879" s="30">
        <v>6519.4369158878499</v>
      </c>
      <c r="AH879" s="31">
        <f t="shared" si="209"/>
        <v>0.92241379310344829</v>
      </c>
      <c r="AI879" s="31">
        <f t="shared" si="210"/>
        <v>7.3208722741433016E-2</v>
      </c>
      <c r="AJ879" s="31">
        <f t="shared" si="211"/>
        <v>1.4018691588785047E-2</v>
      </c>
      <c r="AK879" s="31">
        <f t="shared" si="212"/>
        <v>0.92679127725856703</v>
      </c>
      <c r="AL879" s="29">
        <f t="shared" si="213"/>
        <v>0.2</v>
      </c>
      <c r="AM879" s="29">
        <f t="shared" si="214"/>
        <v>730.4</v>
      </c>
      <c r="AN879" s="29">
        <f t="shared" si="215"/>
        <v>0.87897042716319829</v>
      </c>
      <c r="AO879" s="29">
        <f t="shared" si="216"/>
        <v>0.9375</v>
      </c>
      <c r="AP879" s="31">
        <f t="shared" si="217"/>
        <v>0.93756845564074487</v>
      </c>
      <c r="AQ879" s="31">
        <f t="shared" si="218"/>
        <v>0.92679127725856703</v>
      </c>
      <c r="AR879" s="31">
        <f t="shared" si="219"/>
        <v>0.85488505747126475</v>
      </c>
      <c r="AS879" s="29">
        <f t="shared" si="220"/>
        <v>36.684797507788161</v>
      </c>
      <c r="AT879" s="29">
        <f t="shared" si="221"/>
        <v>10.15488616181908</v>
      </c>
      <c r="AU879" s="27" t="str">
        <f t="shared" si="222"/>
        <v>Low</v>
      </c>
      <c r="AV879" s="27" t="str">
        <f t="shared" si="223"/>
        <v>Normal</v>
      </c>
      <c r="AW879" s="27"/>
    </row>
    <row r="880" spans="1:49" x14ac:dyDescent="0.25">
      <c r="A880" s="27">
        <v>879</v>
      </c>
      <c r="B880" s="28">
        <v>46064</v>
      </c>
      <c r="C880" s="28" t="str">
        <f t="shared" si="208"/>
        <v>February</v>
      </c>
      <c r="D880" s="27" t="s">
        <v>67</v>
      </c>
      <c r="E880" s="27" t="s">
        <v>61</v>
      </c>
      <c r="F880" s="27" t="s">
        <v>88</v>
      </c>
      <c r="G880" s="27" t="s">
        <v>50</v>
      </c>
      <c r="H880" s="27" t="s">
        <v>124</v>
      </c>
      <c r="I880" s="27" t="s">
        <v>1003</v>
      </c>
      <c r="J880" s="27" t="s">
        <v>90</v>
      </c>
      <c r="K880" s="27">
        <v>738</v>
      </c>
      <c r="L880" s="27">
        <v>661</v>
      </c>
      <c r="M880" s="27">
        <v>622</v>
      </c>
      <c r="N880" s="27">
        <v>39</v>
      </c>
      <c r="O880" s="27">
        <v>8</v>
      </c>
      <c r="P880" s="27">
        <v>48</v>
      </c>
      <c r="Q880" s="27" t="s">
        <v>97</v>
      </c>
      <c r="R880" s="27">
        <v>57</v>
      </c>
      <c r="S880" s="27">
        <v>56</v>
      </c>
      <c r="T880" s="29">
        <v>78.7</v>
      </c>
      <c r="U880" s="29">
        <v>2.57</v>
      </c>
      <c r="V880" s="29">
        <v>30.24</v>
      </c>
      <c r="W880" s="30">
        <v>17939.57</v>
      </c>
      <c r="X880" s="27">
        <v>7.09</v>
      </c>
      <c r="Y880" s="27" t="s">
        <v>71</v>
      </c>
      <c r="Z880" s="29">
        <v>53</v>
      </c>
      <c r="AA880" s="30">
        <v>29366.31</v>
      </c>
      <c r="AB880" s="29">
        <v>0.940998487140696</v>
      </c>
      <c r="AC880" s="30">
        <v>21402.23</v>
      </c>
      <c r="AD880" s="30">
        <v>217.120363086233</v>
      </c>
      <c r="AE880" s="27">
        <v>701.1</v>
      </c>
      <c r="AF880" s="29">
        <v>0.93153615746683804</v>
      </c>
      <c r="AG880" s="30">
        <v>7746.9596369137698</v>
      </c>
      <c r="AH880" s="31">
        <f t="shared" si="209"/>
        <v>0.89566395663956644</v>
      </c>
      <c r="AI880" s="31">
        <f t="shared" si="210"/>
        <v>5.9001512859304085E-2</v>
      </c>
      <c r="AJ880" s="31">
        <f t="shared" si="211"/>
        <v>1.2102874432677761E-2</v>
      </c>
      <c r="AK880" s="31">
        <f t="shared" si="212"/>
        <v>0.94099848714069589</v>
      </c>
      <c r="AL880" s="29">
        <f t="shared" si="213"/>
        <v>0.8</v>
      </c>
      <c r="AM880" s="29">
        <f t="shared" si="214"/>
        <v>653.1</v>
      </c>
      <c r="AN880" s="29">
        <f t="shared" si="215"/>
        <v>1.0120961567906905</v>
      </c>
      <c r="AO880" s="29">
        <f t="shared" si="216"/>
        <v>1.0526315789473684</v>
      </c>
      <c r="AP880" s="31">
        <f t="shared" si="217"/>
        <v>0.96149134895115607</v>
      </c>
      <c r="AQ880" s="31">
        <f t="shared" si="218"/>
        <v>0.94099848714069589</v>
      </c>
      <c r="AR880" s="31">
        <f t="shared" si="219"/>
        <v>0.8428184281842821</v>
      </c>
      <c r="AS880" s="29">
        <f t="shared" si="220"/>
        <v>32.378562783661117</v>
      </c>
      <c r="AT880" s="29">
        <f t="shared" si="221"/>
        <v>11.720059965073782</v>
      </c>
      <c r="AU880" s="27" t="str">
        <f t="shared" si="222"/>
        <v>High</v>
      </c>
      <c r="AV880" s="27" t="str">
        <f t="shared" si="223"/>
        <v>Warning</v>
      </c>
      <c r="AW880" s="27"/>
    </row>
    <row r="881" spans="1:49" x14ac:dyDescent="0.25">
      <c r="A881" s="27">
        <v>880</v>
      </c>
      <c r="B881" s="28">
        <v>46025</v>
      </c>
      <c r="C881" s="28" t="str">
        <f t="shared" si="208"/>
        <v>January</v>
      </c>
      <c r="D881" s="27" t="s">
        <v>47</v>
      </c>
      <c r="E881" s="27" t="s">
        <v>76</v>
      </c>
      <c r="F881" s="27" t="s">
        <v>119</v>
      </c>
      <c r="G881" s="27" t="s">
        <v>50</v>
      </c>
      <c r="H881" s="27" t="s">
        <v>51</v>
      </c>
      <c r="I881" s="27" t="s">
        <v>1004</v>
      </c>
      <c r="J881" s="27" t="s">
        <v>109</v>
      </c>
      <c r="K881" s="27">
        <v>936</v>
      </c>
      <c r="L881" s="27">
        <v>797</v>
      </c>
      <c r="M881" s="27">
        <v>723</v>
      </c>
      <c r="N881" s="27">
        <v>74</v>
      </c>
      <c r="O881" s="27">
        <v>14</v>
      </c>
      <c r="P881" s="27">
        <v>37</v>
      </c>
      <c r="Q881" s="27" t="s">
        <v>102</v>
      </c>
      <c r="R881" s="27">
        <v>42</v>
      </c>
      <c r="S881" s="27">
        <v>43</v>
      </c>
      <c r="T881" s="29">
        <v>74.2</v>
      </c>
      <c r="U881" s="29">
        <v>1.92</v>
      </c>
      <c r="V881" s="29">
        <v>34.229999999999997</v>
      </c>
      <c r="W881" s="30">
        <v>14360.76</v>
      </c>
      <c r="X881" s="27">
        <v>6.39</v>
      </c>
      <c r="Y881" s="27" t="s">
        <v>66</v>
      </c>
      <c r="Z881" s="29">
        <v>31</v>
      </c>
      <c r="AA881" s="30">
        <v>22632.400000000001</v>
      </c>
      <c r="AB881" s="29">
        <v>0.90715181932245903</v>
      </c>
      <c r="AC881" s="30">
        <v>17544.330000000002</v>
      </c>
      <c r="AD881" s="30">
        <v>252.25927227101599</v>
      </c>
      <c r="AE881" s="27">
        <v>655.20000000000005</v>
      </c>
      <c r="AF881" s="29">
        <v>0.94352869352869395</v>
      </c>
      <c r="AG881" s="30">
        <v>4835.8107277289801</v>
      </c>
      <c r="AH881" s="31">
        <f t="shared" si="209"/>
        <v>0.85149572649572647</v>
      </c>
      <c r="AI881" s="31">
        <f t="shared" si="210"/>
        <v>9.2848180677540776E-2</v>
      </c>
      <c r="AJ881" s="31">
        <f t="shared" si="211"/>
        <v>1.7565872020075281E-2</v>
      </c>
      <c r="AK881" s="31">
        <f t="shared" si="212"/>
        <v>0.90715181932245925</v>
      </c>
      <c r="AL881" s="29">
        <f t="shared" si="213"/>
        <v>0.6166666666666667</v>
      </c>
      <c r="AM881" s="29">
        <f t="shared" si="214"/>
        <v>618.20000000000005</v>
      </c>
      <c r="AN881" s="29">
        <f t="shared" si="215"/>
        <v>1.2892267874474279</v>
      </c>
      <c r="AO881" s="29">
        <f t="shared" si="216"/>
        <v>1.4285714285714286</v>
      </c>
      <c r="AP881" s="31">
        <f t="shared" si="217"/>
        <v>0.90245875121319952</v>
      </c>
      <c r="AQ881" s="31">
        <f t="shared" si="218"/>
        <v>0.90715181932245925</v>
      </c>
      <c r="AR881" s="31">
        <f t="shared" si="219"/>
        <v>0.77243589743589769</v>
      </c>
      <c r="AS881" s="29">
        <f t="shared" si="220"/>
        <v>22.01296110414053</v>
      </c>
      <c r="AT881" s="29">
        <f t="shared" si="221"/>
        <v>6.0675165968995985</v>
      </c>
      <c r="AU881" s="27" t="str">
        <f t="shared" si="222"/>
        <v>High</v>
      </c>
      <c r="AV881" s="27" t="str">
        <f t="shared" si="223"/>
        <v>Warning</v>
      </c>
      <c r="AW881" s="27"/>
    </row>
    <row r="882" spans="1:49" x14ac:dyDescent="0.25">
      <c r="A882" s="27">
        <v>881</v>
      </c>
      <c r="B882" s="28">
        <v>46074</v>
      </c>
      <c r="C882" s="28" t="str">
        <f t="shared" si="208"/>
        <v>February</v>
      </c>
      <c r="D882" s="27" t="s">
        <v>47</v>
      </c>
      <c r="E882" s="27" t="s">
        <v>61</v>
      </c>
      <c r="F882" s="27" t="s">
        <v>62</v>
      </c>
      <c r="G882" s="27" t="s">
        <v>50</v>
      </c>
      <c r="H882" s="27" t="s">
        <v>57</v>
      </c>
      <c r="I882" s="27" t="s">
        <v>1005</v>
      </c>
      <c r="J882" s="27" t="s">
        <v>197</v>
      </c>
      <c r="K882" s="27">
        <v>780</v>
      </c>
      <c r="L882" s="27">
        <v>853</v>
      </c>
      <c r="M882" s="27">
        <v>812</v>
      </c>
      <c r="N882" s="27">
        <v>41</v>
      </c>
      <c r="O882" s="27">
        <v>15</v>
      </c>
      <c r="P882" s="27">
        <v>26</v>
      </c>
      <c r="Q882" s="27" t="s">
        <v>75</v>
      </c>
      <c r="R882" s="27">
        <v>45</v>
      </c>
      <c r="S882" s="27">
        <v>45</v>
      </c>
      <c r="T882" s="29">
        <v>68.8</v>
      </c>
      <c r="U882" s="29">
        <v>2.06</v>
      </c>
      <c r="V882" s="29">
        <v>31.68</v>
      </c>
      <c r="W882" s="30">
        <v>18482.55</v>
      </c>
      <c r="X882" s="27">
        <v>10.83</v>
      </c>
      <c r="Y882" s="27" t="s">
        <v>110</v>
      </c>
      <c r="Z882" s="29">
        <v>6</v>
      </c>
      <c r="AA882" s="30">
        <v>28946.65</v>
      </c>
      <c r="AB882" s="29">
        <v>0.95193434935521704</v>
      </c>
      <c r="AC882" s="30">
        <v>23641.17</v>
      </c>
      <c r="AD882" s="30">
        <v>325.015533411489</v>
      </c>
      <c r="AE882" s="27">
        <v>585</v>
      </c>
      <c r="AF882" s="29">
        <v>0.95555555555555605</v>
      </c>
      <c r="AG882" s="30">
        <v>4980.4644665885098</v>
      </c>
      <c r="AH882" s="31">
        <f t="shared" si="209"/>
        <v>1.0935897435897435</v>
      </c>
      <c r="AI882" s="31">
        <f t="shared" si="210"/>
        <v>4.8065650644783117E-2</v>
      </c>
      <c r="AJ882" s="31">
        <f t="shared" si="211"/>
        <v>1.7584994138335287E-2</v>
      </c>
      <c r="AK882" s="31">
        <f t="shared" si="212"/>
        <v>0.95193434935521692</v>
      </c>
      <c r="AL882" s="29">
        <f t="shared" si="213"/>
        <v>0.43333333333333335</v>
      </c>
      <c r="AM882" s="29">
        <f t="shared" si="214"/>
        <v>559</v>
      </c>
      <c r="AN882" s="29">
        <f t="shared" si="215"/>
        <v>1.5259391771019677</v>
      </c>
      <c r="AO882" s="29">
        <f t="shared" si="216"/>
        <v>1.3333333333333333</v>
      </c>
      <c r="AP882" s="31">
        <f t="shared" si="217"/>
        <v>1.1444543828264759</v>
      </c>
      <c r="AQ882" s="31">
        <f t="shared" si="218"/>
        <v>0.95193434935521692</v>
      </c>
      <c r="AR882" s="31">
        <f t="shared" si="219"/>
        <v>1.0410256410256415</v>
      </c>
      <c r="AS882" s="29">
        <f t="shared" si="220"/>
        <v>27.715322391559202</v>
      </c>
      <c r="AT882" s="29">
        <f t="shared" si="221"/>
        <v>5.838762563409742</v>
      </c>
      <c r="AU882" s="27" t="str">
        <f t="shared" si="222"/>
        <v>Medium</v>
      </c>
      <c r="AV882" s="27" t="str">
        <f t="shared" si="223"/>
        <v>Normal</v>
      </c>
      <c r="AW882" s="27"/>
    </row>
    <row r="883" spans="1:49" x14ac:dyDescent="0.25">
      <c r="A883" s="27">
        <v>882</v>
      </c>
      <c r="B883" s="28">
        <v>46144</v>
      </c>
      <c r="C883" s="28" t="str">
        <f t="shared" si="208"/>
        <v>May</v>
      </c>
      <c r="D883" s="27" t="s">
        <v>67</v>
      </c>
      <c r="E883" s="27" t="s">
        <v>129</v>
      </c>
      <c r="F883" s="27" t="s">
        <v>167</v>
      </c>
      <c r="G883" s="27" t="s">
        <v>63</v>
      </c>
      <c r="H883" s="27" t="s">
        <v>79</v>
      </c>
      <c r="I883" s="27" t="s">
        <v>1006</v>
      </c>
      <c r="J883" s="27" t="s">
        <v>140</v>
      </c>
      <c r="K883" s="27">
        <v>873</v>
      </c>
      <c r="L883" s="27">
        <v>799</v>
      </c>
      <c r="M883" s="27">
        <v>732</v>
      </c>
      <c r="N883" s="27">
        <v>67</v>
      </c>
      <c r="O883" s="27">
        <v>16</v>
      </c>
      <c r="P883" s="27">
        <v>15</v>
      </c>
      <c r="Q883" s="27" t="s">
        <v>91</v>
      </c>
      <c r="R883" s="27">
        <v>49</v>
      </c>
      <c r="S883" s="27">
        <v>47</v>
      </c>
      <c r="T883" s="29">
        <v>75.099999999999994</v>
      </c>
      <c r="U883" s="29">
        <v>2.63</v>
      </c>
      <c r="V883" s="29">
        <v>26.13</v>
      </c>
      <c r="W883" s="30">
        <v>16878.150000000001</v>
      </c>
      <c r="X883" s="27">
        <v>7.4</v>
      </c>
      <c r="Y883" s="27" t="s">
        <v>55</v>
      </c>
      <c r="Z883" s="29">
        <v>11</v>
      </c>
      <c r="AA883" s="30">
        <v>27541.02</v>
      </c>
      <c r="AB883" s="29">
        <v>0.91614518147684598</v>
      </c>
      <c r="AC883" s="30">
        <v>20443.32</v>
      </c>
      <c r="AD883" s="30">
        <v>337.98548185231499</v>
      </c>
      <c r="AE883" s="27">
        <v>712.95</v>
      </c>
      <c r="AF883" s="29">
        <v>0.97896065642751995</v>
      </c>
      <c r="AG883" s="30">
        <v>6759.7145181476899</v>
      </c>
      <c r="AH883" s="31">
        <f t="shared" si="209"/>
        <v>0.91523482245131726</v>
      </c>
      <c r="AI883" s="31">
        <f t="shared" si="210"/>
        <v>8.3854818523153948E-2</v>
      </c>
      <c r="AJ883" s="31">
        <f t="shared" si="211"/>
        <v>2.002503128911139E-2</v>
      </c>
      <c r="AK883" s="31">
        <f t="shared" si="212"/>
        <v>0.91614518147684609</v>
      </c>
      <c r="AL883" s="29">
        <f t="shared" si="213"/>
        <v>0.25</v>
      </c>
      <c r="AM883" s="29">
        <f t="shared" si="214"/>
        <v>697.95</v>
      </c>
      <c r="AN883" s="29">
        <f t="shared" si="215"/>
        <v>1.1447811447811447</v>
      </c>
      <c r="AO883" s="29">
        <f t="shared" si="216"/>
        <v>1.2244897959183674</v>
      </c>
      <c r="AP883" s="31">
        <f t="shared" si="217"/>
        <v>0.93490460157126809</v>
      </c>
      <c r="AQ883" s="31">
        <f t="shared" si="218"/>
        <v>0.91614518147684609</v>
      </c>
      <c r="AR883" s="31">
        <f t="shared" si="219"/>
        <v>0.83848797250859142</v>
      </c>
      <c r="AS883" s="29">
        <f t="shared" si="220"/>
        <v>25.586132665832292</v>
      </c>
      <c r="AT883" s="29">
        <f t="shared" si="221"/>
        <v>8.4602184207105005</v>
      </c>
      <c r="AU883" s="27" t="str">
        <f t="shared" si="222"/>
        <v>Medium</v>
      </c>
      <c r="AV883" s="27" t="str">
        <f t="shared" si="223"/>
        <v>Warning</v>
      </c>
      <c r="AW883" s="27"/>
    </row>
    <row r="884" spans="1:49" x14ac:dyDescent="0.25">
      <c r="A884" s="27">
        <v>883</v>
      </c>
      <c r="B884" s="28">
        <v>46073</v>
      </c>
      <c r="C884" s="28" t="str">
        <f t="shared" si="208"/>
        <v>February</v>
      </c>
      <c r="D884" s="27" t="s">
        <v>67</v>
      </c>
      <c r="E884" s="27" t="s">
        <v>76</v>
      </c>
      <c r="F884" s="27" t="s">
        <v>119</v>
      </c>
      <c r="G884" s="27" t="s">
        <v>63</v>
      </c>
      <c r="H884" s="27" t="s">
        <v>57</v>
      </c>
      <c r="I884" s="27" t="s">
        <v>1007</v>
      </c>
      <c r="J884" s="27" t="s">
        <v>132</v>
      </c>
      <c r="K884" s="27">
        <v>764</v>
      </c>
      <c r="L884" s="27">
        <v>644</v>
      </c>
      <c r="M884" s="27">
        <v>587</v>
      </c>
      <c r="N884" s="27">
        <v>57</v>
      </c>
      <c r="O884" s="27">
        <v>16</v>
      </c>
      <c r="P884" s="27">
        <v>44</v>
      </c>
      <c r="Q884" s="27" t="s">
        <v>75</v>
      </c>
      <c r="R884" s="27">
        <v>45</v>
      </c>
      <c r="S884" s="27">
        <v>50</v>
      </c>
      <c r="T884" s="29">
        <v>75.2</v>
      </c>
      <c r="U884" s="29">
        <v>2.0499999999999998</v>
      </c>
      <c r="V884" s="29">
        <v>25.59</v>
      </c>
      <c r="W884" s="30">
        <v>12429.03</v>
      </c>
      <c r="X884" s="27">
        <v>8.73</v>
      </c>
      <c r="Y884" s="27" t="s">
        <v>66</v>
      </c>
      <c r="Z884" s="29">
        <v>19</v>
      </c>
      <c r="AA884" s="30">
        <v>20208.64</v>
      </c>
      <c r="AB884" s="29">
        <v>0.91149068322981397</v>
      </c>
      <c r="AC884" s="30">
        <v>16587.84</v>
      </c>
      <c r="AD884" s="30">
        <v>308.79577639751602</v>
      </c>
      <c r="AE884" s="27">
        <v>573</v>
      </c>
      <c r="AF884" s="29">
        <v>0.923211169284468</v>
      </c>
      <c r="AG884" s="30">
        <v>3312.0042236024801</v>
      </c>
      <c r="AH884" s="31">
        <f t="shared" si="209"/>
        <v>0.84293193717277481</v>
      </c>
      <c r="AI884" s="31">
        <f t="shared" si="210"/>
        <v>8.8509316770186336E-2</v>
      </c>
      <c r="AJ884" s="31">
        <f t="shared" si="211"/>
        <v>2.4844720496894408E-2</v>
      </c>
      <c r="AK884" s="31">
        <f t="shared" si="212"/>
        <v>0.91149068322981364</v>
      </c>
      <c r="AL884" s="29">
        <f t="shared" si="213"/>
        <v>0.73333333333333328</v>
      </c>
      <c r="AM884" s="29">
        <f t="shared" si="214"/>
        <v>529</v>
      </c>
      <c r="AN884" s="29">
        <f t="shared" si="215"/>
        <v>1.2173913043478262</v>
      </c>
      <c r="AO884" s="29">
        <f t="shared" si="216"/>
        <v>1.3333333333333333</v>
      </c>
      <c r="AP884" s="31">
        <f t="shared" si="217"/>
        <v>0.91304347826086962</v>
      </c>
      <c r="AQ884" s="31">
        <f t="shared" si="218"/>
        <v>0.91149068322981364</v>
      </c>
      <c r="AR884" s="31">
        <f t="shared" si="219"/>
        <v>0.7683246073298432</v>
      </c>
      <c r="AS884" s="29">
        <f t="shared" si="220"/>
        <v>25.757515527950311</v>
      </c>
      <c r="AT884" s="29">
        <f t="shared" si="221"/>
        <v>5.1428637012460872</v>
      </c>
      <c r="AU884" s="27" t="str">
        <f t="shared" si="222"/>
        <v>High</v>
      </c>
      <c r="AV884" s="27" t="str">
        <f t="shared" si="223"/>
        <v>Warning</v>
      </c>
      <c r="AW884" s="27"/>
    </row>
    <row r="885" spans="1:49" x14ac:dyDescent="0.25">
      <c r="A885" s="27">
        <v>884</v>
      </c>
      <c r="B885" s="28">
        <v>46109</v>
      </c>
      <c r="C885" s="28" t="str">
        <f t="shared" si="208"/>
        <v>March</v>
      </c>
      <c r="D885" s="27" t="s">
        <v>67</v>
      </c>
      <c r="E885" s="27" t="s">
        <v>61</v>
      </c>
      <c r="F885" s="27" t="s">
        <v>95</v>
      </c>
      <c r="G885" s="27" t="s">
        <v>78</v>
      </c>
      <c r="H885" s="27" t="s">
        <v>51</v>
      </c>
      <c r="I885" s="27" t="s">
        <v>1008</v>
      </c>
      <c r="J885" s="27" t="s">
        <v>191</v>
      </c>
      <c r="K885" s="27">
        <v>862</v>
      </c>
      <c r="L885" s="27">
        <v>702</v>
      </c>
      <c r="M885" s="27">
        <v>664</v>
      </c>
      <c r="N885" s="27">
        <v>38</v>
      </c>
      <c r="O885" s="27">
        <v>13</v>
      </c>
      <c r="P885" s="27">
        <v>30</v>
      </c>
      <c r="Q885" s="27" t="s">
        <v>82</v>
      </c>
      <c r="R885" s="27">
        <v>42</v>
      </c>
      <c r="S885" s="27">
        <v>42</v>
      </c>
      <c r="T885" s="29">
        <v>73.099999999999994</v>
      </c>
      <c r="U885" s="29">
        <v>1.57</v>
      </c>
      <c r="V885" s="29">
        <v>21.75</v>
      </c>
      <c r="W885" s="30">
        <v>13216.94</v>
      </c>
      <c r="X885" s="27">
        <v>6.97</v>
      </c>
      <c r="Y885" s="27" t="s">
        <v>55</v>
      </c>
      <c r="Z885" s="29">
        <v>37</v>
      </c>
      <c r="AA885" s="30">
        <v>20893.75</v>
      </c>
      <c r="AB885" s="29">
        <v>0.94586894586894599</v>
      </c>
      <c r="AC885" s="30">
        <v>16549.189999999999</v>
      </c>
      <c r="AD885" s="30">
        <v>244.758148148148</v>
      </c>
      <c r="AE885" s="27">
        <v>603.4</v>
      </c>
      <c r="AF885" s="29">
        <v>0.95028173682465999</v>
      </c>
      <c r="AG885" s="30">
        <v>4099.8018518518502</v>
      </c>
      <c r="AH885" s="31">
        <f t="shared" si="209"/>
        <v>0.81438515081206497</v>
      </c>
      <c r="AI885" s="31">
        <f t="shared" si="210"/>
        <v>5.4131054131054131E-2</v>
      </c>
      <c r="AJ885" s="31">
        <f t="shared" si="211"/>
        <v>1.8518518518518517E-2</v>
      </c>
      <c r="AK885" s="31">
        <f t="shared" si="212"/>
        <v>0.94586894586894588</v>
      </c>
      <c r="AL885" s="29">
        <f t="shared" si="213"/>
        <v>0.5</v>
      </c>
      <c r="AM885" s="29">
        <f t="shared" si="214"/>
        <v>573.4</v>
      </c>
      <c r="AN885" s="29">
        <f t="shared" si="215"/>
        <v>1.2242762469480293</v>
      </c>
      <c r="AO885" s="29">
        <f t="shared" si="216"/>
        <v>1.4285714285714286</v>
      </c>
      <c r="AP885" s="31">
        <f t="shared" si="217"/>
        <v>0.85699337286362043</v>
      </c>
      <c r="AQ885" s="31">
        <f t="shared" si="218"/>
        <v>0.94586894586894588</v>
      </c>
      <c r="AR885" s="31">
        <f t="shared" si="219"/>
        <v>0.77030162412993008</v>
      </c>
      <c r="AS885" s="29">
        <f t="shared" si="220"/>
        <v>23.574344729344727</v>
      </c>
      <c r="AT885" s="29">
        <f t="shared" si="221"/>
        <v>5.8401735781365387</v>
      </c>
      <c r="AU885" s="27" t="str">
        <f t="shared" si="222"/>
        <v>High</v>
      </c>
      <c r="AV885" s="27" t="str">
        <f t="shared" si="223"/>
        <v>Warning</v>
      </c>
      <c r="AW885" s="27"/>
    </row>
    <row r="886" spans="1:49" x14ac:dyDescent="0.25">
      <c r="A886" s="27">
        <v>885</v>
      </c>
      <c r="B886" s="28">
        <v>46152</v>
      </c>
      <c r="C886" s="28" t="str">
        <f t="shared" si="208"/>
        <v>May</v>
      </c>
      <c r="D886" s="27" t="s">
        <v>67</v>
      </c>
      <c r="E886" s="27" t="s">
        <v>129</v>
      </c>
      <c r="F886" s="27" t="s">
        <v>167</v>
      </c>
      <c r="G886" s="27" t="s">
        <v>63</v>
      </c>
      <c r="H886" s="27" t="s">
        <v>79</v>
      </c>
      <c r="I886" s="27" t="s">
        <v>1009</v>
      </c>
      <c r="J886" s="27" t="s">
        <v>90</v>
      </c>
      <c r="K886" s="27">
        <v>662</v>
      </c>
      <c r="L886" s="27">
        <v>584</v>
      </c>
      <c r="M886" s="27">
        <v>536</v>
      </c>
      <c r="N886" s="27">
        <v>48</v>
      </c>
      <c r="O886" s="27">
        <v>11</v>
      </c>
      <c r="P886" s="27">
        <v>31</v>
      </c>
      <c r="Q886" s="27" t="s">
        <v>82</v>
      </c>
      <c r="R886" s="27">
        <v>49</v>
      </c>
      <c r="S886" s="27">
        <v>53</v>
      </c>
      <c r="T886" s="29">
        <v>77.2</v>
      </c>
      <c r="U886" s="29">
        <v>1.46</v>
      </c>
      <c r="V886" s="29">
        <v>22.64</v>
      </c>
      <c r="W886" s="30">
        <v>13564.42</v>
      </c>
      <c r="X886" s="27">
        <v>6.55</v>
      </c>
      <c r="Y886" s="27" t="s">
        <v>66</v>
      </c>
      <c r="Z886" s="29">
        <v>7</v>
      </c>
      <c r="AA886" s="30">
        <v>20835.16</v>
      </c>
      <c r="AB886" s="29">
        <v>0.91780821917808197</v>
      </c>
      <c r="AC886" s="30">
        <v>16715.68</v>
      </c>
      <c r="AD886" s="30">
        <v>255.49421232876699</v>
      </c>
      <c r="AE886" s="27">
        <v>540.63333333333298</v>
      </c>
      <c r="AF886" s="29">
        <v>0.94265984339355102</v>
      </c>
      <c r="AG886" s="30">
        <v>3863.9857876712399</v>
      </c>
      <c r="AH886" s="31">
        <f t="shared" si="209"/>
        <v>0.8821752265861027</v>
      </c>
      <c r="AI886" s="31">
        <f t="shared" si="210"/>
        <v>8.2191780821917804E-2</v>
      </c>
      <c r="AJ886" s="31">
        <f t="shared" si="211"/>
        <v>1.8835616438356163E-2</v>
      </c>
      <c r="AK886" s="31">
        <f t="shared" si="212"/>
        <v>0.9178082191780822</v>
      </c>
      <c r="AL886" s="29">
        <f t="shared" si="213"/>
        <v>0.51666666666666672</v>
      </c>
      <c r="AM886" s="29">
        <f t="shared" si="214"/>
        <v>509.63333333333298</v>
      </c>
      <c r="AN886" s="29">
        <f t="shared" si="215"/>
        <v>1.1459219046373217</v>
      </c>
      <c r="AO886" s="29">
        <f t="shared" si="216"/>
        <v>1.2244897959183674</v>
      </c>
      <c r="AP886" s="31">
        <f t="shared" si="217"/>
        <v>0.93583622212047934</v>
      </c>
      <c r="AQ886" s="31">
        <f t="shared" si="218"/>
        <v>0.9178082191780822</v>
      </c>
      <c r="AR886" s="31">
        <f t="shared" si="219"/>
        <v>0.80966767371601278</v>
      </c>
      <c r="AS886" s="29">
        <f t="shared" si="220"/>
        <v>28.622739726027397</v>
      </c>
      <c r="AT886" s="29">
        <f t="shared" si="221"/>
        <v>6.6164140199850001</v>
      </c>
      <c r="AU886" s="27" t="str">
        <f t="shared" si="222"/>
        <v>Medium</v>
      </c>
      <c r="AV886" s="27" t="str">
        <f t="shared" si="223"/>
        <v>Warning</v>
      </c>
      <c r="AW886" s="27"/>
    </row>
    <row r="887" spans="1:49" x14ac:dyDescent="0.25">
      <c r="A887" s="27">
        <v>886</v>
      </c>
      <c r="B887" s="28">
        <v>46045</v>
      </c>
      <c r="C887" s="28" t="str">
        <f t="shared" si="208"/>
        <v>January</v>
      </c>
      <c r="D887" s="27" t="s">
        <v>67</v>
      </c>
      <c r="E887" s="27" t="s">
        <v>76</v>
      </c>
      <c r="F887" s="27" t="s">
        <v>113</v>
      </c>
      <c r="G887" s="27" t="s">
        <v>63</v>
      </c>
      <c r="H887" s="27" t="s">
        <v>51</v>
      </c>
      <c r="I887" s="27" t="s">
        <v>1010</v>
      </c>
      <c r="J887" s="27" t="s">
        <v>150</v>
      </c>
      <c r="K887" s="27">
        <v>796</v>
      </c>
      <c r="L887" s="27">
        <v>728</v>
      </c>
      <c r="M887" s="27">
        <v>693</v>
      </c>
      <c r="N887" s="27">
        <v>35</v>
      </c>
      <c r="O887" s="27">
        <v>12</v>
      </c>
      <c r="P887" s="27">
        <v>29</v>
      </c>
      <c r="Q887" s="27" t="s">
        <v>82</v>
      </c>
      <c r="R887" s="27">
        <v>42</v>
      </c>
      <c r="S887" s="27">
        <v>40</v>
      </c>
      <c r="T887" s="29">
        <v>67.5</v>
      </c>
      <c r="U887" s="29">
        <v>2.0099999999999998</v>
      </c>
      <c r="V887" s="29">
        <v>29.77</v>
      </c>
      <c r="W887" s="30">
        <v>13128.7</v>
      </c>
      <c r="X887" s="27">
        <v>7.3</v>
      </c>
      <c r="Y887" s="27" t="s">
        <v>66</v>
      </c>
      <c r="Z887" s="29">
        <v>27</v>
      </c>
      <c r="AA887" s="30">
        <v>22684.68</v>
      </c>
      <c r="AB887" s="29">
        <v>0.95192307692307698</v>
      </c>
      <c r="AC887" s="30">
        <v>16681.63</v>
      </c>
      <c r="AD887" s="30">
        <v>216.40714285714299</v>
      </c>
      <c r="AE887" s="27">
        <v>557.20000000000005</v>
      </c>
      <c r="AF887" s="29">
        <v>0.94795405599425697</v>
      </c>
      <c r="AG887" s="30">
        <v>5786.6428571428596</v>
      </c>
      <c r="AH887" s="31">
        <f t="shared" si="209"/>
        <v>0.914572864321608</v>
      </c>
      <c r="AI887" s="31">
        <f t="shared" si="210"/>
        <v>4.807692307692308E-2</v>
      </c>
      <c r="AJ887" s="31">
        <f t="shared" si="211"/>
        <v>1.6483516483516484E-2</v>
      </c>
      <c r="AK887" s="31">
        <f t="shared" si="212"/>
        <v>0.95192307692307687</v>
      </c>
      <c r="AL887" s="29">
        <f t="shared" si="213"/>
        <v>0.48333333333333334</v>
      </c>
      <c r="AM887" s="29">
        <f t="shared" si="214"/>
        <v>528.20000000000005</v>
      </c>
      <c r="AN887" s="29">
        <f t="shared" si="215"/>
        <v>1.3782658084059067</v>
      </c>
      <c r="AO887" s="29">
        <f t="shared" si="216"/>
        <v>1.4285714285714286</v>
      </c>
      <c r="AP887" s="31">
        <f t="shared" si="217"/>
        <v>0.96478606588413474</v>
      </c>
      <c r="AQ887" s="31">
        <f t="shared" si="218"/>
        <v>0.95192307692307687</v>
      </c>
      <c r="AR887" s="31">
        <f t="shared" si="219"/>
        <v>0.87060301507537685</v>
      </c>
      <c r="AS887" s="29">
        <f t="shared" si="220"/>
        <v>22.914326923076924</v>
      </c>
      <c r="AT887" s="29">
        <f t="shared" si="221"/>
        <v>7.9486852433281037</v>
      </c>
      <c r="AU887" s="27" t="str">
        <f t="shared" si="222"/>
        <v>Low</v>
      </c>
      <c r="AV887" s="27" t="str">
        <f t="shared" si="223"/>
        <v>Normal</v>
      </c>
      <c r="AW887" s="27"/>
    </row>
    <row r="888" spans="1:49" x14ac:dyDescent="0.25">
      <c r="A888" s="27">
        <v>887</v>
      </c>
      <c r="B888" s="28">
        <v>46031</v>
      </c>
      <c r="C888" s="28" t="str">
        <f t="shared" si="208"/>
        <v>January</v>
      </c>
      <c r="D888" s="27" t="s">
        <v>67</v>
      </c>
      <c r="E888" s="27" t="s">
        <v>48</v>
      </c>
      <c r="F888" s="27" t="s">
        <v>72</v>
      </c>
      <c r="G888" s="27" t="s">
        <v>63</v>
      </c>
      <c r="H888" s="27" t="s">
        <v>79</v>
      </c>
      <c r="I888" s="27" t="s">
        <v>1011</v>
      </c>
      <c r="J888" s="27" t="s">
        <v>74</v>
      </c>
      <c r="K888" s="27">
        <v>880</v>
      </c>
      <c r="L888" s="27">
        <v>818</v>
      </c>
      <c r="M888" s="27">
        <v>789</v>
      </c>
      <c r="N888" s="27">
        <v>29</v>
      </c>
      <c r="O888" s="27">
        <v>6</v>
      </c>
      <c r="P888" s="27">
        <v>27</v>
      </c>
      <c r="Q888" s="27" t="s">
        <v>104</v>
      </c>
      <c r="R888" s="27">
        <v>49</v>
      </c>
      <c r="S888" s="27">
        <v>48</v>
      </c>
      <c r="T888" s="29">
        <v>66.900000000000006</v>
      </c>
      <c r="U888" s="29">
        <v>2.29</v>
      </c>
      <c r="V888" s="29">
        <v>32.119999999999997</v>
      </c>
      <c r="W888" s="30">
        <v>18833.580000000002</v>
      </c>
      <c r="X888" s="27">
        <v>8.15</v>
      </c>
      <c r="Y888" s="27" t="s">
        <v>66</v>
      </c>
      <c r="Z888" s="29">
        <v>37</v>
      </c>
      <c r="AA888" s="30">
        <v>29588.41</v>
      </c>
      <c r="AB888" s="29">
        <v>0.96454767726161394</v>
      </c>
      <c r="AC888" s="30">
        <v>22790.16</v>
      </c>
      <c r="AD888" s="30">
        <v>138.14361858190699</v>
      </c>
      <c r="AE888" s="27">
        <v>718.66666666666697</v>
      </c>
      <c r="AF888" s="29">
        <v>0.96243042671614099</v>
      </c>
      <c r="AG888" s="30">
        <v>6660.1063814180898</v>
      </c>
      <c r="AH888" s="31">
        <f t="shared" si="209"/>
        <v>0.92954545454545456</v>
      </c>
      <c r="AI888" s="31">
        <f t="shared" si="210"/>
        <v>3.5452322738386305E-2</v>
      </c>
      <c r="AJ888" s="31">
        <f t="shared" si="211"/>
        <v>7.3349633251833741E-3</v>
      </c>
      <c r="AK888" s="31">
        <f t="shared" si="212"/>
        <v>0.96454767726161372</v>
      </c>
      <c r="AL888" s="29">
        <f t="shared" si="213"/>
        <v>0.45</v>
      </c>
      <c r="AM888" s="29">
        <f t="shared" si="214"/>
        <v>691.66666666666697</v>
      </c>
      <c r="AN888" s="29">
        <f t="shared" si="215"/>
        <v>1.1826506024096379</v>
      </c>
      <c r="AO888" s="29">
        <f t="shared" si="216"/>
        <v>1.2244897959183674</v>
      </c>
      <c r="AP888" s="31">
        <f t="shared" si="217"/>
        <v>0.9658313253012043</v>
      </c>
      <c r="AQ888" s="31">
        <f t="shared" si="218"/>
        <v>0.96454767726161372</v>
      </c>
      <c r="AR888" s="31">
        <f t="shared" si="219"/>
        <v>0.89659090909090855</v>
      </c>
      <c r="AS888" s="29">
        <f t="shared" si="220"/>
        <v>27.860831295843521</v>
      </c>
      <c r="AT888" s="29">
        <f t="shared" si="221"/>
        <v>8.141939341586907</v>
      </c>
      <c r="AU888" s="27" t="str">
        <f t="shared" si="222"/>
        <v>Medium</v>
      </c>
      <c r="AV888" s="27" t="str">
        <f t="shared" si="223"/>
        <v>Normal</v>
      </c>
      <c r="AW888" s="27"/>
    </row>
    <row r="889" spans="1:49" x14ac:dyDescent="0.25">
      <c r="A889" s="27">
        <v>888</v>
      </c>
      <c r="B889" s="28">
        <v>46043</v>
      </c>
      <c r="C889" s="28" t="str">
        <f t="shared" si="208"/>
        <v>January</v>
      </c>
      <c r="D889" s="27" t="s">
        <v>47</v>
      </c>
      <c r="E889" s="27" t="s">
        <v>76</v>
      </c>
      <c r="F889" s="27" t="s">
        <v>119</v>
      </c>
      <c r="G889" s="27" t="s">
        <v>63</v>
      </c>
      <c r="H889" s="27" t="s">
        <v>124</v>
      </c>
      <c r="I889" s="27" t="s">
        <v>1012</v>
      </c>
      <c r="J889" s="27" t="s">
        <v>226</v>
      </c>
      <c r="K889" s="27">
        <v>575</v>
      </c>
      <c r="L889" s="27">
        <v>583</v>
      </c>
      <c r="M889" s="27">
        <v>526</v>
      </c>
      <c r="N889" s="27">
        <v>57</v>
      </c>
      <c r="O889" s="27">
        <v>13</v>
      </c>
      <c r="P889" s="27">
        <v>15</v>
      </c>
      <c r="Q889" s="27" t="s">
        <v>75</v>
      </c>
      <c r="R889" s="27">
        <v>57</v>
      </c>
      <c r="S889" s="27">
        <v>63</v>
      </c>
      <c r="T889" s="29">
        <v>69</v>
      </c>
      <c r="U889" s="29">
        <v>2.0099999999999998</v>
      </c>
      <c r="V889" s="29">
        <v>21.12</v>
      </c>
      <c r="W889" s="30">
        <v>16701.669999999998</v>
      </c>
      <c r="X889" s="27">
        <v>9.83</v>
      </c>
      <c r="Y889" s="27" t="s">
        <v>71</v>
      </c>
      <c r="Z889" s="29">
        <v>1</v>
      </c>
      <c r="AA889" s="30">
        <v>23505.06</v>
      </c>
      <c r="AB889" s="29">
        <v>0.902229845626072</v>
      </c>
      <c r="AC889" s="30">
        <v>21315.25</v>
      </c>
      <c r="AD889" s="30">
        <v>372.42145797598602</v>
      </c>
      <c r="AE889" s="27">
        <v>546.25</v>
      </c>
      <c r="AF889" s="29">
        <v>0.97254004576659003</v>
      </c>
      <c r="AG889" s="30">
        <v>1817.3885420240199</v>
      </c>
      <c r="AH889" s="31">
        <f t="shared" si="209"/>
        <v>1.0139130434782608</v>
      </c>
      <c r="AI889" s="31">
        <f t="shared" si="210"/>
        <v>9.7770154373927956E-2</v>
      </c>
      <c r="AJ889" s="31">
        <f t="shared" si="211"/>
        <v>2.2298456260720412E-2</v>
      </c>
      <c r="AK889" s="31">
        <f t="shared" si="212"/>
        <v>0.902229845626072</v>
      </c>
      <c r="AL889" s="29">
        <f t="shared" si="213"/>
        <v>0.25</v>
      </c>
      <c r="AM889" s="29">
        <f t="shared" si="214"/>
        <v>531.25</v>
      </c>
      <c r="AN889" s="29">
        <f t="shared" si="215"/>
        <v>1.0974117647058823</v>
      </c>
      <c r="AO889" s="29">
        <f t="shared" si="216"/>
        <v>1.0526315789473684</v>
      </c>
      <c r="AP889" s="31">
        <f t="shared" si="217"/>
        <v>1.0425411764705883</v>
      </c>
      <c r="AQ889" s="31">
        <f t="shared" si="218"/>
        <v>0.902229845626072</v>
      </c>
      <c r="AR889" s="31">
        <f t="shared" si="219"/>
        <v>0.91478260869565187</v>
      </c>
      <c r="AS889" s="29">
        <f t="shared" si="220"/>
        <v>36.561320754716981</v>
      </c>
      <c r="AT889" s="29">
        <f t="shared" si="221"/>
        <v>3.1173045317736192</v>
      </c>
      <c r="AU889" s="27" t="str">
        <f t="shared" si="222"/>
        <v>High</v>
      </c>
      <c r="AV889" s="27" t="str">
        <f t="shared" si="223"/>
        <v>Warning</v>
      </c>
      <c r="AW889" s="27"/>
    </row>
    <row r="890" spans="1:49" x14ac:dyDescent="0.25">
      <c r="A890" s="27">
        <v>889</v>
      </c>
      <c r="B890" s="28">
        <v>46103</v>
      </c>
      <c r="C890" s="28" t="str">
        <f t="shared" si="208"/>
        <v>March</v>
      </c>
      <c r="D890" s="27" t="s">
        <v>67</v>
      </c>
      <c r="E890" s="27" t="s">
        <v>48</v>
      </c>
      <c r="F890" s="27" t="s">
        <v>49</v>
      </c>
      <c r="G890" s="27" t="s">
        <v>63</v>
      </c>
      <c r="H890" s="27" t="s">
        <v>124</v>
      </c>
      <c r="I890" s="27" t="s">
        <v>1013</v>
      </c>
      <c r="J890" s="27" t="s">
        <v>153</v>
      </c>
      <c r="K890" s="27">
        <v>732</v>
      </c>
      <c r="L890" s="27">
        <v>655</v>
      </c>
      <c r="M890" s="27">
        <v>627</v>
      </c>
      <c r="N890" s="27">
        <v>28</v>
      </c>
      <c r="O890" s="27">
        <v>8</v>
      </c>
      <c r="P890" s="27">
        <v>24</v>
      </c>
      <c r="Q890" s="27" t="s">
        <v>82</v>
      </c>
      <c r="R890" s="27">
        <v>57</v>
      </c>
      <c r="S890" s="27">
        <v>58</v>
      </c>
      <c r="T890" s="29">
        <v>70.099999999999994</v>
      </c>
      <c r="U890" s="29">
        <v>2.5</v>
      </c>
      <c r="V890" s="29">
        <v>21.74</v>
      </c>
      <c r="W890" s="30">
        <v>18579.97</v>
      </c>
      <c r="X890" s="27">
        <v>7.63</v>
      </c>
      <c r="Y890" s="27" t="s">
        <v>55</v>
      </c>
      <c r="Z890" s="29">
        <v>15</v>
      </c>
      <c r="AA890" s="30">
        <v>29587.74</v>
      </c>
      <c r="AB890" s="29">
        <v>0.95725190839694696</v>
      </c>
      <c r="AC890" s="30">
        <v>22209.13</v>
      </c>
      <c r="AD890" s="30">
        <v>226.93093129771</v>
      </c>
      <c r="AE890" s="27">
        <v>695.4</v>
      </c>
      <c r="AF890" s="29">
        <v>0.96548748921483996</v>
      </c>
      <c r="AG890" s="30">
        <v>7151.6790687022904</v>
      </c>
      <c r="AH890" s="31">
        <f t="shared" si="209"/>
        <v>0.89480874316939896</v>
      </c>
      <c r="AI890" s="31">
        <f t="shared" si="210"/>
        <v>4.2748091603053436E-2</v>
      </c>
      <c r="AJ890" s="31">
        <f t="shared" si="211"/>
        <v>1.2213740458015267E-2</v>
      </c>
      <c r="AK890" s="31">
        <f t="shared" si="212"/>
        <v>0.95725190839694652</v>
      </c>
      <c r="AL890" s="29">
        <f t="shared" si="213"/>
        <v>0.4</v>
      </c>
      <c r="AM890" s="29">
        <f t="shared" si="214"/>
        <v>671.4</v>
      </c>
      <c r="AN890" s="29">
        <f t="shared" si="215"/>
        <v>0.97557342865653862</v>
      </c>
      <c r="AO890" s="29">
        <f t="shared" si="216"/>
        <v>1.0526315789473684</v>
      </c>
      <c r="AP890" s="31">
        <f t="shared" si="217"/>
        <v>0.92679475722371174</v>
      </c>
      <c r="AQ890" s="31">
        <f t="shared" si="218"/>
        <v>0.95725190839694652</v>
      </c>
      <c r="AR890" s="31">
        <f t="shared" si="219"/>
        <v>0.85655737704918</v>
      </c>
      <c r="AS890" s="29">
        <f t="shared" si="220"/>
        <v>33.907068702290076</v>
      </c>
      <c r="AT890" s="29">
        <f t="shared" si="221"/>
        <v>10.918593998018764</v>
      </c>
      <c r="AU890" s="27" t="str">
        <f t="shared" si="222"/>
        <v>Low</v>
      </c>
      <c r="AV890" s="27" t="str">
        <f t="shared" si="223"/>
        <v>Normal</v>
      </c>
      <c r="AW890" s="27"/>
    </row>
    <row r="891" spans="1:49" x14ac:dyDescent="0.25">
      <c r="A891" s="27">
        <v>890</v>
      </c>
      <c r="B891" s="28">
        <v>46196</v>
      </c>
      <c r="C891" s="28" t="str">
        <f t="shared" si="208"/>
        <v>June</v>
      </c>
      <c r="D891" s="27" t="s">
        <v>47</v>
      </c>
      <c r="E891" s="27" t="s">
        <v>61</v>
      </c>
      <c r="F891" s="27" t="s">
        <v>88</v>
      </c>
      <c r="G891" s="27" t="s">
        <v>78</v>
      </c>
      <c r="H891" s="27" t="s">
        <v>124</v>
      </c>
      <c r="I891" s="27" t="s">
        <v>1014</v>
      </c>
      <c r="J891" s="27" t="s">
        <v>134</v>
      </c>
      <c r="K891" s="27">
        <v>716</v>
      </c>
      <c r="L891" s="27">
        <v>678</v>
      </c>
      <c r="M891" s="27">
        <v>648</v>
      </c>
      <c r="N891" s="27">
        <v>30</v>
      </c>
      <c r="O891" s="27">
        <v>8</v>
      </c>
      <c r="P891" s="27">
        <v>23</v>
      </c>
      <c r="Q891" s="27" t="s">
        <v>97</v>
      </c>
      <c r="R891" s="27">
        <v>57</v>
      </c>
      <c r="S891" s="27">
        <v>63</v>
      </c>
      <c r="T891" s="29">
        <v>77.3</v>
      </c>
      <c r="U891" s="29">
        <v>1.81</v>
      </c>
      <c r="V891" s="29">
        <v>23.45</v>
      </c>
      <c r="W891" s="30">
        <v>17982.89</v>
      </c>
      <c r="X891" s="27">
        <v>9.33</v>
      </c>
      <c r="Y891" s="27" t="s">
        <v>55</v>
      </c>
      <c r="Z891" s="29">
        <v>10</v>
      </c>
      <c r="AA891" s="30">
        <v>29732.06</v>
      </c>
      <c r="AB891" s="29">
        <v>0.95575221238938102</v>
      </c>
      <c r="AC891" s="30">
        <v>22392.44</v>
      </c>
      <c r="AD891" s="30">
        <v>212.187492625369</v>
      </c>
      <c r="AE891" s="27">
        <v>680.2</v>
      </c>
      <c r="AF891" s="29">
        <v>0.96618641576007103</v>
      </c>
      <c r="AG891" s="30">
        <v>7127.4325073746304</v>
      </c>
      <c r="AH891" s="31">
        <f t="shared" si="209"/>
        <v>0.94692737430167595</v>
      </c>
      <c r="AI891" s="31">
        <f t="shared" si="210"/>
        <v>4.4247787610619468E-2</v>
      </c>
      <c r="AJ891" s="31">
        <f t="shared" si="211"/>
        <v>1.1799410029498525E-2</v>
      </c>
      <c r="AK891" s="31">
        <f t="shared" si="212"/>
        <v>0.95575221238938057</v>
      </c>
      <c r="AL891" s="29">
        <f t="shared" si="213"/>
        <v>0.38333333333333336</v>
      </c>
      <c r="AM891" s="29">
        <f t="shared" si="214"/>
        <v>657.2</v>
      </c>
      <c r="AN891" s="29">
        <f t="shared" si="215"/>
        <v>1.0316494217894094</v>
      </c>
      <c r="AO891" s="29">
        <f t="shared" si="216"/>
        <v>1.0526315789473684</v>
      </c>
      <c r="AP891" s="31">
        <f t="shared" si="217"/>
        <v>0.98006695069993899</v>
      </c>
      <c r="AQ891" s="31">
        <f t="shared" si="218"/>
        <v>0.95575221238938057</v>
      </c>
      <c r="AR891" s="31">
        <f t="shared" si="219"/>
        <v>0.90502793296089423</v>
      </c>
      <c r="AS891" s="29">
        <f t="shared" si="220"/>
        <v>33.02719764011799</v>
      </c>
      <c r="AT891" s="29">
        <f t="shared" si="221"/>
        <v>10.512437326511254</v>
      </c>
      <c r="AU891" s="27" t="str">
        <f t="shared" si="222"/>
        <v>Low</v>
      </c>
      <c r="AV891" s="27" t="str">
        <f t="shared" si="223"/>
        <v>Normal</v>
      </c>
      <c r="AW891" s="27"/>
    </row>
    <row r="892" spans="1:49" x14ac:dyDescent="0.25">
      <c r="A892" s="27">
        <v>891</v>
      </c>
      <c r="B892" s="28">
        <v>46024</v>
      </c>
      <c r="C892" s="28" t="str">
        <f t="shared" si="208"/>
        <v>January</v>
      </c>
      <c r="D892" s="27" t="s">
        <v>67</v>
      </c>
      <c r="E892" s="27" t="s">
        <v>129</v>
      </c>
      <c r="F892" s="27" t="s">
        <v>130</v>
      </c>
      <c r="G892" s="27" t="s">
        <v>50</v>
      </c>
      <c r="H892" s="27" t="s">
        <v>79</v>
      </c>
      <c r="I892" s="27" t="s">
        <v>1015</v>
      </c>
      <c r="J892" s="27" t="s">
        <v>143</v>
      </c>
      <c r="K892" s="27">
        <v>700</v>
      </c>
      <c r="L892" s="27">
        <v>597</v>
      </c>
      <c r="M892" s="27">
        <v>509</v>
      </c>
      <c r="N892" s="27">
        <v>88</v>
      </c>
      <c r="O892" s="27">
        <v>37</v>
      </c>
      <c r="P892" s="27">
        <v>17</v>
      </c>
      <c r="Q892" s="27" t="s">
        <v>54</v>
      </c>
      <c r="R892" s="27">
        <v>49</v>
      </c>
      <c r="S892" s="27">
        <v>55</v>
      </c>
      <c r="T892" s="29">
        <v>77.5</v>
      </c>
      <c r="U892" s="29">
        <v>3.54</v>
      </c>
      <c r="V892" s="29">
        <v>21.48</v>
      </c>
      <c r="W892" s="30">
        <v>13289.74</v>
      </c>
      <c r="X892" s="27">
        <v>6.32</v>
      </c>
      <c r="Y892" s="27" t="s">
        <v>110</v>
      </c>
      <c r="Z892" s="29">
        <v>46</v>
      </c>
      <c r="AA892" s="30">
        <v>19386.810000000001</v>
      </c>
      <c r="AB892" s="29">
        <v>0.85259631490787302</v>
      </c>
      <c r="AC892" s="30">
        <v>16327.06</v>
      </c>
      <c r="AD892" s="30">
        <v>823.65222780569502</v>
      </c>
      <c r="AE892" s="27">
        <v>571.66666666666697</v>
      </c>
      <c r="AF892" s="29">
        <v>0.97026239067055398</v>
      </c>
      <c r="AG892" s="30">
        <v>2236.09777219431</v>
      </c>
      <c r="AH892" s="31">
        <f t="shared" si="209"/>
        <v>0.85285714285714287</v>
      </c>
      <c r="AI892" s="31">
        <f t="shared" si="210"/>
        <v>0.14740368509212731</v>
      </c>
      <c r="AJ892" s="31">
        <f t="shared" si="211"/>
        <v>6.1976549413735343E-2</v>
      </c>
      <c r="AK892" s="31">
        <f t="shared" si="212"/>
        <v>0.85259631490787269</v>
      </c>
      <c r="AL892" s="29">
        <f t="shared" si="213"/>
        <v>0.28333333333333333</v>
      </c>
      <c r="AM892" s="29">
        <f t="shared" si="214"/>
        <v>554.66666666666697</v>
      </c>
      <c r="AN892" s="29">
        <f t="shared" si="215"/>
        <v>1.0763221153846148</v>
      </c>
      <c r="AO892" s="29">
        <f t="shared" si="216"/>
        <v>1.2244897959183674</v>
      </c>
      <c r="AP892" s="31">
        <f t="shared" si="217"/>
        <v>0.8789963942307687</v>
      </c>
      <c r="AQ892" s="31">
        <f t="shared" si="218"/>
        <v>0.85259631490787269</v>
      </c>
      <c r="AR892" s="31">
        <f t="shared" si="219"/>
        <v>0.72714285714285676</v>
      </c>
      <c r="AS892" s="29">
        <f t="shared" si="220"/>
        <v>27.348509212730317</v>
      </c>
      <c r="AT892" s="29">
        <f t="shared" si="221"/>
        <v>3.7455574073606535</v>
      </c>
      <c r="AU892" s="27" t="str">
        <f t="shared" si="222"/>
        <v>High</v>
      </c>
      <c r="AV892" s="27" t="str">
        <f t="shared" si="223"/>
        <v>Critical</v>
      </c>
      <c r="AW892" s="27"/>
    </row>
    <row r="893" spans="1:49" x14ac:dyDescent="0.25">
      <c r="A893" s="27">
        <v>892</v>
      </c>
      <c r="B893" s="28">
        <v>46071</v>
      </c>
      <c r="C893" s="28" t="str">
        <f t="shared" si="208"/>
        <v>February</v>
      </c>
      <c r="D893" s="27" t="s">
        <v>47</v>
      </c>
      <c r="E893" s="27" t="s">
        <v>129</v>
      </c>
      <c r="F893" s="27" t="s">
        <v>151</v>
      </c>
      <c r="G893" s="27" t="s">
        <v>78</v>
      </c>
      <c r="H893" s="27" t="s">
        <v>124</v>
      </c>
      <c r="I893" s="27" t="s">
        <v>1016</v>
      </c>
      <c r="J893" s="27" t="s">
        <v>109</v>
      </c>
      <c r="K893" s="27">
        <v>579</v>
      </c>
      <c r="L893" s="27">
        <v>496</v>
      </c>
      <c r="M893" s="27">
        <v>468</v>
      </c>
      <c r="N893" s="27">
        <v>28</v>
      </c>
      <c r="O893" s="27">
        <v>11</v>
      </c>
      <c r="P893" s="27">
        <v>0</v>
      </c>
      <c r="Q893" s="27" t="s">
        <v>60</v>
      </c>
      <c r="R893" s="27">
        <v>57</v>
      </c>
      <c r="S893" s="27">
        <v>62</v>
      </c>
      <c r="T893" s="29">
        <v>72</v>
      </c>
      <c r="U893" s="29">
        <v>2.2200000000000002</v>
      </c>
      <c r="V893" s="29">
        <v>18.260000000000002</v>
      </c>
      <c r="W893" s="30">
        <v>13584.2</v>
      </c>
      <c r="X893" s="27">
        <v>7.69</v>
      </c>
      <c r="Y893" s="27" t="s">
        <v>66</v>
      </c>
      <c r="Z893" s="29">
        <v>40</v>
      </c>
      <c r="AA893" s="30">
        <v>21530.58</v>
      </c>
      <c r="AB893" s="29">
        <v>0.94354838709677402</v>
      </c>
      <c r="AC893" s="30">
        <v>17209.04</v>
      </c>
      <c r="AD893" s="30">
        <v>301.26249999999999</v>
      </c>
      <c r="AE893" s="27">
        <v>550.04999999999995</v>
      </c>
      <c r="AF893" s="29">
        <v>1</v>
      </c>
      <c r="AG893" s="30">
        <v>4020.2775000000001</v>
      </c>
      <c r="AH893" s="31">
        <f t="shared" si="209"/>
        <v>0.85664939550949915</v>
      </c>
      <c r="AI893" s="31">
        <f t="shared" si="210"/>
        <v>5.6451612903225805E-2</v>
      </c>
      <c r="AJ893" s="31">
        <f t="shared" si="211"/>
        <v>2.2177419354838711E-2</v>
      </c>
      <c r="AK893" s="31">
        <f t="shared" si="212"/>
        <v>0.94354838709677424</v>
      </c>
      <c r="AL893" s="29">
        <f t="shared" si="213"/>
        <v>0</v>
      </c>
      <c r="AM893" s="29">
        <f t="shared" si="214"/>
        <v>550.04999999999995</v>
      </c>
      <c r="AN893" s="29">
        <f t="shared" si="215"/>
        <v>0.90173620579947289</v>
      </c>
      <c r="AO893" s="29">
        <f t="shared" si="216"/>
        <v>1.0526315789473684</v>
      </c>
      <c r="AP893" s="31">
        <f t="shared" si="217"/>
        <v>0.85664939550949926</v>
      </c>
      <c r="AQ893" s="31">
        <f t="shared" si="218"/>
        <v>0.94354838709677424</v>
      </c>
      <c r="AR893" s="31">
        <f t="shared" si="219"/>
        <v>0.80829015544041471</v>
      </c>
      <c r="AS893" s="29">
        <f t="shared" si="220"/>
        <v>34.695645161290322</v>
      </c>
      <c r="AT893" s="29">
        <f t="shared" si="221"/>
        <v>8.105398185483871</v>
      </c>
      <c r="AU893" s="27" t="str">
        <f t="shared" si="222"/>
        <v>Medium</v>
      </c>
      <c r="AV893" s="27" t="str">
        <f t="shared" si="223"/>
        <v>Warning</v>
      </c>
      <c r="AW893" s="27"/>
    </row>
    <row r="894" spans="1:49" x14ac:dyDescent="0.25">
      <c r="A894" s="27">
        <v>893</v>
      </c>
      <c r="B894" s="28">
        <v>46024</v>
      </c>
      <c r="C894" s="28" t="str">
        <f t="shared" si="208"/>
        <v>January</v>
      </c>
      <c r="D894" s="27" t="s">
        <v>67</v>
      </c>
      <c r="E894" s="27" t="s">
        <v>61</v>
      </c>
      <c r="F894" s="27" t="s">
        <v>95</v>
      </c>
      <c r="G894" s="27" t="s">
        <v>50</v>
      </c>
      <c r="H894" s="27" t="s">
        <v>51</v>
      </c>
      <c r="I894" s="27" t="s">
        <v>1017</v>
      </c>
      <c r="J894" s="27" t="s">
        <v>197</v>
      </c>
      <c r="K894" s="27">
        <v>895</v>
      </c>
      <c r="L894" s="27">
        <v>1026</v>
      </c>
      <c r="M894" s="27">
        <v>962</v>
      </c>
      <c r="N894" s="27">
        <v>64</v>
      </c>
      <c r="O894" s="27">
        <v>22</v>
      </c>
      <c r="P894" s="27">
        <v>16</v>
      </c>
      <c r="Q894" s="27" t="s">
        <v>91</v>
      </c>
      <c r="R894" s="27">
        <v>42</v>
      </c>
      <c r="S894" s="27">
        <v>46</v>
      </c>
      <c r="T894" s="29">
        <v>76.400000000000006</v>
      </c>
      <c r="U894" s="29">
        <v>2.06</v>
      </c>
      <c r="V894" s="29">
        <v>41.73</v>
      </c>
      <c r="W894" s="30">
        <v>18054.32</v>
      </c>
      <c r="X894" s="27">
        <v>8.26</v>
      </c>
      <c r="Y894" s="27" t="s">
        <v>110</v>
      </c>
      <c r="Z894" s="29">
        <v>1</v>
      </c>
      <c r="AA894" s="30">
        <v>31291.4</v>
      </c>
      <c r="AB894" s="29">
        <v>0.93762183235867502</v>
      </c>
      <c r="AC894" s="30">
        <v>22146.89</v>
      </c>
      <c r="AD894" s="30">
        <v>387.12966861598397</v>
      </c>
      <c r="AE894" s="27">
        <v>626.5</v>
      </c>
      <c r="AF894" s="29">
        <v>0.97446129289704697</v>
      </c>
      <c r="AG894" s="30">
        <v>8757.3803313840199</v>
      </c>
      <c r="AH894" s="31">
        <f t="shared" si="209"/>
        <v>1.1463687150837989</v>
      </c>
      <c r="AI894" s="31">
        <f t="shared" si="210"/>
        <v>6.2378167641325533E-2</v>
      </c>
      <c r="AJ894" s="31">
        <f t="shared" si="211"/>
        <v>2.1442495126705652E-2</v>
      </c>
      <c r="AK894" s="31">
        <f t="shared" si="212"/>
        <v>0.93762183235867447</v>
      </c>
      <c r="AL894" s="29">
        <f t="shared" si="213"/>
        <v>0.26666666666666666</v>
      </c>
      <c r="AM894" s="29">
        <f t="shared" si="214"/>
        <v>610.5</v>
      </c>
      <c r="AN894" s="29">
        <f t="shared" si="215"/>
        <v>1.6805896805896805</v>
      </c>
      <c r="AO894" s="29">
        <f t="shared" si="216"/>
        <v>1.4285714285714286</v>
      </c>
      <c r="AP894" s="31">
        <f t="shared" si="217"/>
        <v>1.1764127764127763</v>
      </c>
      <c r="AQ894" s="31">
        <f t="shared" si="218"/>
        <v>0.93762183235867447</v>
      </c>
      <c r="AR894" s="31">
        <f t="shared" si="219"/>
        <v>1.0748603351955306</v>
      </c>
      <c r="AS894" s="29">
        <f t="shared" si="220"/>
        <v>21.585662768031188</v>
      </c>
      <c r="AT894" s="29">
        <f t="shared" si="221"/>
        <v>8.5354584126549895</v>
      </c>
      <c r="AU894" s="27" t="str">
        <f t="shared" si="222"/>
        <v>Medium</v>
      </c>
      <c r="AV894" s="27" t="str">
        <f t="shared" si="223"/>
        <v>Normal</v>
      </c>
      <c r="AW894" s="27"/>
    </row>
    <row r="895" spans="1:49" x14ac:dyDescent="0.25">
      <c r="A895" s="27">
        <v>894</v>
      </c>
      <c r="B895" s="28">
        <v>46052</v>
      </c>
      <c r="C895" s="28" t="str">
        <f t="shared" si="208"/>
        <v>January</v>
      </c>
      <c r="D895" s="27" t="s">
        <v>67</v>
      </c>
      <c r="E895" s="27" t="s">
        <v>48</v>
      </c>
      <c r="F895" s="27" t="s">
        <v>49</v>
      </c>
      <c r="G895" s="27" t="s">
        <v>78</v>
      </c>
      <c r="H895" s="27" t="s">
        <v>79</v>
      </c>
      <c r="I895" s="27" t="s">
        <v>1018</v>
      </c>
      <c r="J895" s="27" t="s">
        <v>121</v>
      </c>
      <c r="K895" s="27">
        <v>641</v>
      </c>
      <c r="L895" s="27">
        <v>550</v>
      </c>
      <c r="M895" s="27">
        <v>517</v>
      </c>
      <c r="N895" s="27">
        <v>33</v>
      </c>
      <c r="O895" s="27">
        <v>10</v>
      </c>
      <c r="P895" s="27">
        <v>34</v>
      </c>
      <c r="Q895" s="27" t="s">
        <v>102</v>
      </c>
      <c r="R895" s="27">
        <v>49</v>
      </c>
      <c r="S895" s="27">
        <v>49</v>
      </c>
      <c r="T895" s="29">
        <v>65.599999999999994</v>
      </c>
      <c r="U895" s="29">
        <v>1.36</v>
      </c>
      <c r="V895" s="29">
        <v>20.18</v>
      </c>
      <c r="W895" s="30">
        <v>12246.13</v>
      </c>
      <c r="X895" s="27">
        <v>7.35</v>
      </c>
      <c r="Y895" s="27" t="s">
        <v>66</v>
      </c>
      <c r="Z895" s="29">
        <v>44</v>
      </c>
      <c r="AA895" s="30">
        <v>20082.28</v>
      </c>
      <c r="AB895" s="29">
        <v>0.94</v>
      </c>
      <c r="AC895" s="30">
        <v>15735.25</v>
      </c>
      <c r="AD895" s="30">
        <v>222.65690909090901</v>
      </c>
      <c r="AE895" s="27">
        <v>523.48333333333301</v>
      </c>
      <c r="AF895" s="29">
        <v>0.93505046324301999</v>
      </c>
      <c r="AG895" s="30">
        <v>4124.37309090909</v>
      </c>
      <c r="AH895" s="31">
        <f t="shared" si="209"/>
        <v>0.85803432137285496</v>
      </c>
      <c r="AI895" s="31">
        <f t="shared" si="210"/>
        <v>0.06</v>
      </c>
      <c r="AJ895" s="31">
        <f t="shared" si="211"/>
        <v>1.8181818181818181E-2</v>
      </c>
      <c r="AK895" s="31">
        <f t="shared" si="212"/>
        <v>0.94</v>
      </c>
      <c r="AL895" s="29">
        <f t="shared" si="213"/>
        <v>0.56666666666666665</v>
      </c>
      <c r="AM895" s="29">
        <f t="shared" si="214"/>
        <v>489.48333333333301</v>
      </c>
      <c r="AN895" s="29">
        <f t="shared" si="215"/>
        <v>1.1236337634921183</v>
      </c>
      <c r="AO895" s="29">
        <f t="shared" si="216"/>
        <v>1.2244897959183674</v>
      </c>
      <c r="AP895" s="31">
        <f t="shared" si="217"/>
        <v>0.91763424018522988</v>
      </c>
      <c r="AQ895" s="31">
        <f t="shared" si="218"/>
        <v>0.94</v>
      </c>
      <c r="AR895" s="31">
        <f t="shared" si="219"/>
        <v>0.80655226209048447</v>
      </c>
      <c r="AS895" s="29">
        <f t="shared" si="220"/>
        <v>28.609545454545454</v>
      </c>
      <c r="AT895" s="29">
        <f t="shared" si="221"/>
        <v>7.4988601652892548</v>
      </c>
      <c r="AU895" s="27" t="str">
        <f t="shared" si="222"/>
        <v>Medium</v>
      </c>
      <c r="AV895" s="27" t="str">
        <f t="shared" si="223"/>
        <v>Warning</v>
      </c>
      <c r="AW895" s="27"/>
    </row>
    <row r="896" spans="1:49" x14ac:dyDescent="0.25">
      <c r="A896" s="27">
        <v>895</v>
      </c>
      <c r="B896" s="28">
        <v>46098</v>
      </c>
      <c r="C896" s="28" t="str">
        <f t="shared" si="208"/>
        <v>March</v>
      </c>
      <c r="D896" s="27" t="s">
        <v>67</v>
      </c>
      <c r="E896" s="27" t="s">
        <v>76</v>
      </c>
      <c r="F896" s="27" t="s">
        <v>119</v>
      </c>
      <c r="G896" s="27" t="s">
        <v>63</v>
      </c>
      <c r="H896" s="27" t="s">
        <v>51</v>
      </c>
      <c r="I896" s="27" t="s">
        <v>1019</v>
      </c>
      <c r="J896" s="27" t="s">
        <v>164</v>
      </c>
      <c r="K896" s="27">
        <v>954</v>
      </c>
      <c r="L896" s="27">
        <v>822</v>
      </c>
      <c r="M896" s="27">
        <v>746</v>
      </c>
      <c r="N896" s="27">
        <v>76</v>
      </c>
      <c r="O896" s="27">
        <v>24</v>
      </c>
      <c r="P896" s="27">
        <v>24</v>
      </c>
      <c r="Q896" s="27" t="s">
        <v>94</v>
      </c>
      <c r="R896" s="27">
        <v>42</v>
      </c>
      <c r="S896" s="27">
        <v>46</v>
      </c>
      <c r="T896" s="29">
        <v>72.8</v>
      </c>
      <c r="U896" s="29">
        <v>2.64</v>
      </c>
      <c r="V896" s="29">
        <v>25.63</v>
      </c>
      <c r="W896" s="30">
        <v>15926.62</v>
      </c>
      <c r="X896" s="27">
        <v>8.65</v>
      </c>
      <c r="Y896" s="27" t="s">
        <v>55</v>
      </c>
      <c r="Z896" s="29">
        <v>8</v>
      </c>
      <c r="AA896" s="30">
        <v>23832.25</v>
      </c>
      <c r="AB896" s="29">
        <v>0.90754257907542601</v>
      </c>
      <c r="AC896" s="30">
        <v>20049.79</v>
      </c>
      <c r="AD896" s="30">
        <v>465.010802919708</v>
      </c>
      <c r="AE896" s="27">
        <v>667.8</v>
      </c>
      <c r="AF896" s="29">
        <v>0.96406109613656799</v>
      </c>
      <c r="AG896" s="30">
        <v>3317.4491970802901</v>
      </c>
      <c r="AH896" s="31">
        <f t="shared" si="209"/>
        <v>0.86163522012578619</v>
      </c>
      <c r="AI896" s="31">
        <f t="shared" si="210"/>
        <v>9.2457420924574207E-2</v>
      </c>
      <c r="AJ896" s="31">
        <f t="shared" si="211"/>
        <v>2.9197080291970802E-2</v>
      </c>
      <c r="AK896" s="31">
        <f t="shared" si="212"/>
        <v>0.90754257907542579</v>
      </c>
      <c r="AL896" s="29">
        <f t="shared" si="213"/>
        <v>0.4</v>
      </c>
      <c r="AM896" s="29">
        <f t="shared" si="214"/>
        <v>643.79999999999995</v>
      </c>
      <c r="AN896" s="29">
        <f t="shared" si="215"/>
        <v>1.2767940354147251</v>
      </c>
      <c r="AO896" s="29">
        <f t="shared" si="216"/>
        <v>1.4285714285714286</v>
      </c>
      <c r="AP896" s="31">
        <f t="shared" si="217"/>
        <v>0.89375582479030757</v>
      </c>
      <c r="AQ896" s="31">
        <f t="shared" si="218"/>
        <v>0.90754257907542579</v>
      </c>
      <c r="AR896" s="31">
        <f t="shared" si="219"/>
        <v>0.78197064989517828</v>
      </c>
      <c r="AS896" s="29">
        <f t="shared" si="220"/>
        <v>24.391472019464722</v>
      </c>
      <c r="AT896" s="29">
        <f t="shared" si="221"/>
        <v>4.0358262738203043</v>
      </c>
      <c r="AU896" s="27" t="str">
        <f t="shared" si="222"/>
        <v>High</v>
      </c>
      <c r="AV896" s="27" t="str">
        <f t="shared" si="223"/>
        <v>Warning</v>
      </c>
      <c r="AW896" s="27"/>
    </row>
    <row r="897" spans="1:49" x14ac:dyDescent="0.25">
      <c r="A897" s="27">
        <v>896</v>
      </c>
      <c r="B897" s="28">
        <v>46123</v>
      </c>
      <c r="C897" s="28" t="str">
        <f t="shared" si="208"/>
        <v>April</v>
      </c>
      <c r="D897" s="27" t="s">
        <v>47</v>
      </c>
      <c r="E897" s="27" t="s">
        <v>48</v>
      </c>
      <c r="F897" s="27" t="s">
        <v>49</v>
      </c>
      <c r="G897" s="27" t="s">
        <v>50</v>
      </c>
      <c r="H897" s="27" t="s">
        <v>51</v>
      </c>
      <c r="I897" s="27" t="s">
        <v>1020</v>
      </c>
      <c r="J897" s="27" t="s">
        <v>164</v>
      </c>
      <c r="K897" s="27">
        <v>842</v>
      </c>
      <c r="L897" s="27">
        <v>904</v>
      </c>
      <c r="M897" s="27">
        <v>861</v>
      </c>
      <c r="N897" s="27">
        <v>43</v>
      </c>
      <c r="O897" s="27">
        <v>17</v>
      </c>
      <c r="P897" s="27">
        <v>0</v>
      </c>
      <c r="Q897" s="27" t="s">
        <v>60</v>
      </c>
      <c r="R897" s="27">
        <v>42</v>
      </c>
      <c r="S897" s="27">
        <v>45</v>
      </c>
      <c r="T897" s="29">
        <v>77.2</v>
      </c>
      <c r="U897" s="29">
        <v>2.04</v>
      </c>
      <c r="V897" s="29">
        <v>28.61</v>
      </c>
      <c r="W897" s="30">
        <v>17332.22</v>
      </c>
      <c r="X897" s="27">
        <v>9.08</v>
      </c>
      <c r="Y897" s="27" t="s">
        <v>110</v>
      </c>
      <c r="Z897" s="29">
        <v>30</v>
      </c>
      <c r="AA897" s="30">
        <v>27786.62</v>
      </c>
      <c r="AB897" s="29">
        <v>0.95243362831858402</v>
      </c>
      <c r="AC897" s="30">
        <v>21675.71</v>
      </c>
      <c r="AD897" s="30">
        <v>325.93776548672599</v>
      </c>
      <c r="AE897" s="27">
        <v>589.4</v>
      </c>
      <c r="AF897" s="29">
        <v>1</v>
      </c>
      <c r="AG897" s="30">
        <v>5784.9722345132705</v>
      </c>
      <c r="AH897" s="31">
        <f t="shared" si="209"/>
        <v>1.0736342042755345</v>
      </c>
      <c r="AI897" s="31">
        <f t="shared" si="210"/>
        <v>4.7566371681415927E-2</v>
      </c>
      <c r="AJ897" s="31">
        <f t="shared" si="211"/>
        <v>1.8805309734513276E-2</v>
      </c>
      <c r="AK897" s="31">
        <f t="shared" si="212"/>
        <v>0.95243362831858402</v>
      </c>
      <c r="AL897" s="29">
        <f t="shared" si="213"/>
        <v>0</v>
      </c>
      <c r="AM897" s="29">
        <f t="shared" si="214"/>
        <v>589.4</v>
      </c>
      <c r="AN897" s="29">
        <f t="shared" si="215"/>
        <v>1.5337631489650492</v>
      </c>
      <c r="AO897" s="29">
        <f t="shared" si="216"/>
        <v>1.4285714285714286</v>
      </c>
      <c r="AP897" s="31">
        <f t="shared" si="217"/>
        <v>1.0736342042755345</v>
      </c>
      <c r="AQ897" s="31">
        <f t="shared" si="218"/>
        <v>0.95243362831858402</v>
      </c>
      <c r="AR897" s="31">
        <f t="shared" si="219"/>
        <v>1.0225653206650831</v>
      </c>
      <c r="AS897" s="29">
        <f t="shared" si="220"/>
        <v>23.977555309734512</v>
      </c>
      <c r="AT897" s="29">
        <f t="shared" si="221"/>
        <v>6.3993055691518475</v>
      </c>
      <c r="AU897" s="27" t="str">
        <f t="shared" si="222"/>
        <v>Medium</v>
      </c>
      <c r="AV897" s="27" t="str">
        <f t="shared" si="223"/>
        <v>Normal</v>
      </c>
      <c r="AW897" s="27"/>
    </row>
    <row r="898" spans="1:49" x14ac:dyDescent="0.25">
      <c r="A898" s="27">
        <v>897</v>
      </c>
      <c r="B898" s="28">
        <v>46108</v>
      </c>
      <c r="C898" s="28" t="str">
        <f t="shared" ref="C898:C961" si="224">TEXT(B898,"mmmm")</f>
        <v>March</v>
      </c>
      <c r="D898" s="27" t="s">
        <v>67</v>
      </c>
      <c r="E898" s="27" t="s">
        <v>48</v>
      </c>
      <c r="F898" s="27" t="s">
        <v>72</v>
      </c>
      <c r="G898" s="27" t="s">
        <v>50</v>
      </c>
      <c r="H898" s="27" t="s">
        <v>57</v>
      </c>
      <c r="I898" s="27" t="s">
        <v>1021</v>
      </c>
      <c r="J898" s="27" t="s">
        <v>143</v>
      </c>
      <c r="K898" s="27">
        <v>753</v>
      </c>
      <c r="L898" s="27">
        <v>804</v>
      </c>
      <c r="M898" s="27">
        <v>780</v>
      </c>
      <c r="N898" s="27">
        <v>24</v>
      </c>
      <c r="O898" s="27">
        <v>5</v>
      </c>
      <c r="P898" s="27">
        <v>6</v>
      </c>
      <c r="Q898" s="27" t="s">
        <v>104</v>
      </c>
      <c r="R898" s="27">
        <v>45</v>
      </c>
      <c r="S898" s="27">
        <v>43</v>
      </c>
      <c r="T898" s="29">
        <v>78.099999999999994</v>
      </c>
      <c r="U898" s="29">
        <v>2.52</v>
      </c>
      <c r="V898" s="29">
        <v>32.36</v>
      </c>
      <c r="W898" s="30">
        <v>16294.24</v>
      </c>
      <c r="X898" s="27">
        <v>10.56</v>
      </c>
      <c r="Y898" s="27" t="s">
        <v>66</v>
      </c>
      <c r="Z898" s="29">
        <v>17</v>
      </c>
      <c r="AA898" s="30">
        <v>26890.38</v>
      </c>
      <c r="AB898" s="29">
        <v>0.97014925373134298</v>
      </c>
      <c r="AC898" s="30">
        <v>21337.48</v>
      </c>
      <c r="AD898" s="30">
        <v>101.33233830845801</v>
      </c>
      <c r="AE898" s="27">
        <v>564.75</v>
      </c>
      <c r="AF898" s="29">
        <v>0.98937583001328</v>
      </c>
      <c r="AG898" s="30">
        <v>5451.5676616915398</v>
      </c>
      <c r="AH898" s="31">
        <f t="shared" ref="AH898:AH961" si="225">IFERROR(L898/K898,0)</f>
        <v>1.0677290836653386</v>
      </c>
      <c r="AI898" s="31">
        <f t="shared" ref="AI898:AI961" si="226">IFERROR(N898/L898,0)</f>
        <v>2.9850746268656716E-2</v>
      </c>
      <c r="AJ898" s="31">
        <f t="shared" ref="AJ898:AJ961" si="227">IFERROR(O898/L898,0)</f>
        <v>6.2189054726368162E-3</v>
      </c>
      <c r="AK898" s="31">
        <f t="shared" ref="AK898:AK961" si="228">IFERROR(M898/L898,0)</f>
        <v>0.97014925373134331</v>
      </c>
      <c r="AL898" s="29">
        <f t="shared" ref="AL898:AL961" si="229">P898/60</f>
        <v>0.1</v>
      </c>
      <c r="AM898" s="29">
        <f t="shared" ref="AM898:AM961" si="230">MAX(0,AE898-P898)</f>
        <v>558.75</v>
      </c>
      <c r="AN898" s="29">
        <f t="shared" ref="AN898:AN961" si="231">IFERROR(L898/AM898,0)</f>
        <v>1.4389261744966444</v>
      </c>
      <c r="AO898" s="29">
        <f t="shared" ref="AO898:AO961" si="232">IFERROR(60/R898,0)</f>
        <v>1.3333333333333333</v>
      </c>
      <c r="AP898" s="31">
        <f t="shared" ref="AP898:AP961" si="233">IFERROR(AN898/AO898,0)</f>
        <v>1.0791946308724834</v>
      </c>
      <c r="AQ898" s="31">
        <f t="shared" ref="AQ898:AQ961" si="234">IFERROR(M898/L898,0)</f>
        <v>0.97014925373134331</v>
      </c>
      <c r="AR898" s="31">
        <f t="shared" ref="AR898:AR961" si="235">AF898*AP898*AQ898</f>
        <v>1.0358565737051793</v>
      </c>
      <c r="AS898" s="29">
        <f t="shared" ref="AS898:AS961" si="236">IFERROR(AC898/L898,0)</f>
        <v>26.539154228855722</v>
      </c>
      <c r="AT898" s="29">
        <f t="shared" ref="AT898:AT961" si="237">IFERROR(AG898/L898,0)</f>
        <v>6.7805567931486816</v>
      </c>
      <c r="AU898" s="27" t="str">
        <f t="shared" ref="AU898:AU961" si="238">IF(OR(Y898="Overdue",P898&gt;=120,T898&gt;=85,U898&gt;=4,AI898&gt;=0.12,AR898&lt;0.8),"High",IF(OR(Y898="Pending",Z898&gt;=30,P898&gt;=60,T898&gt;=80,U898&gt;=3,AI898&gt;=0.08,AR898&lt;0.85),"Medium","Low"))</f>
        <v>Low</v>
      </c>
      <c r="AV898" s="27" t="str">
        <f t="shared" ref="AV898:AV961" si="239">IF(OR(P898&gt;=120,T898&gt;=90,U898&gt;=4.5,AI898&gt;=0.15,AR898&lt;0.75),"Critical",IF(OR(P898&gt;=60,T898&gt;=80,U898&gt;=3,AI898&gt;=0.08,AR898&lt;0.85),"Warning","Normal"))</f>
        <v>Normal</v>
      </c>
      <c r="AW898" s="27"/>
    </row>
    <row r="899" spans="1:49" x14ac:dyDescent="0.25">
      <c r="A899" s="27">
        <v>898</v>
      </c>
      <c r="B899" s="28">
        <v>46119</v>
      </c>
      <c r="C899" s="28" t="str">
        <f t="shared" si="224"/>
        <v>April</v>
      </c>
      <c r="D899" s="27" t="s">
        <v>67</v>
      </c>
      <c r="E899" s="27" t="s">
        <v>48</v>
      </c>
      <c r="F899" s="27" t="s">
        <v>72</v>
      </c>
      <c r="G899" s="27" t="s">
        <v>78</v>
      </c>
      <c r="H899" s="27" t="s">
        <v>79</v>
      </c>
      <c r="I899" s="27" t="s">
        <v>1022</v>
      </c>
      <c r="J899" s="27" t="s">
        <v>90</v>
      </c>
      <c r="K899" s="27">
        <v>782</v>
      </c>
      <c r="L899" s="27">
        <v>606</v>
      </c>
      <c r="M899" s="27">
        <v>580</v>
      </c>
      <c r="N899" s="27">
        <v>26</v>
      </c>
      <c r="O899" s="27">
        <v>5</v>
      </c>
      <c r="P899" s="27">
        <v>22</v>
      </c>
      <c r="Q899" s="27" t="s">
        <v>54</v>
      </c>
      <c r="R899" s="27">
        <v>49</v>
      </c>
      <c r="S899" s="27">
        <v>51</v>
      </c>
      <c r="T899" s="29">
        <v>70.3</v>
      </c>
      <c r="U899" s="29">
        <v>1.59</v>
      </c>
      <c r="V899" s="29">
        <v>22.32</v>
      </c>
      <c r="W899" s="30">
        <v>13119.57</v>
      </c>
      <c r="X899" s="27">
        <v>7.99</v>
      </c>
      <c r="Y899" s="27" t="s">
        <v>66</v>
      </c>
      <c r="Z899" s="29">
        <v>20</v>
      </c>
      <c r="AA899" s="30">
        <v>22662.71</v>
      </c>
      <c r="AB899" s="29">
        <v>0.95709570957095702</v>
      </c>
      <c r="AC899" s="30">
        <v>16915.95</v>
      </c>
      <c r="AD899" s="30">
        <v>108.247277227723</v>
      </c>
      <c r="AE899" s="27">
        <v>638.63333333333298</v>
      </c>
      <c r="AF899" s="29">
        <v>0.96555143796649101</v>
      </c>
      <c r="AG899" s="30">
        <v>5638.5127227722796</v>
      </c>
      <c r="AH899" s="31">
        <f t="shared" si="225"/>
        <v>0.77493606138107418</v>
      </c>
      <c r="AI899" s="31">
        <f t="shared" si="226"/>
        <v>4.2904290429042903E-2</v>
      </c>
      <c r="AJ899" s="31">
        <f t="shared" si="227"/>
        <v>8.2508250825082501E-3</v>
      </c>
      <c r="AK899" s="31">
        <f t="shared" si="228"/>
        <v>0.95709570957095713</v>
      </c>
      <c r="AL899" s="29">
        <f t="shared" si="229"/>
        <v>0.36666666666666664</v>
      </c>
      <c r="AM899" s="29">
        <f t="shared" si="230"/>
        <v>616.63333333333298</v>
      </c>
      <c r="AN899" s="29">
        <f t="shared" si="231"/>
        <v>0.98275582463917022</v>
      </c>
      <c r="AO899" s="29">
        <f t="shared" si="232"/>
        <v>1.2244897959183674</v>
      </c>
      <c r="AP899" s="31">
        <f t="shared" si="233"/>
        <v>0.80258392345532237</v>
      </c>
      <c r="AQ899" s="31">
        <f t="shared" si="234"/>
        <v>0.95709570957095713</v>
      </c>
      <c r="AR899" s="31">
        <f t="shared" si="235"/>
        <v>0.74168797953964238</v>
      </c>
      <c r="AS899" s="29">
        <f t="shared" si="236"/>
        <v>27.914108910891091</v>
      </c>
      <c r="AT899" s="29">
        <f t="shared" si="237"/>
        <v>9.3044764402182825</v>
      </c>
      <c r="AU899" s="27" t="str">
        <f t="shared" si="238"/>
        <v>High</v>
      </c>
      <c r="AV899" s="27" t="str">
        <f t="shared" si="239"/>
        <v>Critical</v>
      </c>
      <c r="AW899" s="27"/>
    </row>
    <row r="900" spans="1:49" x14ac:dyDescent="0.25">
      <c r="A900" s="27">
        <v>899</v>
      </c>
      <c r="B900" s="28">
        <v>46125</v>
      </c>
      <c r="C900" s="28" t="str">
        <f t="shared" si="224"/>
        <v>April</v>
      </c>
      <c r="D900" s="27" t="s">
        <v>67</v>
      </c>
      <c r="E900" s="27" t="s">
        <v>76</v>
      </c>
      <c r="F900" s="27" t="s">
        <v>113</v>
      </c>
      <c r="G900" s="27" t="s">
        <v>50</v>
      </c>
      <c r="H900" s="27" t="s">
        <v>79</v>
      </c>
      <c r="I900" s="27" t="s">
        <v>1023</v>
      </c>
      <c r="J900" s="27" t="s">
        <v>218</v>
      </c>
      <c r="K900" s="27">
        <v>875</v>
      </c>
      <c r="L900" s="27">
        <v>791</v>
      </c>
      <c r="M900" s="27">
        <v>751</v>
      </c>
      <c r="N900" s="27">
        <v>40</v>
      </c>
      <c r="O900" s="27">
        <v>13</v>
      </c>
      <c r="P900" s="27">
        <v>48</v>
      </c>
      <c r="Q900" s="27" t="s">
        <v>104</v>
      </c>
      <c r="R900" s="27">
        <v>49</v>
      </c>
      <c r="S900" s="27">
        <v>48</v>
      </c>
      <c r="T900" s="29">
        <v>74.5</v>
      </c>
      <c r="U900" s="29">
        <v>1.66</v>
      </c>
      <c r="V900" s="29">
        <v>31.27</v>
      </c>
      <c r="W900" s="30">
        <v>16950.32</v>
      </c>
      <c r="X900" s="27">
        <v>6.73</v>
      </c>
      <c r="Y900" s="27" t="s">
        <v>55</v>
      </c>
      <c r="Z900" s="29">
        <v>4</v>
      </c>
      <c r="AA900" s="30">
        <v>28213.37</v>
      </c>
      <c r="AB900" s="29">
        <v>0.94943109987357799</v>
      </c>
      <c r="AC900" s="30">
        <v>20260.25</v>
      </c>
      <c r="AD900" s="30">
        <v>278.57668773704199</v>
      </c>
      <c r="AE900" s="27">
        <v>714.58333333333303</v>
      </c>
      <c r="AF900" s="29">
        <v>0.93282798833819303</v>
      </c>
      <c r="AG900" s="30">
        <v>7674.5433122629602</v>
      </c>
      <c r="AH900" s="31">
        <f t="shared" si="225"/>
        <v>0.90400000000000003</v>
      </c>
      <c r="AI900" s="31">
        <f t="shared" si="226"/>
        <v>5.0568900126422248E-2</v>
      </c>
      <c r="AJ900" s="31">
        <f t="shared" si="227"/>
        <v>1.643489254108723E-2</v>
      </c>
      <c r="AK900" s="31">
        <f t="shared" si="228"/>
        <v>0.94943109987357777</v>
      </c>
      <c r="AL900" s="29">
        <f t="shared" si="229"/>
        <v>0.8</v>
      </c>
      <c r="AM900" s="29">
        <f t="shared" si="230"/>
        <v>666.58333333333303</v>
      </c>
      <c r="AN900" s="29">
        <f t="shared" si="231"/>
        <v>1.1866483310413807</v>
      </c>
      <c r="AO900" s="29">
        <f t="shared" si="232"/>
        <v>1.2244897959183674</v>
      </c>
      <c r="AP900" s="31">
        <f t="shared" si="233"/>
        <v>0.96909613701712749</v>
      </c>
      <c r="AQ900" s="31">
        <f t="shared" si="234"/>
        <v>0.94943109987357777</v>
      </c>
      <c r="AR900" s="31">
        <f t="shared" si="235"/>
        <v>0.85828571428571521</v>
      </c>
      <c r="AS900" s="29">
        <f t="shared" si="236"/>
        <v>25.61346396965866</v>
      </c>
      <c r="AT900" s="29">
        <f t="shared" si="237"/>
        <v>9.702330356843186</v>
      </c>
      <c r="AU900" s="27" t="str">
        <f t="shared" si="238"/>
        <v>Low</v>
      </c>
      <c r="AV900" s="27" t="str">
        <f t="shared" si="239"/>
        <v>Normal</v>
      </c>
      <c r="AW900" s="27"/>
    </row>
    <row r="901" spans="1:49" x14ac:dyDescent="0.25">
      <c r="A901" s="27">
        <v>900</v>
      </c>
      <c r="B901" s="28">
        <v>46147</v>
      </c>
      <c r="C901" s="28" t="str">
        <f t="shared" si="224"/>
        <v>May</v>
      </c>
      <c r="D901" s="27" t="s">
        <v>47</v>
      </c>
      <c r="E901" s="27" t="s">
        <v>98</v>
      </c>
      <c r="F901" s="27" t="s">
        <v>126</v>
      </c>
      <c r="G901" s="27" t="s">
        <v>50</v>
      </c>
      <c r="H901" s="27" t="s">
        <v>79</v>
      </c>
      <c r="I901" s="27" t="s">
        <v>1024</v>
      </c>
      <c r="J901" s="27" t="s">
        <v>175</v>
      </c>
      <c r="K901" s="27">
        <v>818</v>
      </c>
      <c r="L901" s="27">
        <v>708</v>
      </c>
      <c r="M901" s="27">
        <v>649</v>
      </c>
      <c r="N901" s="27">
        <v>59</v>
      </c>
      <c r="O901" s="27">
        <v>16</v>
      </c>
      <c r="P901" s="27">
        <v>43</v>
      </c>
      <c r="Q901" s="27" t="s">
        <v>75</v>
      </c>
      <c r="R901" s="27">
        <v>49</v>
      </c>
      <c r="S901" s="27">
        <v>50</v>
      </c>
      <c r="T901" s="29">
        <v>83.9</v>
      </c>
      <c r="U901" s="29">
        <v>1.88</v>
      </c>
      <c r="V901" s="29">
        <v>23.66</v>
      </c>
      <c r="W901" s="30">
        <v>15782.11</v>
      </c>
      <c r="X901" s="27">
        <v>7.92</v>
      </c>
      <c r="Y901" s="27" t="s">
        <v>71</v>
      </c>
      <c r="Z901" s="29">
        <v>29</v>
      </c>
      <c r="AA901" s="30">
        <v>24811.18</v>
      </c>
      <c r="AB901" s="29">
        <v>0.91666666666666696</v>
      </c>
      <c r="AC901" s="30">
        <v>19559.05</v>
      </c>
      <c r="AD901" s="30">
        <v>356.65785310734498</v>
      </c>
      <c r="AE901" s="27">
        <v>668.03333333333296</v>
      </c>
      <c r="AF901" s="29">
        <v>0.93563195449328895</v>
      </c>
      <c r="AG901" s="30">
        <v>4895.47214689266</v>
      </c>
      <c r="AH901" s="31">
        <f t="shared" si="225"/>
        <v>0.86552567237163813</v>
      </c>
      <c r="AI901" s="31">
        <f t="shared" si="226"/>
        <v>8.3333333333333329E-2</v>
      </c>
      <c r="AJ901" s="31">
        <f t="shared" si="227"/>
        <v>2.2598870056497175E-2</v>
      </c>
      <c r="AK901" s="31">
        <f t="shared" si="228"/>
        <v>0.91666666666666663</v>
      </c>
      <c r="AL901" s="29">
        <f t="shared" si="229"/>
        <v>0.71666666666666667</v>
      </c>
      <c r="AM901" s="29">
        <f t="shared" si="230"/>
        <v>625.03333333333296</v>
      </c>
      <c r="AN901" s="29">
        <f t="shared" si="231"/>
        <v>1.1327395872220154</v>
      </c>
      <c r="AO901" s="29">
        <f t="shared" si="232"/>
        <v>1.2244897959183674</v>
      </c>
      <c r="AP901" s="31">
        <f t="shared" si="233"/>
        <v>0.92507066289797923</v>
      </c>
      <c r="AQ901" s="31">
        <f t="shared" si="234"/>
        <v>0.91666666666666663</v>
      </c>
      <c r="AR901" s="31">
        <f t="shared" si="235"/>
        <v>0.79339853300733554</v>
      </c>
      <c r="AS901" s="29">
        <f t="shared" si="236"/>
        <v>27.625776836158192</v>
      </c>
      <c r="AT901" s="29">
        <f t="shared" si="237"/>
        <v>6.91450868205178</v>
      </c>
      <c r="AU901" s="27" t="str">
        <f t="shared" si="238"/>
        <v>High</v>
      </c>
      <c r="AV901" s="27" t="str">
        <f t="shared" si="239"/>
        <v>Warning</v>
      </c>
      <c r="AW901" s="27"/>
    </row>
    <row r="902" spans="1:49" x14ac:dyDescent="0.25">
      <c r="A902" s="27">
        <v>901</v>
      </c>
      <c r="B902" s="28">
        <v>46062</v>
      </c>
      <c r="C902" s="28" t="str">
        <f t="shared" si="224"/>
        <v>February</v>
      </c>
      <c r="D902" s="27" t="s">
        <v>47</v>
      </c>
      <c r="E902" s="27" t="s">
        <v>98</v>
      </c>
      <c r="F902" s="27" t="s">
        <v>99</v>
      </c>
      <c r="G902" s="27" t="s">
        <v>63</v>
      </c>
      <c r="H902" s="27" t="s">
        <v>57</v>
      </c>
      <c r="I902" s="27" t="s">
        <v>1025</v>
      </c>
      <c r="J902" s="27" t="s">
        <v>191</v>
      </c>
      <c r="K902" s="27">
        <v>943</v>
      </c>
      <c r="L902" s="27">
        <v>881</v>
      </c>
      <c r="M902" s="27">
        <v>841</v>
      </c>
      <c r="N902" s="27">
        <v>40</v>
      </c>
      <c r="O902" s="27">
        <v>16</v>
      </c>
      <c r="P902" s="27">
        <v>21</v>
      </c>
      <c r="Q902" s="27" t="s">
        <v>75</v>
      </c>
      <c r="R902" s="27">
        <v>45</v>
      </c>
      <c r="S902" s="27">
        <v>48</v>
      </c>
      <c r="T902" s="29">
        <v>72.2</v>
      </c>
      <c r="U902" s="29">
        <v>2.0499999999999998</v>
      </c>
      <c r="V902" s="29">
        <v>28.79</v>
      </c>
      <c r="W902" s="30">
        <v>17512.23</v>
      </c>
      <c r="X902" s="27">
        <v>7.74</v>
      </c>
      <c r="Y902" s="27" t="s">
        <v>66</v>
      </c>
      <c r="Z902" s="29">
        <v>7</v>
      </c>
      <c r="AA902" s="30">
        <v>29869.52</v>
      </c>
      <c r="AB902" s="29">
        <v>0.95459704880817298</v>
      </c>
      <c r="AC902" s="30">
        <v>21254.34</v>
      </c>
      <c r="AD902" s="30">
        <v>318.04276958002299</v>
      </c>
      <c r="AE902" s="27">
        <v>707.25</v>
      </c>
      <c r="AF902" s="29">
        <v>0.97030752916224805</v>
      </c>
      <c r="AG902" s="30">
        <v>8297.1372304199795</v>
      </c>
      <c r="AH902" s="31">
        <f t="shared" si="225"/>
        <v>0.9342523860021209</v>
      </c>
      <c r="AI902" s="31">
        <f t="shared" si="226"/>
        <v>4.5402951191827468E-2</v>
      </c>
      <c r="AJ902" s="31">
        <f t="shared" si="227"/>
        <v>1.8161180476730987E-2</v>
      </c>
      <c r="AK902" s="31">
        <f t="shared" si="228"/>
        <v>0.95459704880817253</v>
      </c>
      <c r="AL902" s="29">
        <f t="shared" si="229"/>
        <v>0.35</v>
      </c>
      <c r="AM902" s="29">
        <f t="shared" si="230"/>
        <v>686.25</v>
      </c>
      <c r="AN902" s="29">
        <f t="shared" si="231"/>
        <v>1.2837887067395264</v>
      </c>
      <c r="AO902" s="29">
        <f t="shared" si="232"/>
        <v>1.3333333333333333</v>
      </c>
      <c r="AP902" s="31">
        <f t="shared" si="233"/>
        <v>0.96284153005464479</v>
      </c>
      <c r="AQ902" s="31">
        <f t="shared" si="234"/>
        <v>0.95459704880817253</v>
      </c>
      <c r="AR902" s="31">
        <f t="shared" si="235"/>
        <v>0.89183457051961812</v>
      </c>
      <c r="AS902" s="29">
        <f t="shared" si="236"/>
        <v>24.125244040862658</v>
      </c>
      <c r="AT902" s="29">
        <f t="shared" si="237"/>
        <v>9.417862917616322</v>
      </c>
      <c r="AU902" s="27" t="str">
        <f t="shared" si="238"/>
        <v>Low</v>
      </c>
      <c r="AV902" s="27" t="str">
        <f t="shared" si="239"/>
        <v>Normal</v>
      </c>
      <c r="AW902" s="27"/>
    </row>
    <row r="903" spans="1:49" x14ac:dyDescent="0.25">
      <c r="A903" s="27">
        <v>902</v>
      </c>
      <c r="B903" s="28">
        <v>46176</v>
      </c>
      <c r="C903" s="28" t="str">
        <f t="shared" si="224"/>
        <v>June</v>
      </c>
      <c r="D903" s="27" t="s">
        <v>47</v>
      </c>
      <c r="E903" s="27" t="s">
        <v>98</v>
      </c>
      <c r="F903" s="27" t="s">
        <v>105</v>
      </c>
      <c r="G903" s="27" t="s">
        <v>50</v>
      </c>
      <c r="H903" s="27" t="s">
        <v>51</v>
      </c>
      <c r="I903" s="27" t="s">
        <v>1026</v>
      </c>
      <c r="J903" s="27" t="s">
        <v>93</v>
      </c>
      <c r="K903" s="27">
        <v>868</v>
      </c>
      <c r="L903" s="27">
        <v>792</v>
      </c>
      <c r="M903" s="27">
        <v>734</v>
      </c>
      <c r="N903" s="27">
        <v>58</v>
      </c>
      <c r="O903" s="27">
        <v>24</v>
      </c>
      <c r="P903" s="27">
        <v>9</v>
      </c>
      <c r="Q903" s="27" t="s">
        <v>104</v>
      </c>
      <c r="R903" s="27">
        <v>42</v>
      </c>
      <c r="S903" s="27">
        <v>43</v>
      </c>
      <c r="T903" s="29">
        <v>76.3</v>
      </c>
      <c r="U903" s="29">
        <v>1.48</v>
      </c>
      <c r="V903" s="29">
        <v>25.87</v>
      </c>
      <c r="W903" s="30">
        <v>14171.7</v>
      </c>
      <c r="X903" s="27">
        <v>6.67</v>
      </c>
      <c r="Y903" s="27" t="s">
        <v>55</v>
      </c>
      <c r="Z903" s="29">
        <v>31</v>
      </c>
      <c r="AA903" s="30">
        <v>24102.14</v>
      </c>
      <c r="AB903" s="29">
        <v>0.92676767676767702</v>
      </c>
      <c r="AC903" s="30">
        <v>17406.03</v>
      </c>
      <c r="AD903" s="30">
        <v>429.44545454545499</v>
      </c>
      <c r="AE903" s="27">
        <v>607.6</v>
      </c>
      <c r="AF903" s="29">
        <v>0.98518762343647104</v>
      </c>
      <c r="AG903" s="30">
        <v>6266.6645454545396</v>
      </c>
      <c r="AH903" s="31">
        <f t="shared" si="225"/>
        <v>0.9124423963133641</v>
      </c>
      <c r="AI903" s="31">
        <f t="shared" si="226"/>
        <v>7.3232323232323232E-2</v>
      </c>
      <c r="AJ903" s="31">
        <f t="shared" si="227"/>
        <v>3.0303030303030304E-2</v>
      </c>
      <c r="AK903" s="31">
        <f t="shared" si="228"/>
        <v>0.9267676767676768</v>
      </c>
      <c r="AL903" s="29">
        <f t="shared" si="229"/>
        <v>0.15</v>
      </c>
      <c r="AM903" s="29">
        <f t="shared" si="230"/>
        <v>598.6</v>
      </c>
      <c r="AN903" s="29">
        <f t="shared" si="231"/>
        <v>1.3230872034747745</v>
      </c>
      <c r="AO903" s="29">
        <f t="shared" si="232"/>
        <v>1.4285714285714286</v>
      </c>
      <c r="AP903" s="31">
        <f t="shared" si="233"/>
        <v>0.9261610424323421</v>
      </c>
      <c r="AQ903" s="31">
        <f t="shared" si="234"/>
        <v>0.9267676767676768</v>
      </c>
      <c r="AR903" s="31">
        <f t="shared" si="235"/>
        <v>0.84562211981566793</v>
      </c>
      <c r="AS903" s="29">
        <f t="shared" si="236"/>
        <v>21.977310606060605</v>
      </c>
      <c r="AT903" s="29">
        <f t="shared" si="237"/>
        <v>7.912455234159772</v>
      </c>
      <c r="AU903" s="27" t="str">
        <f t="shared" si="238"/>
        <v>Medium</v>
      </c>
      <c r="AV903" s="27" t="str">
        <f t="shared" si="239"/>
        <v>Warning</v>
      </c>
      <c r="AW903" s="27"/>
    </row>
    <row r="904" spans="1:49" x14ac:dyDescent="0.25">
      <c r="A904" s="27">
        <v>903</v>
      </c>
      <c r="B904" s="28">
        <v>46041</v>
      </c>
      <c r="C904" s="28" t="str">
        <f t="shared" si="224"/>
        <v>January</v>
      </c>
      <c r="D904" s="27" t="s">
        <v>47</v>
      </c>
      <c r="E904" s="27" t="s">
        <v>129</v>
      </c>
      <c r="F904" s="27" t="s">
        <v>167</v>
      </c>
      <c r="G904" s="27" t="s">
        <v>50</v>
      </c>
      <c r="H904" s="27" t="s">
        <v>124</v>
      </c>
      <c r="I904" s="27" t="s">
        <v>1027</v>
      </c>
      <c r="J904" s="27" t="s">
        <v>186</v>
      </c>
      <c r="K904" s="27">
        <v>602</v>
      </c>
      <c r="L904" s="27">
        <v>502</v>
      </c>
      <c r="M904" s="27">
        <v>463</v>
      </c>
      <c r="N904" s="27">
        <v>39</v>
      </c>
      <c r="O904" s="27">
        <v>14</v>
      </c>
      <c r="P904" s="27">
        <v>9</v>
      </c>
      <c r="Q904" s="27" t="s">
        <v>54</v>
      </c>
      <c r="R904" s="27">
        <v>57</v>
      </c>
      <c r="S904" s="27">
        <v>59</v>
      </c>
      <c r="T904" s="29">
        <v>70.2</v>
      </c>
      <c r="U904" s="29">
        <v>2.35</v>
      </c>
      <c r="V904" s="29">
        <v>20.55</v>
      </c>
      <c r="W904" s="30">
        <v>14481.87</v>
      </c>
      <c r="X904" s="27">
        <v>6.91</v>
      </c>
      <c r="Y904" s="27" t="s">
        <v>71</v>
      </c>
      <c r="Z904" s="29">
        <v>14</v>
      </c>
      <c r="AA904" s="30">
        <v>21488.36</v>
      </c>
      <c r="AB904" s="29">
        <v>0.92231075697211196</v>
      </c>
      <c r="AC904" s="30">
        <v>17776.32</v>
      </c>
      <c r="AD904" s="30">
        <v>403.87685258964098</v>
      </c>
      <c r="AE904" s="27">
        <v>571.9</v>
      </c>
      <c r="AF904" s="29">
        <v>0.98426298303899296</v>
      </c>
      <c r="AG904" s="30">
        <v>3308.1631474103601</v>
      </c>
      <c r="AH904" s="31">
        <f t="shared" si="225"/>
        <v>0.83388704318936879</v>
      </c>
      <c r="AI904" s="31">
        <f t="shared" si="226"/>
        <v>7.7689243027888447E-2</v>
      </c>
      <c r="AJ904" s="31">
        <f t="shared" si="227"/>
        <v>2.7888446215139442E-2</v>
      </c>
      <c r="AK904" s="31">
        <f t="shared" si="228"/>
        <v>0.92231075697211151</v>
      </c>
      <c r="AL904" s="29">
        <f t="shared" si="229"/>
        <v>0.15</v>
      </c>
      <c r="AM904" s="29">
        <f t="shared" si="230"/>
        <v>562.9</v>
      </c>
      <c r="AN904" s="29">
        <f t="shared" si="231"/>
        <v>0.89181026825368626</v>
      </c>
      <c r="AO904" s="29">
        <f t="shared" si="232"/>
        <v>1.0526315789473684</v>
      </c>
      <c r="AP904" s="31">
        <f t="shared" si="233"/>
        <v>0.84721975484100198</v>
      </c>
      <c r="AQ904" s="31">
        <f t="shared" si="234"/>
        <v>0.92231075697211151</v>
      </c>
      <c r="AR904" s="31">
        <f t="shared" si="235"/>
        <v>0.76910299003322269</v>
      </c>
      <c r="AS904" s="29">
        <f t="shared" si="236"/>
        <v>35.410996015936256</v>
      </c>
      <c r="AT904" s="29">
        <f t="shared" si="237"/>
        <v>6.5899664291043027</v>
      </c>
      <c r="AU904" s="27" t="str">
        <f t="shared" si="238"/>
        <v>High</v>
      </c>
      <c r="AV904" s="27" t="str">
        <f t="shared" si="239"/>
        <v>Warning</v>
      </c>
      <c r="AW904" s="27"/>
    </row>
    <row r="905" spans="1:49" x14ac:dyDescent="0.25">
      <c r="A905" s="27">
        <v>904</v>
      </c>
      <c r="B905" s="28">
        <v>46037</v>
      </c>
      <c r="C905" s="28" t="str">
        <f t="shared" si="224"/>
        <v>January</v>
      </c>
      <c r="D905" s="27" t="s">
        <v>47</v>
      </c>
      <c r="E905" s="27" t="s">
        <v>98</v>
      </c>
      <c r="F905" s="27" t="s">
        <v>99</v>
      </c>
      <c r="G905" s="27" t="s">
        <v>78</v>
      </c>
      <c r="H905" s="27" t="s">
        <v>51</v>
      </c>
      <c r="I905" s="27" t="s">
        <v>1028</v>
      </c>
      <c r="J905" s="27" t="s">
        <v>186</v>
      </c>
      <c r="K905" s="27">
        <v>938</v>
      </c>
      <c r="L905" s="27">
        <v>772</v>
      </c>
      <c r="M905" s="27">
        <v>725</v>
      </c>
      <c r="N905" s="27">
        <v>47</v>
      </c>
      <c r="O905" s="27">
        <v>19</v>
      </c>
      <c r="P905" s="27">
        <v>27</v>
      </c>
      <c r="Q905" s="27" t="s">
        <v>97</v>
      </c>
      <c r="R905" s="27">
        <v>42</v>
      </c>
      <c r="S905" s="27">
        <v>45</v>
      </c>
      <c r="T905" s="29">
        <v>70.099999999999994</v>
      </c>
      <c r="U905" s="29">
        <v>1.89</v>
      </c>
      <c r="V905" s="29">
        <v>31.45</v>
      </c>
      <c r="W905" s="30">
        <v>15092.27</v>
      </c>
      <c r="X905" s="27">
        <v>8.14</v>
      </c>
      <c r="Y905" s="27" t="s">
        <v>66</v>
      </c>
      <c r="Z905" s="29">
        <v>13</v>
      </c>
      <c r="AA905" s="30">
        <v>23697.37</v>
      </c>
      <c r="AB905" s="29">
        <v>0.93911917098445596</v>
      </c>
      <c r="AC905" s="30">
        <v>19038.32</v>
      </c>
      <c r="AD905" s="30">
        <v>371.44187823834199</v>
      </c>
      <c r="AE905" s="27">
        <v>656.6</v>
      </c>
      <c r="AF905" s="29">
        <v>0.95887907401766703</v>
      </c>
      <c r="AG905" s="30">
        <v>4287.6081217616602</v>
      </c>
      <c r="AH905" s="31">
        <f t="shared" si="225"/>
        <v>0.82302771855010659</v>
      </c>
      <c r="AI905" s="31">
        <f t="shared" si="226"/>
        <v>6.0880829015544043E-2</v>
      </c>
      <c r="AJ905" s="31">
        <f t="shared" si="227"/>
        <v>2.4611398963730571E-2</v>
      </c>
      <c r="AK905" s="31">
        <f t="shared" si="228"/>
        <v>0.93911917098445596</v>
      </c>
      <c r="AL905" s="29">
        <f t="shared" si="229"/>
        <v>0.45</v>
      </c>
      <c r="AM905" s="29">
        <f t="shared" si="230"/>
        <v>629.6</v>
      </c>
      <c r="AN905" s="29">
        <f t="shared" si="231"/>
        <v>1.2261753494282084</v>
      </c>
      <c r="AO905" s="29">
        <f t="shared" si="232"/>
        <v>1.4285714285714286</v>
      </c>
      <c r="AP905" s="31">
        <f t="shared" si="233"/>
        <v>0.85832274459974589</v>
      </c>
      <c r="AQ905" s="31">
        <f t="shared" si="234"/>
        <v>0.93911917098445596</v>
      </c>
      <c r="AR905" s="31">
        <f t="shared" si="235"/>
        <v>0.77292110874200448</v>
      </c>
      <c r="AS905" s="29">
        <f t="shared" si="236"/>
        <v>24.661036269430053</v>
      </c>
      <c r="AT905" s="29">
        <f t="shared" si="237"/>
        <v>5.5538965307793529</v>
      </c>
      <c r="AU905" s="27" t="str">
        <f t="shared" si="238"/>
        <v>High</v>
      </c>
      <c r="AV905" s="27" t="str">
        <f t="shared" si="239"/>
        <v>Warning</v>
      </c>
      <c r="AW905" s="27"/>
    </row>
    <row r="906" spans="1:49" x14ac:dyDescent="0.25">
      <c r="A906" s="27">
        <v>905</v>
      </c>
      <c r="B906" s="28">
        <v>46125</v>
      </c>
      <c r="C906" s="28" t="str">
        <f t="shared" si="224"/>
        <v>April</v>
      </c>
      <c r="D906" s="27" t="s">
        <v>47</v>
      </c>
      <c r="E906" s="27" t="s">
        <v>48</v>
      </c>
      <c r="F906" s="27" t="s">
        <v>72</v>
      </c>
      <c r="G906" s="27" t="s">
        <v>63</v>
      </c>
      <c r="H906" s="27" t="s">
        <v>79</v>
      </c>
      <c r="I906" s="27" t="s">
        <v>1029</v>
      </c>
      <c r="J906" s="27" t="s">
        <v>132</v>
      </c>
      <c r="K906" s="27">
        <v>849</v>
      </c>
      <c r="L906" s="27">
        <v>761</v>
      </c>
      <c r="M906" s="27">
        <v>728</v>
      </c>
      <c r="N906" s="27">
        <v>33</v>
      </c>
      <c r="O906" s="27">
        <v>8</v>
      </c>
      <c r="P906" s="27">
        <v>40</v>
      </c>
      <c r="Q906" s="27" t="s">
        <v>104</v>
      </c>
      <c r="R906" s="27">
        <v>49</v>
      </c>
      <c r="S906" s="27">
        <v>49</v>
      </c>
      <c r="T906" s="29">
        <v>73</v>
      </c>
      <c r="U906" s="29">
        <v>1.61</v>
      </c>
      <c r="V906" s="29">
        <v>31.58</v>
      </c>
      <c r="W906" s="30">
        <v>17335.48</v>
      </c>
      <c r="X906" s="27">
        <v>7.36</v>
      </c>
      <c r="Y906" s="27" t="s">
        <v>55</v>
      </c>
      <c r="Z906" s="29">
        <v>1</v>
      </c>
      <c r="AA906" s="30">
        <v>28013.93</v>
      </c>
      <c r="AB906" s="29">
        <v>0.95663600525624204</v>
      </c>
      <c r="AC906" s="30">
        <v>20931.7</v>
      </c>
      <c r="AD906" s="30">
        <v>182.23894875164299</v>
      </c>
      <c r="AE906" s="27">
        <v>693.35</v>
      </c>
      <c r="AF906" s="29">
        <v>0.94230907910867501</v>
      </c>
      <c r="AG906" s="30">
        <v>6899.9910512483602</v>
      </c>
      <c r="AH906" s="31">
        <f t="shared" si="225"/>
        <v>0.89634864546525328</v>
      </c>
      <c r="AI906" s="31">
        <f t="shared" si="226"/>
        <v>4.3363994743758211E-2</v>
      </c>
      <c r="AJ906" s="31">
        <f t="shared" si="227"/>
        <v>1.0512483574244415E-2</v>
      </c>
      <c r="AK906" s="31">
        <f t="shared" si="228"/>
        <v>0.95663600525624182</v>
      </c>
      <c r="AL906" s="29">
        <f t="shared" si="229"/>
        <v>0.66666666666666663</v>
      </c>
      <c r="AM906" s="29">
        <f t="shared" si="230"/>
        <v>653.35</v>
      </c>
      <c r="AN906" s="29">
        <f t="shared" si="231"/>
        <v>1.1647662049437515</v>
      </c>
      <c r="AO906" s="29">
        <f t="shared" si="232"/>
        <v>1.2244897959183674</v>
      </c>
      <c r="AP906" s="31">
        <f t="shared" si="233"/>
        <v>0.95122573403739707</v>
      </c>
      <c r="AQ906" s="31">
        <f t="shared" si="234"/>
        <v>0.95663600525624182</v>
      </c>
      <c r="AR906" s="31">
        <f t="shared" si="235"/>
        <v>0.85747938751472308</v>
      </c>
      <c r="AS906" s="29">
        <f t="shared" si="236"/>
        <v>27.50551905387648</v>
      </c>
      <c r="AT906" s="29">
        <f t="shared" si="237"/>
        <v>9.0670053235852297</v>
      </c>
      <c r="AU906" s="27" t="str">
        <f t="shared" si="238"/>
        <v>Low</v>
      </c>
      <c r="AV906" s="27" t="str">
        <f t="shared" si="239"/>
        <v>Normal</v>
      </c>
      <c r="AW906" s="27"/>
    </row>
    <row r="907" spans="1:49" x14ac:dyDescent="0.25">
      <c r="A907" s="27">
        <v>906</v>
      </c>
      <c r="B907" s="28">
        <v>46104</v>
      </c>
      <c r="C907" s="28" t="str">
        <f t="shared" si="224"/>
        <v>March</v>
      </c>
      <c r="D907" s="27" t="s">
        <v>47</v>
      </c>
      <c r="E907" s="27" t="s">
        <v>48</v>
      </c>
      <c r="F907" s="27" t="s">
        <v>49</v>
      </c>
      <c r="G907" s="27" t="s">
        <v>50</v>
      </c>
      <c r="H907" s="27" t="s">
        <v>57</v>
      </c>
      <c r="I907" s="27" t="s">
        <v>1030</v>
      </c>
      <c r="J907" s="27" t="s">
        <v>70</v>
      </c>
      <c r="K907" s="27">
        <v>887</v>
      </c>
      <c r="L907" s="27">
        <v>817</v>
      </c>
      <c r="M907" s="27">
        <v>787</v>
      </c>
      <c r="N907" s="27">
        <v>30</v>
      </c>
      <c r="O907" s="27">
        <v>8</v>
      </c>
      <c r="P907" s="27">
        <v>38</v>
      </c>
      <c r="Q907" s="27" t="s">
        <v>54</v>
      </c>
      <c r="R907" s="27">
        <v>45</v>
      </c>
      <c r="S907" s="27">
        <v>44</v>
      </c>
      <c r="T907" s="29">
        <v>60</v>
      </c>
      <c r="U907" s="29">
        <v>2.08</v>
      </c>
      <c r="V907" s="29">
        <v>33.409999999999997</v>
      </c>
      <c r="W907" s="30">
        <v>16104.03</v>
      </c>
      <c r="X907" s="27">
        <v>6.77</v>
      </c>
      <c r="Y907" s="27" t="s">
        <v>66</v>
      </c>
      <c r="Z907" s="29">
        <v>8</v>
      </c>
      <c r="AA907" s="30">
        <v>28095.89</v>
      </c>
      <c r="AB907" s="29">
        <v>0.96328029375765001</v>
      </c>
      <c r="AC907" s="30">
        <v>19451.22</v>
      </c>
      <c r="AD907" s="30">
        <v>157.68940024479801</v>
      </c>
      <c r="AE907" s="27">
        <v>665.25</v>
      </c>
      <c r="AF907" s="29">
        <v>0.94287861706125498</v>
      </c>
      <c r="AG907" s="30">
        <v>8486.9805997551994</v>
      </c>
      <c r="AH907" s="31">
        <f t="shared" si="225"/>
        <v>0.92108229988726043</v>
      </c>
      <c r="AI907" s="31">
        <f t="shared" si="226"/>
        <v>3.6719706242350061E-2</v>
      </c>
      <c r="AJ907" s="31">
        <f t="shared" si="227"/>
        <v>9.7919216646266821E-3</v>
      </c>
      <c r="AK907" s="31">
        <f t="shared" si="228"/>
        <v>0.9632802937576499</v>
      </c>
      <c r="AL907" s="29">
        <f t="shared" si="229"/>
        <v>0.6333333333333333</v>
      </c>
      <c r="AM907" s="29">
        <f t="shared" si="230"/>
        <v>627.25</v>
      </c>
      <c r="AN907" s="29">
        <f t="shared" si="231"/>
        <v>1.3025109605420486</v>
      </c>
      <c r="AO907" s="29">
        <f t="shared" si="232"/>
        <v>1.3333333333333333</v>
      </c>
      <c r="AP907" s="31">
        <f t="shared" si="233"/>
        <v>0.97688322040653652</v>
      </c>
      <c r="AQ907" s="31">
        <f t="shared" si="234"/>
        <v>0.9632802937576499</v>
      </c>
      <c r="AR907" s="31">
        <f t="shared" si="235"/>
        <v>0.88726042841037189</v>
      </c>
      <c r="AS907" s="29">
        <f t="shared" si="236"/>
        <v>23.808102815177481</v>
      </c>
      <c r="AT907" s="29">
        <f t="shared" si="237"/>
        <v>10.387981150251163</v>
      </c>
      <c r="AU907" s="27" t="str">
        <f t="shared" si="238"/>
        <v>Low</v>
      </c>
      <c r="AV907" s="27" t="str">
        <f t="shared" si="239"/>
        <v>Normal</v>
      </c>
      <c r="AW907" s="27"/>
    </row>
    <row r="908" spans="1:49" x14ac:dyDescent="0.25">
      <c r="A908" s="27">
        <v>907</v>
      </c>
      <c r="B908" s="28">
        <v>46172</v>
      </c>
      <c r="C908" s="28" t="str">
        <f t="shared" si="224"/>
        <v>May</v>
      </c>
      <c r="D908" s="27" t="s">
        <v>47</v>
      </c>
      <c r="E908" s="27" t="s">
        <v>76</v>
      </c>
      <c r="F908" s="27" t="s">
        <v>77</v>
      </c>
      <c r="G908" s="27" t="s">
        <v>63</v>
      </c>
      <c r="H908" s="27" t="s">
        <v>51</v>
      </c>
      <c r="I908" s="27" t="s">
        <v>1031</v>
      </c>
      <c r="J908" s="27" t="s">
        <v>117</v>
      </c>
      <c r="K908" s="27">
        <v>740</v>
      </c>
      <c r="L908" s="27">
        <v>669</v>
      </c>
      <c r="M908" s="27">
        <v>622</v>
      </c>
      <c r="N908" s="27">
        <v>47</v>
      </c>
      <c r="O908" s="27">
        <v>14</v>
      </c>
      <c r="P908" s="27">
        <v>0</v>
      </c>
      <c r="Q908" s="27" t="s">
        <v>60</v>
      </c>
      <c r="R908" s="27">
        <v>42</v>
      </c>
      <c r="S908" s="27">
        <v>45</v>
      </c>
      <c r="T908" s="29">
        <v>81</v>
      </c>
      <c r="U908" s="29">
        <v>1.95</v>
      </c>
      <c r="V908" s="29">
        <v>18.96</v>
      </c>
      <c r="W908" s="30">
        <v>12427.81</v>
      </c>
      <c r="X908" s="27">
        <v>9.09</v>
      </c>
      <c r="Y908" s="27" t="s">
        <v>110</v>
      </c>
      <c r="Z908" s="29">
        <v>21</v>
      </c>
      <c r="AA908" s="30">
        <v>19683.32</v>
      </c>
      <c r="AB908" s="29">
        <v>0.92974588938714497</v>
      </c>
      <c r="AC908" s="30">
        <v>16688.95</v>
      </c>
      <c r="AD908" s="30">
        <v>260.07375186846002</v>
      </c>
      <c r="AE908" s="27">
        <v>518</v>
      </c>
      <c r="AF908" s="29">
        <v>1</v>
      </c>
      <c r="AG908" s="30">
        <v>2734.2962481315399</v>
      </c>
      <c r="AH908" s="31">
        <f t="shared" si="225"/>
        <v>0.90405405405405403</v>
      </c>
      <c r="AI908" s="31">
        <f t="shared" si="226"/>
        <v>7.0254110612855011E-2</v>
      </c>
      <c r="AJ908" s="31">
        <f t="shared" si="227"/>
        <v>2.0926756352765322E-2</v>
      </c>
      <c r="AK908" s="31">
        <f t="shared" si="228"/>
        <v>0.92974588938714497</v>
      </c>
      <c r="AL908" s="29">
        <f t="shared" si="229"/>
        <v>0</v>
      </c>
      <c r="AM908" s="29">
        <f t="shared" si="230"/>
        <v>518</v>
      </c>
      <c r="AN908" s="29">
        <f t="shared" si="231"/>
        <v>1.2915057915057915</v>
      </c>
      <c r="AO908" s="29">
        <f t="shared" si="232"/>
        <v>1.4285714285714286</v>
      </c>
      <c r="AP908" s="31">
        <f t="shared" si="233"/>
        <v>0.90405405405405403</v>
      </c>
      <c r="AQ908" s="31">
        <f t="shared" si="234"/>
        <v>0.92974588938714497</v>
      </c>
      <c r="AR908" s="31">
        <f t="shared" si="235"/>
        <v>0.8405405405405405</v>
      </c>
      <c r="AS908" s="29">
        <f t="shared" si="236"/>
        <v>24.94611360239163</v>
      </c>
      <c r="AT908" s="29">
        <f t="shared" si="237"/>
        <v>4.0871393843520778</v>
      </c>
      <c r="AU908" s="27" t="str">
        <f t="shared" si="238"/>
        <v>Medium</v>
      </c>
      <c r="AV908" s="27" t="str">
        <f t="shared" si="239"/>
        <v>Warning</v>
      </c>
      <c r="AW908" s="27"/>
    </row>
    <row r="909" spans="1:49" x14ac:dyDescent="0.25">
      <c r="A909" s="27">
        <v>908</v>
      </c>
      <c r="B909" s="28">
        <v>46039</v>
      </c>
      <c r="C909" s="28" t="str">
        <f t="shared" si="224"/>
        <v>January</v>
      </c>
      <c r="D909" s="27" t="s">
        <v>47</v>
      </c>
      <c r="E909" s="27" t="s">
        <v>61</v>
      </c>
      <c r="F909" s="27" t="s">
        <v>62</v>
      </c>
      <c r="G909" s="27" t="s">
        <v>50</v>
      </c>
      <c r="H909" s="27" t="s">
        <v>57</v>
      </c>
      <c r="I909" s="27" t="s">
        <v>1032</v>
      </c>
      <c r="J909" s="27" t="s">
        <v>93</v>
      </c>
      <c r="K909" s="27">
        <v>921</v>
      </c>
      <c r="L909" s="27">
        <v>921</v>
      </c>
      <c r="M909" s="27">
        <v>872</v>
      </c>
      <c r="N909" s="27">
        <v>49</v>
      </c>
      <c r="O909" s="27">
        <v>11</v>
      </c>
      <c r="P909" s="27">
        <v>52</v>
      </c>
      <c r="Q909" s="27" t="s">
        <v>82</v>
      </c>
      <c r="R909" s="27">
        <v>45</v>
      </c>
      <c r="S909" s="27">
        <v>49</v>
      </c>
      <c r="T909" s="29">
        <v>78.5</v>
      </c>
      <c r="U909" s="29">
        <v>2.42</v>
      </c>
      <c r="V909" s="29">
        <v>34.770000000000003</v>
      </c>
      <c r="W909" s="30">
        <v>18354.830000000002</v>
      </c>
      <c r="X909" s="27">
        <v>8.4700000000000006</v>
      </c>
      <c r="Y909" s="27" t="s">
        <v>71</v>
      </c>
      <c r="Z909" s="29">
        <v>40</v>
      </c>
      <c r="AA909" s="30">
        <v>29672.23</v>
      </c>
      <c r="AB909" s="29">
        <v>0.94679695982627599</v>
      </c>
      <c r="AC909" s="30">
        <v>22479.26</v>
      </c>
      <c r="AD909" s="30">
        <v>219.22163952225799</v>
      </c>
      <c r="AE909" s="27">
        <v>690.75</v>
      </c>
      <c r="AF909" s="29">
        <v>0.924719507781397</v>
      </c>
      <c r="AG909" s="30">
        <v>6973.7483604777399</v>
      </c>
      <c r="AH909" s="31">
        <f t="shared" si="225"/>
        <v>1</v>
      </c>
      <c r="AI909" s="31">
        <f t="shared" si="226"/>
        <v>5.3203040173724216E-2</v>
      </c>
      <c r="AJ909" s="31">
        <f t="shared" si="227"/>
        <v>1.1943539630836048E-2</v>
      </c>
      <c r="AK909" s="31">
        <f t="shared" si="228"/>
        <v>0.94679695982627576</v>
      </c>
      <c r="AL909" s="29">
        <f t="shared" si="229"/>
        <v>0.8666666666666667</v>
      </c>
      <c r="AM909" s="29">
        <f t="shared" si="230"/>
        <v>638.75</v>
      </c>
      <c r="AN909" s="29">
        <f t="shared" si="231"/>
        <v>1.4418786692759296</v>
      </c>
      <c r="AO909" s="29">
        <f t="shared" si="232"/>
        <v>1.3333333333333333</v>
      </c>
      <c r="AP909" s="31">
        <f t="shared" si="233"/>
        <v>1.0814090019569473</v>
      </c>
      <c r="AQ909" s="31">
        <f t="shared" si="234"/>
        <v>0.94679695982627576</v>
      </c>
      <c r="AR909" s="31">
        <f t="shared" si="235"/>
        <v>0.94679695982627599</v>
      </c>
      <c r="AS909" s="29">
        <f t="shared" si="236"/>
        <v>24.40744842562432</v>
      </c>
      <c r="AT909" s="29">
        <f t="shared" si="237"/>
        <v>7.5719309017130723</v>
      </c>
      <c r="AU909" s="27" t="str">
        <f t="shared" si="238"/>
        <v>High</v>
      </c>
      <c r="AV909" s="27" t="str">
        <f t="shared" si="239"/>
        <v>Normal</v>
      </c>
      <c r="AW909" s="27"/>
    </row>
    <row r="910" spans="1:49" x14ac:dyDescent="0.25">
      <c r="A910" s="27">
        <v>909</v>
      </c>
      <c r="B910" s="28">
        <v>46041</v>
      </c>
      <c r="C910" s="28" t="str">
        <f t="shared" si="224"/>
        <v>January</v>
      </c>
      <c r="D910" s="27" t="s">
        <v>67</v>
      </c>
      <c r="E910" s="27" t="s">
        <v>76</v>
      </c>
      <c r="F910" s="27" t="s">
        <v>77</v>
      </c>
      <c r="G910" s="27" t="s">
        <v>50</v>
      </c>
      <c r="H910" s="27" t="s">
        <v>124</v>
      </c>
      <c r="I910" s="27" t="s">
        <v>1033</v>
      </c>
      <c r="J910" s="27" t="s">
        <v>140</v>
      </c>
      <c r="K910" s="27">
        <v>706</v>
      </c>
      <c r="L910" s="27">
        <v>694</v>
      </c>
      <c r="M910" s="27">
        <v>654</v>
      </c>
      <c r="N910" s="27">
        <v>40</v>
      </c>
      <c r="O910" s="27">
        <v>11</v>
      </c>
      <c r="P910" s="27">
        <v>52</v>
      </c>
      <c r="Q910" s="27" t="s">
        <v>104</v>
      </c>
      <c r="R910" s="27">
        <v>57</v>
      </c>
      <c r="S910" s="27">
        <v>57</v>
      </c>
      <c r="T910" s="29">
        <v>67.3</v>
      </c>
      <c r="U910" s="29">
        <v>1.68</v>
      </c>
      <c r="V910" s="29">
        <v>28.79</v>
      </c>
      <c r="W910" s="30">
        <v>17946.07</v>
      </c>
      <c r="X910" s="27">
        <v>8</v>
      </c>
      <c r="Y910" s="27" t="s">
        <v>71</v>
      </c>
      <c r="Z910" s="29">
        <v>45</v>
      </c>
      <c r="AA910" s="30">
        <v>30792.05</v>
      </c>
      <c r="AB910" s="29">
        <v>0.94236311239193105</v>
      </c>
      <c r="AC910" s="30">
        <v>21805.18</v>
      </c>
      <c r="AD910" s="30">
        <v>284.44779538904902</v>
      </c>
      <c r="AE910" s="27">
        <v>670.7</v>
      </c>
      <c r="AF910" s="29">
        <v>0.92246906217384805</v>
      </c>
      <c r="AG910" s="30">
        <v>8702.4222046109498</v>
      </c>
      <c r="AH910" s="31">
        <f t="shared" si="225"/>
        <v>0.98300283286118983</v>
      </c>
      <c r="AI910" s="31">
        <f t="shared" si="226"/>
        <v>5.7636887608069162E-2</v>
      </c>
      <c r="AJ910" s="31">
        <f t="shared" si="227"/>
        <v>1.5850144092219021E-2</v>
      </c>
      <c r="AK910" s="31">
        <f t="shared" si="228"/>
        <v>0.94236311239193082</v>
      </c>
      <c r="AL910" s="29">
        <f t="shared" si="229"/>
        <v>0.8666666666666667</v>
      </c>
      <c r="AM910" s="29">
        <f t="shared" si="230"/>
        <v>618.70000000000005</v>
      </c>
      <c r="AN910" s="29">
        <f t="shared" si="231"/>
        <v>1.1217068045902698</v>
      </c>
      <c r="AO910" s="29">
        <f t="shared" si="232"/>
        <v>1.0526315789473684</v>
      </c>
      <c r="AP910" s="31">
        <f t="shared" si="233"/>
        <v>1.0656214643607564</v>
      </c>
      <c r="AQ910" s="31">
        <f t="shared" si="234"/>
        <v>0.94236311239193082</v>
      </c>
      <c r="AR910" s="31">
        <f t="shared" si="235"/>
        <v>0.92634560906515562</v>
      </c>
      <c r="AS910" s="29">
        <f t="shared" si="236"/>
        <v>31.41956772334294</v>
      </c>
      <c r="AT910" s="29">
        <f t="shared" si="237"/>
        <v>12.539513263128169</v>
      </c>
      <c r="AU910" s="27" t="str">
        <f t="shared" si="238"/>
        <v>High</v>
      </c>
      <c r="AV910" s="27" t="str">
        <f t="shared" si="239"/>
        <v>Normal</v>
      </c>
      <c r="AW910" s="27"/>
    </row>
    <row r="911" spans="1:49" x14ac:dyDescent="0.25">
      <c r="A911" s="27">
        <v>910</v>
      </c>
      <c r="B911" s="28">
        <v>46026</v>
      </c>
      <c r="C911" s="28" t="str">
        <f t="shared" si="224"/>
        <v>January</v>
      </c>
      <c r="D911" s="27" t="s">
        <v>67</v>
      </c>
      <c r="E911" s="27" t="s">
        <v>129</v>
      </c>
      <c r="F911" s="27" t="s">
        <v>151</v>
      </c>
      <c r="G911" s="27" t="s">
        <v>50</v>
      </c>
      <c r="H911" s="27" t="s">
        <v>79</v>
      </c>
      <c r="I911" s="27" t="s">
        <v>1034</v>
      </c>
      <c r="J911" s="27" t="s">
        <v>164</v>
      </c>
      <c r="K911" s="27">
        <v>747</v>
      </c>
      <c r="L911" s="27">
        <v>663</v>
      </c>
      <c r="M911" s="27">
        <v>628</v>
      </c>
      <c r="N911" s="27">
        <v>35</v>
      </c>
      <c r="O911" s="27">
        <v>13</v>
      </c>
      <c r="P911" s="27">
        <v>30</v>
      </c>
      <c r="Q911" s="27" t="s">
        <v>54</v>
      </c>
      <c r="R911" s="27">
        <v>49</v>
      </c>
      <c r="S911" s="27">
        <v>53</v>
      </c>
      <c r="T911" s="29">
        <v>75.400000000000006</v>
      </c>
      <c r="U911" s="29">
        <v>2.12</v>
      </c>
      <c r="V911" s="29">
        <v>27.11</v>
      </c>
      <c r="W911" s="30">
        <v>13780.69</v>
      </c>
      <c r="X911" s="27">
        <v>7.9</v>
      </c>
      <c r="Y911" s="27" t="s">
        <v>71</v>
      </c>
      <c r="Z911" s="29">
        <v>36</v>
      </c>
      <c r="AA911" s="30">
        <v>23926.98</v>
      </c>
      <c r="AB911" s="29">
        <v>0.947209653092006</v>
      </c>
      <c r="AC911" s="30">
        <v>17579.68</v>
      </c>
      <c r="AD911" s="30">
        <v>270.20960784313701</v>
      </c>
      <c r="AE911" s="27">
        <v>610.04999999999995</v>
      </c>
      <c r="AF911" s="29">
        <v>0.95082370297516605</v>
      </c>
      <c r="AG911" s="30">
        <v>6077.0903921568597</v>
      </c>
      <c r="AH911" s="31">
        <f t="shared" si="225"/>
        <v>0.8875502008032129</v>
      </c>
      <c r="AI911" s="31">
        <f t="shared" si="226"/>
        <v>5.2790346907993967E-2</v>
      </c>
      <c r="AJ911" s="31">
        <f t="shared" si="227"/>
        <v>1.9607843137254902E-2</v>
      </c>
      <c r="AK911" s="31">
        <f t="shared" si="228"/>
        <v>0.947209653092006</v>
      </c>
      <c r="AL911" s="29">
        <f t="shared" si="229"/>
        <v>0.5</v>
      </c>
      <c r="AM911" s="29">
        <f t="shared" si="230"/>
        <v>580.04999999999995</v>
      </c>
      <c r="AN911" s="29">
        <f t="shared" si="231"/>
        <v>1.1430049133695372</v>
      </c>
      <c r="AO911" s="29">
        <f t="shared" si="232"/>
        <v>1.2244897959183674</v>
      </c>
      <c r="AP911" s="31">
        <f t="shared" si="233"/>
        <v>0.93345401258512206</v>
      </c>
      <c r="AQ911" s="31">
        <f t="shared" si="234"/>
        <v>0.947209653092006</v>
      </c>
      <c r="AR911" s="31">
        <f t="shared" si="235"/>
        <v>0.84069611780455167</v>
      </c>
      <c r="AS911" s="29">
        <f t="shared" si="236"/>
        <v>26.515354449472095</v>
      </c>
      <c r="AT911" s="29">
        <f t="shared" si="237"/>
        <v>9.1660488569485068</v>
      </c>
      <c r="AU911" s="27" t="str">
        <f t="shared" si="238"/>
        <v>High</v>
      </c>
      <c r="AV911" s="27" t="str">
        <f t="shared" si="239"/>
        <v>Warning</v>
      </c>
      <c r="AW911" s="27"/>
    </row>
    <row r="912" spans="1:49" x14ac:dyDescent="0.25">
      <c r="A912" s="27">
        <v>911</v>
      </c>
      <c r="B912" s="28">
        <v>46125</v>
      </c>
      <c r="C912" s="28" t="str">
        <f t="shared" si="224"/>
        <v>April</v>
      </c>
      <c r="D912" s="27" t="s">
        <v>67</v>
      </c>
      <c r="E912" s="27" t="s">
        <v>48</v>
      </c>
      <c r="F912" s="27" t="s">
        <v>49</v>
      </c>
      <c r="G912" s="27" t="s">
        <v>63</v>
      </c>
      <c r="H912" s="27" t="s">
        <v>124</v>
      </c>
      <c r="I912" s="27" t="s">
        <v>1035</v>
      </c>
      <c r="J912" s="27" t="s">
        <v>101</v>
      </c>
      <c r="K912" s="27">
        <v>620</v>
      </c>
      <c r="L912" s="27">
        <v>575</v>
      </c>
      <c r="M912" s="27">
        <v>552</v>
      </c>
      <c r="N912" s="27">
        <v>23</v>
      </c>
      <c r="O912" s="27">
        <v>8</v>
      </c>
      <c r="P912" s="27">
        <v>11</v>
      </c>
      <c r="Q912" s="27" t="s">
        <v>97</v>
      </c>
      <c r="R912" s="27">
        <v>57</v>
      </c>
      <c r="S912" s="27">
        <v>58</v>
      </c>
      <c r="T912" s="29">
        <v>64.7</v>
      </c>
      <c r="U912" s="29">
        <v>2.14</v>
      </c>
      <c r="V912" s="29">
        <v>17.5</v>
      </c>
      <c r="W912" s="30">
        <v>15224.03</v>
      </c>
      <c r="X912" s="27">
        <v>9.69</v>
      </c>
      <c r="Y912" s="27" t="s">
        <v>55</v>
      </c>
      <c r="Z912" s="29">
        <v>15</v>
      </c>
      <c r="AA912" s="30">
        <v>25925.24</v>
      </c>
      <c r="AB912" s="29">
        <v>0.96</v>
      </c>
      <c r="AC912" s="30">
        <v>19742.03</v>
      </c>
      <c r="AD912" s="30">
        <v>211.81259130434799</v>
      </c>
      <c r="AE912" s="27">
        <v>589</v>
      </c>
      <c r="AF912" s="29">
        <v>0.98132427843803105</v>
      </c>
      <c r="AG912" s="30">
        <v>5971.3974086956596</v>
      </c>
      <c r="AH912" s="31">
        <f t="shared" si="225"/>
        <v>0.92741935483870963</v>
      </c>
      <c r="AI912" s="31">
        <f t="shared" si="226"/>
        <v>0.04</v>
      </c>
      <c r="AJ912" s="31">
        <f t="shared" si="227"/>
        <v>1.391304347826087E-2</v>
      </c>
      <c r="AK912" s="31">
        <f t="shared" si="228"/>
        <v>0.96</v>
      </c>
      <c r="AL912" s="29">
        <f t="shared" si="229"/>
        <v>0.18333333333333332</v>
      </c>
      <c r="AM912" s="29">
        <f t="shared" si="230"/>
        <v>578</v>
      </c>
      <c r="AN912" s="29">
        <f t="shared" si="231"/>
        <v>0.99480968858131491</v>
      </c>
      <c r="AO912" s="29">
        <f t="shared" si="232"/>
        <v>1.0526315789473684</v>
      </c>
      <c r="AP912" s="31">
        <f t="shared" si="233"/>
        <v>0.94506920415224926</v>
      </c>
      <c r="AQ912" s="31">
        <f t="shared" si="234"/>
        <v>0.96</v>
      </c>
      <c r="AR912" s="31">
        <f t="shared" si="235"/>
        <v>0.8903225806451619</v>
      </c>
      <c r="AS912" s="29">
        <f t="shared" si="236"/>
        <v>34.333965217391302</v>
      </c>
      <c r="AT912" s="29">
        <f t="shared" si="237"/>
        <v>10.385038971644626</v>
      </c>
      <c r="AU912" s="27" t="str">
        <f t="shared" si="238"/>
        <v>Low</v>
      </c>
      <c r="AV912" s="27" t="str">
        <f t="shared" si="239"/>
        <v>Normal</v>
      </c>
      <c r="AW912" s="27"/>
    </row>
    <row r="913" spans="1:49" x14ac:dyDescent="0.25">
      <c r="A913" s="27">
        <v>912</v>
      </c>
      <c r="B913" s="28">
        <v>46151</v>
      </c>
      <c r="C913" s="28" t="str">
        <f t="shared" si="224"/>
        <v>May</v>
      </c>
      <c r="D913" s="27" t="s">
        <v>47</v>
      </c>
      <c r="E913" s="27" t="s">
        <v>61</v>
      </c>
      <c r="F913" s="27" t="s">
        <v>62</v>
      </c>
      <c r="G913" s="27" t="s">
        <v>50</v>
      </c>
      <c r="H913" s="27" t="s">
        <v>57</v>
      </c>
      <c r="I913" s="27" t="s">
        <v>1036</v>
      </c>
      <c r="J913" s="27" t="s">
        <v>84</v>
      </c>
      <c r="K913" s="27">
        <v>701</v>
      </c>
      <c r="L913" s="27">
        <v>722</v>
      </c>
      <c r="M913" s="27">
        <v>685</v>
      </c>
      <c r="N913" s="27">
        <v>37</v>
      </c>
      <c r="O913" s="27">
        <v>12</v>
      </c>
      <c r="P913" s="27">
        <v>44</v>
      </c>
      <c r="Q913" s="27" t="s">
        <v>54</v>
      </c>
      <c r="R913" s="27">
        <v>45</v>
      </c>
      <c r="S913" s="27">
        <v>48</v>
      </c>
      <c r="T913" s="29">
        <v>80</v>
      </c>
      <c r="U913" s="29">
        <v>2.5299999999999998</v>
      </c>
      <c r="V913" s="29">
        <v>32.47</v>
      </c>
      <c r="W913" s="30">
        <v>14053.01</v>
      </c>
      <c r="X913" s="27">
        <v>8.09</v>
      </c>
      <c r="Y913" s="27" t="s">
        <v>71</v>
      </c>
      <c r="Z913" s="29">
        <v>31</v>
      </c>
      <c r="AA913" s="30">
        <v>23464.71</v>
      </c>
      <c r="AB913" s="29">
        <v>0.94875346260387805</v>
      </c>
      <c r="AC913" s="30">
        <v>17985.740000000002</v>
      </c>
      <c r="AD913" s="30">
        <v>233.56803324099701</v>
      </c>
      <c r="AE913" s="27">
        <v>525.75</v>
      </c>
      <c r="AF913" s="29">
        <v>0.91631003328578198</v>
      </c>
      <c r="AG913" s="30">
        <v>5245.4019667590001</v>
      </c>
      <c r="AH913" s="31">
        <f t="shared" si="225"/>
        <v>1.0299572039942939</v>
      </c>
      <c r="AI913" s="31">
        <f t="shared" si="226"/>
        <v>5.1246537396121887E-2</v>
      </c>
      <c r="AJ913" s="31">
        <f t="shared" si="227"/>
        <v>1.662049861495845E-2</v>
      </c>
      <c r="AK913" s="31">
        <f t="shared" si="228"/>
        <v>0.94875346260387816</v>
      </c>
      <c r="AL913" s="29">
        <f t="shared" si="229"/>
        <v>0.73333333333333328</v>
      </c>
      <c r="AM913" s="29">
        <f t="shared" si="230"/>
        <v>481.75</v>
      </c>
      <c r="AN913" s="29">
        <f t="shared" si="231"/>
        <v>1.4987026466009341</v>
      </c>
      <c r="AO913" s="29">
        <f t="shared" si="232"/>
        <v>1.3333333333333333</v>
      </c>
      <c r="AP913" s="31">
        <f t="shared" si="233"/>
        <v>1.1240269849507007</v>
      </c>
      <c r="AQ913" s="31">
        <f t="shared" si="234"/>
        <v>0.94875346260387816</v>
      </c>
      <c r="AR913" s="31">
        <f t="shared" si="235"/>
        <v>0.97717546362339502</v>
      </c>
      <c r="AS913" s="29">
        <f t="shared" si="236"/>
        <v>24.910997229916898</v>
      </c>
      <c r="AT913" s="29">
        <f t="shared" si="237"/>
        <v>7.2650996769515235</v>
      </c>
      <c r="AU913" s="27" t="str">
        <f t="shared" si="238"/>
        <v>High</v>
      </c>
      <c r="AV913" s="27" t="str">
        <f t="shared" si="239"/>
        <v>Warning</v>
      </c>
      <c r="AW913" s="27"/>
    </row>
    <row r="914" spans="1:49" x14ac:dyDescent="0.25">
      <c r="A914" s="27">
        <v>913</v>
      </c>
      <c r="B914" s="28">
        <v>46122</v>
      </c>
      <c r="C914" s="28" t="str">
        <f t="shared" si="224"/>
        <v>April</v>
      </c>
      <c r="D914" s="27" t="s">
        <v>67</v>
      </c>
      <c r="E914" s="27" t="s">
        <v>48</v>
      </c>
      <c r="F914" s="27" t="s">
        <v>72</v>
      </c>
      <c r="G914" s="27" t="s">
        <v>50</v>
      </c>
      <c r="H914" s="27" t="s">
        <v>79</v>
      </c>
      <c r="I914" s="27" t="s">
        <v>1037</v>
      </c>
      <c r="J914" s="27" t="s">
        <v>226</v>
      </c>
      <c r="K914" s="27">
        <v>644</v>
      </c>
      <c r="L914" s="27">
        <v>640</v>
      </c>
      <c r="M914" s="27">
        <v>615</v>
      </c>
      <c r="N914" s="27">
        <v>25</v>
      </c>
      <c r="O914" s="27">
        <v>5</v>
      </c>
      <c r="P914" s="27">
        <v>8</v>
      </c>
      <c r="Q914" s="27" t="s">
        <v>102</v>
      </c>
      <c r="R914" s="27">
        <v>49</v>
      </c>
      <c r="S914" s="27">
        <v>48</v>
      </c>
      <c r="T914" s="29">
        <v>70.900000000000006</v>
      </c>
      <c r="U914" s="29">
        <v>2.84</v>
      </c>
      <c r="V914" s="29">
        <v>18.420000000000002</v>
      </c>
      <c r="W914" s="30">
        <v>14764.26</v>
      </c>
      <c r="X914" s="27">
        <v>9.3800000000000008</v>
      </c>
      <c r="Y914" s="27" t="s">
        <v>66</v>
      </c>
      <c r="Z914" s="29">
        <v>26</v>
      </c>
      <c r="AA914" s="30">
        <v>24003.759999999998</v>
      </c>
      <c r="AB914" s="29">
        <v>0.9609375</v>
      </c>
      <c r="AC914" s="30">
        <v>19151.04</v>
      </c>
      <c r="AD914" s="30">
        <v>115.34578125</v>
      </c>
      <c r="AE914" s="27">
        <v>525.93333333333305</v>
      </c>
      <c r="AF914" s="29">
        <v>0.98478894663455396</v>
      </c>
      <c r="AG914" s="30">
        <v>4737.3742187500002</v>
      </c>
      <c r="AH914" s="31">
        <f t="shared" si="225"/>
        <v>0.99378881987577639</v>
      </c>
      <c r="AI914" s="31">
        <f t="shared" si="226"/>
        <v>3.90625E-2</v>
      </c>
      <c r="AJ914" s="31">
        <f t="shared" si="227"/>
        <v>7.8125E-3</v>
      </c>
      <c r="AK914" s="31">
        <f t="shared" si="228"/>
        <v>0.9609375</v>
      </c>
      <c r="AL914" s="29">
        <f t="shared" si="229"/>
        <v>0.13333333333333333</v>
      </c>
      <c r="AM914" s="29">
        <f t="shared" si="230"/>
        <v>517.93333333333305</v>
      </c>
      <c r="AN914" s="29">
        <f t="shared" si="231"/>
        <v>1.2356802677307253</v>
      </c>
      <c r="AO914" s="29">
        <f t="shared" si="232"/>
        <v>1.2244897959183674</v>
      </c>
      <c r="AP914" s="31">
        <f t="shared" si="233"/>
        <v>1.0091388853134255</v>
      </c>
      <c r="AQ914" s="31">
        <f t="shared" si="234"/>
        <v>0.9609375</v>
      </c>
      <c r="AR914" s="31">
        <f t="shared" si="235"/>
        <v>0.95496894409937871</v>
      </c>
      <c r="AS914" s="29">
        <f t="shared" si="236"/>
        <v>29.923500000000001</v>
      </c>
      <c r="AT914" s="29">
        <f t="shared" si="237"/>
        <v>7.4021472167968749</v>
      </c>
      <c r="AU914" s="27" t="str">
        <f t="shared" si="238"/>
        <v>Low</v>
      </c>
      <c r="AV914" s="27" t="str">
        <f t="shared" si="239"/>
        <v>Normal</v>
      </c>
      <c r="AW914" s="27"/>
    </row>
    <row r="915" spans="1:49" x14ac:dyDescent="0.25">
      <c r="A915" s="27">
        <v>914</v>
      </c>
      <c r="B915" s="28">
        <v>46116</v>
      </c>
      <c r="C915" s="28" t="str">
        <f t="shared" si="224"/>
        <v>April</v>
      </c>
      <c r="D915" s="27" t="s">
        <v>67</v>
      </c>
      <c r="E915" s="27" t="s">
        <v>129</v>
      </c>
      <c r="F915" s="27" t="s">
        <v>151</v>
      </c>
      <c r="G915" s="27" t="s">
        <v>63</v>
      </c>
      <c r="H915" s="27" t="s">
        <v>68</v>
      </c>
      <c r="I915" s="27" t="s">
        <v>1038</v>
      </c>
      <c r="J915" s="27" t="s">
        <v>150</v>
      </c>
      <c r="K915" s="27">
        <v>671</v>
      </c>
      <c r="L915" s="27">
        <v>549</v>
      </c>
      <c r="M915" s="27">
        <v>517</v>
      </c>
      <c r="N915" s="27">
        <v>32</v>
      </c>
      <c r="O915" s="27">
        <v>11</v>
      </c>
      <c r="P915" s="27">
        <v>43</v>
      </c>
      <c r="Q915" s="27" t="s">
        <v>97</v>
      </c>
      <c r="R915" s="27">
        <v>64</v>
      </c>
      <c r="S915" s="27">
        <v>69</v>
      </c>
      <c r="T915" s="29">
        <v>79.3</v>
      </c>
      <c r="U915" s="29">
        <v>2.4300000000000002</v>
      </c>
      <c r="V915" s="29">
        <v>23.73</v>
      </c>
      <c r="W915" s="30">
        <v>17487.080000000002</v>
      </c>
      <c r="X915" s="27">
        <v>7.45</v>
      </c>
      <c r="Y915" s="27" t="s">
        <v>66</v>
      </c>
      <c r="Z915" s="29">
        <v>23</v>
      </c>
      <c r="AA915" s="30">
        <v>27356.09</v>
      </c>
      <c r="AB915" s="29">
        <v>0.94171220400728595</v>
      </c>
      <c r="AC915" s="30">
        <v>21053.15</v>
      </c>
      <c r="AD915" s="30">
        <v>350.37865209471801</v>
      </c>
      <c r="AE915" s="27">
        <v>715.73333333333301</v>
      </c>
      <c r="AF915" s="29">
        <v>0.93992175856930005</v>
      </c>
      <c r="AG915" s="30">
        <v>5952.5613479052799</v>
      </c>
      <c r="AH915" s="31">
        <f t="shared" si="225"/>
        <v>0.81818181818181823</v>
      </c>
      <c r="AI915" s="31">
        <f t="shared" si="226"/>
        <v>5.8287795992714025E-2</v>
      </c>
      <c r="AJ915" s="31">
        <f t="shared" si="227"/>
        <v>2.0036429872495445E-2</v>
      </c>
      <c r="AK915" s="31">
        <f t="shared" si="228"/>
        <v>0.94171220400728595</v>
      </c>
      <c r="AL915" s="29">
        <f t="shared" si="229"/>
        <v>0.71666666666666667</v>
      </c>
      <c r="AM915" s="29">
        <f t="shared" si="230"/>
        <v>672.73333333333301</v>
      </c>
      <c r="AN915" s="29">
        <f t="shared" si="231"/>
        <v>0.81607372906550435</v>
      </c>
      <c r="AO915" s="29">
        <f t="shared" si="232"/>
        <v>0.9375</v>
      </c>
      <c r="AP915" s="31">
        <f t="shared" si="233"/>
        <v>0.87047864433653799</v>
      </c>
      <c r="AQ915" s="31">
        <f t="shared" si="234"/>
        <v>0.94171220400728595</v>
      </c>
      <c r="AR915" s="31">
        <f t="shared" si="235"/>
        <v>0.77049180327868927</v>
      </c>
      <c r="AS915" s="29">
        <f t="shared" si="236"/>
        <v>38.348178506375227</v>
      </c>
      <c r="AT915" s="29">
        <f t="shared" si="237"/>
        <v>10.842552546275556</v>
      </c>
      <c r="AU915" s="27" t="str">
        <f t="shared" si="238"/>
        <v>High</v>
      </c>
      <c r="AV915" s="27" t="str">
        <f t="shared" si="239"/>
        <v>Warning</v>
      </c>
      <c r="AW915" s="27"/>
    </row>
    <row r="916" spans="1:49" x14ac:dyDescent="0.25">
      <c r="A916" s="27">
        <v>915</v>
      </c>
      <c r="B916" s="28">
        <v>46122</v>
      </c>
      <c r="C916" s="28" t="str">
        <f t="shared" si="224"/>
        <v>April</v>
      </c>
      <c r="D916" s="27" t="s">
        <v>67</v>
      </c>
      <c r="E916" s="27" t="s">
        <v>98</v>
      </c>
      <c r="F916" s="27" t="s">
        <v>99</v>
      </c>
      <c r="G916" s="27" t="s">
        <v>50</v>
      </c>
      <c r="H916" s="27" t="s">
        <v>79</v>
      </c>
      <c r="I916" s="27" t="s">
        <v>1039</v>
      </c>
      <c r="J916" s="27" t="s">
        <v>90</v>
      </c>
      <c r="K916" s="27">
        <v>621</v>
      </c>
      <c r="L916" s="27">
        <v>582</v>
      </c>
      <c r="M916" s="27">
        <v>557</v>
      </c>
      <c r="N916" s="27">
        <v>25</v>
      </c>
      <c r="O916" s="27">
        <v>6</v>
      </c>
      <c r="P916" s="27">
        <v>19</v>
      </c>
      <c r="Q916" s="27" t="s">
        <v>75</v>
      </c>
      <c r="R916" s="27">
        <v>49</v>
      </c>
      <c r="S916" s="27">
        <v>52</v>
      </c>
      <c r="T916" s="29">
        <v>74.5</v>
      </c>
      <c r="U916" s="29">
        <v>1.48</v>
      </c>
      <c r="V916" s="29">
        <v>20.2</v>
      </c>
      <c r="W916" s="30">
        <v>12543.79</v>
      </c>
      <c r="X916" s="27">
        <v>9.26</v>
      </c>
      <c r="Y916" s="27" t="s">
        <v>66</v>
      </c>
      <c r="Z916" s="29">
        <v>30</v>
      </c>
      <c r="AA916" s="30">
        <v>20583.759999999998</v>
      </c>
      <c r="AB916" s="29">
        <v>0.95704467353951905</v>
      </c>
      <c r="AC916" s="30">
        <v>16892.59</v>
      </c>
      <c r="AD916" s="30">
        <v>129.31742268041199</v>
      </c>
      <c r="AE916" s="27">
        <v>507.15</v>
      </c>
      <c r="AF916" s="29">
        <v>0.96253573893325495</v>
      </c>
      <c r="AG916" s="30">
        <v>3561.8525773195902</v>
      </c>
      <c r="AH916" s="31">
        <f t="shared" si="225"/>
        <v>0.9371980676328503</v>
      </c>
      <c r="AI916" s="31">
        <f t="shared" si="226"/>
        <v>4.29553264604811E-2</v>
      </c>
      <c r="AJ916" s="31">
        <f t="shared" si="227"/>
        <v>1.0309278350515464E-2</v>
      </c>
      <c r="AK916" s="31">
        <f t="shared" si="228"/>
        <v>0.95704467353951894</v>
      </c>
      <c r="AL916" s="29">
        <f t="shared" si="229"/>
        <v>0.31666666666666665</v>
      </c>
      <c r="AM916" s="29">
        <f t="shared" si="230"/>
        <v>488.15</v>
      </c>
      <c r="AN916" s="29">
        <f t="shared" si="231"/>
        <v>1.192256478541432</v>
      </c>
      <c r="AO916" s="29">
        <f t="shared" si="232"/>
        <v>1.2244897959183674</v>
      </c>
      <c r="AP916" s="31">
        <f t="shared" si="233"/>
        <v>0.97367612414216942</v>
      </c>
      <c r="AQ916" s="31">
        <f t="shared" si="234"/>
        <v>0.95704467353951894</v>
      </c>
      <c r="AR916" s="31">
        <f t="shared" si="235"/>
        <v>0.89694041867954966</v>
      </c>
      <c r="AS916" s="29">
        <f t="shared" si="236"/>
        <v>29.025068728522339</v>
      </c>
      <c r="AT916" s="29">
        <f t="shared" si="237"/>
        <v>6.12002161051476</v>
      </c>
      <c r="AU916" s="27" t="str">
        <f t="shared" si="238"/>
        <v>Medium</v>
      </c>
      <c r="AV916" s="27" t="str">
        <f t="shared" si="239"/>
        <v>Normal</v>
      </c>
      <c r="AW916" s="27"/>
    </row>
    <row r="917" spans="1:49" x14ac:dyDescent="0.25">
      <c r="A917" s="27">
        <v>916</v>
      </c>
      <c r="B917" s="28">
        <v>46124</v>
      </c>
      <c r="C917" s="28" t="str">
        <f t="shared" si="224"/>
        <v>April</v>
      </c>
      <c r="D917" s="27" t="s">
        <v>47</v>
      </c>
      <c r="E917" s="27" t="s">
        <v>61</v>
      </c>
      <c r="F917" s="27" t="s">
        <v>88</v>
      </c>
      <c r="G917" s="27" t="s">
        <v>50</v>
      </c>
      <c r="H917" s="27" t="s">
        <v>51</v>
      </c>
      <c r="I917" s="27" t="s">
        <v>1040</v>
      </c>
      <c r="J917" s="27" t="s">
        <v>175</v>
      </c>
      <c r="K917" s="27">
        <v>764</v>
      </c>
      <c r="L917" s="27">
        <v>861</v>
      </c>
      <c r="M917" s="27">
        <v>836</v>
      </c>
      <c r="N917" s="27">
        <v>25</v>
      </c>
      <c r="O917" s="27">
        <v>5</v>
      </c>
      <c r="P917" s="27">
        <v>0</v>
      </c>
      <c r="Q917" s="27" t="s">
        <v>60</v>
      </c>
      <c r="R917" s="27">
        <v>42</v>
      </c>
      <c r="S917" s="27">
        <v>44</v>
      </c>
      <c r="T917" s="29">
        <v>71.400000000000006</v>
      </c>
      <c r="U917" s="29">
        <v>2</v>
      </c>
      <c r="V917" s="29">
        <v>25.43</v>
      </c>
      <c r="W917" s="30">
        <v>16512.43</v>
      </c>
      <c r="X917" s="27">
        <v>9</v>
      </c>
      <c r="Y917" s="27" t="s">
        <v>55</v>
      </c>
      <c r="Z917" s="29">
        <v>25</v>
      </c>
      <c r="AA917" s="30">
        <v>26535.05</v>
      </c>
      <c r="AB917" s="29">
        <v>0.97096399535423905</v>
      </c>
      <c r="AC917" s="30">
        <v>20791.3</v>
      </c>
      <c r="AD917" s="30">
        <v>95.890998838559796</v>
      </c>
      <c r="AE917" s="27">
        <v>534.79999999999995</v>
      </c>
      <c r="AF917" s="29">
        <v>1</v>
      </c>
      <c r="AG917" s="30">
        <v>5647.8590011614397</v>
      </c>
      <c r="AH917" s="31">
        <f t="shared" si="225"/>
        <v>1.1269633507853403</v>
      </c>
      <c r="AI917" s="31">
        <f t="shared" si="226"/>
        <v>2.9036004645760744E-2</v>
      </c>
      <c r="AJ917" s="31">
        <f t="shared" si="227"/>
        <v>5.8072009291521487E-3</v>
      </c>
      <c r="AK917" s="31">
        <f t="shared" si="228"/>
        <v>0.97096399535423927</v>
      </c>
      <c r="AL917" s="29">
        <f t="shared" si="229"/>
        <v>0</v>
      </c>
      <c r="AM917" s="29">
        <f t="shared" si="230"/>
        <v>534.79999999999995</v>
      </c>
      <c r="AN917" s="29">
        <f t="shared" si="231"/>
        <v>1.6099476439790577</v>
      </c>
      <c r="AO917" s="29">
        <f t="shared" si="232"/>
        <v>1.4285714285714286</v>
      </c>
      <c r="AP917" s="31">
        <f t="shared" si="233"/>
        <v>1.1269633507853403</v>
      </c>
      <c r="AQ917" s="31">
        <f t="shared" si="234"/>
        <v>0.97096399535423927</v>
      </c>
      <c r="AR917" s="31">
        <f t="shared" si="235"/>
        <v>1.0942408376963351</v>
      </c>
      <c r="AS917" s="29">
        <f t="shared" si="236"/>
        <v>24.147851335656213</v>
      </c>
      <c r="AT917" s="29">
        <f t="shared" si="237"/>
        <v>6.5596504078530078</v>
      </c>
      <c r="AU917" s="27" t="str">
        <f t="shared" si="238"/>
        <v>Low</v>
      </c>
      <c r="AV917" s="27" t="str">
        <f t="shared" si="239"/>
        <v>Normal</v>
      </c>
      <c r="AW917" s="27"/>
    </row>
    <row r="918" spans="1:49" x14ac:dyDescent="0.25">
      <c r="A918" s="27">
        <v>917</v>
      </c>
      <c r="B918" s="28">
        <v>46028</v>
      </c>
      <c r="C918" s="28" t="str">
        <f t="shared" si="224"/>
        <v>January</v>
      </c>
      <c r="D918" s="27" t="s">
        <v>67</v>
      </c>
      <c r="E918" s="27" t="s">
        <v>129</v>
      </c>
      <c r="F918" s="27" t="s">
        <v>167</v>
      </c>
      <c r="G918" s="27" t="s">
        <v>63</v>
      </c>
      <c r="H918" s="27" t="s">
        <v>57</v>
      </c>
      <c r="I918" s="27" t="s">
        <v>1041</v>
      </c>
      <c r="J918" s="27" t="s">
        <v>117</v>
      </c>
      <c r="K918" s="27">
        <v>869</v>
      </c>
      <c r="L918" s="27">
        <v>836</v>
      </c>
      <c r="M918" s="27">
        <v>765</v>
      </c>
      <c r="N918" s="27">
        <v>71</v>
      </c>
      <c r="O918" s="27">
        <v>14</v>
      </c>
      <c r="P918" s="27">
        <v>10</v>
      </c>
      <c r="Q918" s="27" t="s">
        <v>82</v>
      </c>
      <c r="R918" s="27">
        <v>45</v>
      </c>
      <c r="S918" s="27">
        <v>47</v>
      </c>
      <c r="T918" s="29">
        <v>60.2</v>
      </c>
      <c r="U918" s="29">
        <v>2.73</v>
      </c>
      <c r="V918" s="29">
        <v>33.32</v>
      </c>
      <c r="W918" s="30">
        <v>17996.060000000001</v>
      </c>
      <c r="X918" s="27">
        <v>9.93</v>
      </c>
      <c r="Y918" s="27" t="s">
        <v>110</v>
      </c>
      <c r="Z918" s="29">
        <v>20</v>
      </c>
      <c r="AA918" s="30">
        <v>27034.59</v>
      </c>
      <c r="AB918" s="29">
        <v>0.91507177033492804</v>
      </c>
      <c r="AC918" s="30">
        <v>22764.44</v>
      </c>
      <c r="AD918" s="30">
        <v>301.36942583732099</v>
      </c>
      <c r="AE918" s="27">
        <v>651.75</v>
      </c>
      <c r="AF918" s="29">
        <v>0.984656693517453</v>
      </c>
      <c r="AG918" s="30">
        <v>3968.7805741626798</v>
      </c>
      <c r="AH918" s="31">
        <f t="shared" si="225"/>
        <v>0.96202531645569622</v>
      </c>
      <c r="AI918" s="31">
        <f t="shared" si="226"/>
        <v>8.4928229665071769E-2</v>
      </c>
      <c r="AJ918" s="31">
        <f t="shared" si="227"/>
        <v>1.6746411483253589E-2</v>
      </c>
      <c r="AK918" s="31">
        <f t="shared" si="228"/>
        <v>0.91507177033492826</v>
      </c>
      <c r="AL918" s="29">
        <f t="shared" si="229"/>
        <v>0.16666666666666666</v>
      </c>
      <c r="AM918" s="29">
        <f t="shared" si="230"/>
        <v>641.75</v>
      </c>
      <c r="AN918" s="29">
        <f t="shared" si="231"/>
        <v>1.3026879626022594</v>
      </c>
      <c r="AO918" s="29">
        <f t="shared" si="232"/>
        <v>1.3333333333333333</v>
      </c>
      <c r="AP918" s="31">
        <f t="shared" si="233"/>
        <v>0.97701597195169454</v>
      </c>
      <c r="AQ918" s="31">
        <f t="shared" si="234"/>
        <v>0.91507177033492826</v>
      </c>
      <c r="AR918" s="31">
        <f t="shared" si="235"/>
        <v>0.88032220943613348</v>
      </c>
      <c r="AS918" s="29">
        <f t="shared" si="236"/>
        <v>27.230191387559806</v>
      </c>
      <c r="AT918" s="29">
        <f t="shared" si="237"/>
        <v>4.7473451844051198</v>
      </c>
      <c r="AU918" s="27" t="str">
        <f t="shared" si="238"/>
        <v>Medium</v>
      </c>
      <c r="AV918" s="27" t="str">
        <f t="shared" si="239"/>
        <v>Warning</v>
      </c>
      <c r="AW918" s="27"/>
    </row>
    <row r="919" spans="1:49" x14ac:dyDescent="0.25">
      <c r="A919" s="27">
        <v>918</v>
      </c>
      <c r="B919" s="28">
        <v>46088</v>
      </c>
      <c r="C919" s="28" t="str">
        <f t="shared" si="224"/>
        <v>March</v>
      </c>
      <c r="D919" s="27" t="s">
        <v>67</v>
      </c>
      <c r="E919" s="27" t="s">
        <v>76</v>
      </c>
      <c r="F919" s="27" t="s">
        <v>77</v>
      </c>
      <c r="G919" s="27" t="s">
        <v>50</v>
      </c>
      <c r="H919" s="27" t="s">
        <v>79</v>
      </c>
      <c r="I919" s="27" t="s">
        <v>1042</v>
      </c>
      <c r="J919" s="27" t="s">
        <v>143</v>
      </c>
      <c r="K919" s="27">
        <v>766</v>
      </c>
      <c r="L919" s="27">
        <v>817</v>
      </c>
      <c r="M919" s="27">
        <v>766</v>
      </c>
      <c r="N919" s="27">
        <v>51</v>
      </c>
      <c r="O919" s="27">
        <v>17</v>
      </c>
      <c r="P919" s="27">
        <v>23</v>
      </c>
      <c r="Q919" s="27" t="s">
        <v>94</v>
      </c>
      <c r="R919" s="27">
        <v>49</v>
      </c>
      <c r="S919" s="27">
        <v>51</v>
      </c>
      <c r="T919" s="29">
        <v>76.599999999999994</v>
      </c>
      <c r="U919" s="29">
        <v>2.48</v>
      </c>
      <c r="V919" s="29">
        <v>29.56</v>
      </c>
      <c r="W919" s="30">
        <v>18705.11</v>
      </c>
      <c r="X919" s="27">
        <v>8.68</v>
      </c>
      <c r="Y919" s="27" t="s">
        <v>55</v>
      </c>
      <c r="Z919" s="29">
        <v>28</v>
      </c>
      <c r="AA919" s="30">
        <v>29946.92</v>
      </c>
      <c r="AB919" s="29">
        <v>0.93757649938800502</v>
      </c>
      <c r="AC919" s="30">
        <v>22877.15</v>
      </c>
      <c r="AD919" s="30">
        <v>389.212815177479</v>
      </c>
      <c r="AE919" s="27">
        <v>625.56666666666695</v>
      </c>
      <c r="AF919" s="29">
        <v>0.96323333510950104</v>
      </c>
      <c r="AG919" s="30">
        <v>6680.55718482252</v>
      </c>
      <c r="AH919" s="31">
        <f t="shared" si="225"/>
        <v>1.066579634464752</v>
      </c>
      <c r="AI919" s="31">
        <f t="shared" si="226"/>
        <v>6.2423500611995107E-2</v>
      </c>
      <c r="AJ919" s="31">
        <f t="shared" si="227"/>
        <v>2.0807833537331701E-2</v>
      </c>
      <c r="AK919" s="31">
        <f t="shared" si="228"/>
        <v>0.93757649938800491</v>
      </c>
      <c r="AL919" s="29">
        <f t="shared" si="229"/>
        <v>0.38333333333333336</v>
      </c>
      <c r="AM919" s="29">
        <f t="shared" si="230"/>
        <v>602.56666666666695</v>
      </c>
      <c r="AN919" s="29">
        <f t="shared" si="231"/>
        <v>1.3558665707805493</v>
      </c>
      <c r="AO919" s="29">
        <f t="shared" si="232"/>
        <v>1.2244897959183674</v>
      </c>
      <c r="AP919" s="31">
        <f t="shared" si="233"/>
        <v>1.1072910328041152</v>
      </c>
      <c r="AQ919" s="31">
        <f t="shared" si="234"/>
        <v>0.93757649938800491</v>
      </c>
      <c r="AR919" s="31">
        <f t="shared" si="235"/>
        <v>0.99999999999999989</v>
      </c>
      <c r="AS919" s="29">
        <f t="shared" si="236"/>
        <v>28.001407588739291</v>
      </c>
      <c r="AT919" s="29">
        <f t="shared" si="237"/>
        <v>8.1769365787301354</v>
      </c>
      <c r="AU919" s="27" t="str">
        <f t="shared" si="238"/>
        <v>Low</v>
      </c>
      <c r="AV919" s="27" t="str">
        <f t="shared" si="239"/>
        <v>Normal</v>
      </c>
      <c r="AW919" s="27"/>
    </row>
    <row r="920" spans="1:49" x14ac:dyDescent="0.25">
      <c r="A920" s="27">
        <v>919</v>
      </c>
      <c r="B920" s="28">
        <v>46063</v>
      </c>
      <c r="C920" s="28" t="str">
        <f t="shared" si="224"/>
        <v>February</v>
      </c>
      <c r="D920" s="27" t="s">
        <v>47</v>
      </c>
      <c r="E920" s="27" t="s">
        <v>76</v>
      </c>
      <c r="F920" s="27" t="s">
        <v>113</v>
      </c>
      <c r="G920" s="27" t="s">
        <v>50</v>
      </c>
      <c r="H920" s="27" t="s">
        <v>51</v>
      </c>
      <c r="I920" s="27" t="s">
        <v>1043</v>
      </c>
      <c r="J920" s="27" t="s">
        <v>186</v>
      </c>
      <c r="K920" s="27">
        <v>746</v>
      </c>
      <c r="L920" s="27">
        <v>730</v>
      </c>
      <c r="M920" s="27">
        <v>698</v>
      </c>
      <c r="N920" s="27">
        <v>32</v>
      </c>
      <c r="O920" s="27">
        <v>8</v>
      </c>
      <c r="P920" s="27">
        <v>22</v>
      </c>
      <c r="Q920" s="27" t="s">
        <v>97</v>
      </c>
      <c r="R920" s="27">
        <v>42</v>
      </c>
      <c r="S920" s="27">
        <v>43</v>
      </c>
      <c r="T920" s="29">
        <v>63.1</v>
      </c>
      <c r="U920" s="29">
        <v>1.88</v>
      </c>
      <c r="V920" s="29">
        <v>29.54</v>
      </c>
      <c r="W920" s="30">
        <v>13377.94</v>
      </c>
      <c r="X920" s="27">
        <v>10.02</v>
      </c>
      <c r="Y920" s="27" t="s">
        <v>55</v>
      </c>
      <c r="Z920" s="29">
        <v>22</v>
      </c>
      <c r="AA920" s="30">
        <v>21929.58</v>
      </c>
      <c r="AB920" s="29">
        <v>0.95616438356164402</v>
      </c>
      <c r="AC920" s="30">
        <v>18152.8</v>
      </c>
      <c r="AD920" s="30">
        <v>146.60756164383599</v>
      </c>
      <c r="AE920" s="27">
        <v>522.20000000000005</v>
      </c>
      <c r="AF920" s="29">
        <v>0.95787054768288005</v>
      </c>
      <c r="AG920" s="30">
        <v>3630.17243835616</v>
      </c>
      <c r="AH920" s="31">
        <f t="shared" si="225"/>
        <v>0.97855227882037532</v>
      </c>
      <c r="AI920" s="31">
        <f t="shared" si="226"/>
        <v>4.3835616438356165E-2</v>
      </c>
      <c r="AJ920" s="31">
        <f t="shared" si="227"/>
        <v>1.0958904109589041E-2</v>
      </c>
      <c r="AK920" s="31">
        <f t="shared" si="228"/>
        <v>0.95616438356164379</v>
      </c>
      <c r="AL920" s="29">
        <f t="shared" si="229"/>
        <v>0.36666666666666664</v>
      </c>
      <c r="AM920" s="29">
        <f t="shared" si="230"/>
        <v>500.20000000000005</v>
      </c>
      <c r="AN920" s="29">
        <f t="shared" si="231"/>
        <v>1.4594162335065972</v>
      </c>
      <c r="AO920" s="29">
        <f t="shared" si="232"/>
        <v>1.4285714285714286</v>
      </c>
      <c r="AP920" s="31">
        <f t="shared" si="233"/>
        <v>1.0215913634546181</v>
      </c>
      <c r="AQ920" s="31">
        <f t="shared" si="234"/>
        <v>0.95616438356164379</v>
      </c>
      <c r="AR920" s="31">
        <f t="shared" si="235"/>
        <v>0.93565683646112585</v>
      </c>
      <c r="AS920" s="29">
        <f t="shared" si="236"/>
        <v>24.866849315068492</v>
      </c>
      <c r="AT920" s="29">
        <f t="shared" si="237"/>
        <v>4.9728389566522742</v>
      </c>
      <c r="AU920" s="27" t="str">
        <f t="shared" si="238"/>
        <v>Low</v>
      </c>
      <c r="AV920" s="27" t="str">
        <f t="shared" si="239"/>
        <v>Normal</v>
      </c>
      <c r="AW920" s="27"/>
    </row>
    <row r="921" spans="1:49" x14ac:dyDescent="0.25">
      <c r="A921" s="27">
        <v>920</v>
      </c>
      <c r="B921" s="28">
        <v>46039</v>
      </c>
      <c r="C921" s="28" t="str">
        <f t="shared" si="224"/>
        <v>January</v>
      </c>
      <c r="D921" s="27" t="s">
        <v>67</v>
      </c>
      <c r="E921" s="27" t="s">
        <v>76</v>
      </c>
      <c r="F921" s="27" t="s">
        <v>119</v>
      </c>
      <c r="G921" s="27" t="s">
        <v>50</v>
      </c>
      <c r="H921" s="27" t="s">
        <v>79</v>
      </c>
      <c r="I921" s="27" t="s">
        <v>1044</v>
      </c>
      <c r="J921" s="27" t="s">
        <v>138</v>
      </c>
      <c r="K921" s="27">
        <v>622</v>
      </c>
      <c r="L921" s="27">
        <v>602</v>
      </c>
      <c r="M921" s="27">
        <v>545</v>
      </c>
      <c r="N921" s="27">
        <v>57</v>
      </c>
      <c r="O921" s="27">
        <v>18</v>
      </c>
      <c r="P921" s="27">
        <v>32</v>
      </c>
      <c r="Q921" s="27" t="s">
        <v>104</v>
      </c>
      <c r="R921" s="27">
        <v>49</v>
      </c>
      <c r="S921" s="27">
        <v>55</v>
      </c>
      <c r="T921" s="29">
        <v>71.3</v>
      </c>
      <c r="U921" s="29">
        <v>2.2799999999999998</v>
      </c>
      <c r="V921" s="29">
        <v>21.13</v>
      </c>
      <c r="W921" s="30">
        <v>12929.68</v>
      </c>
      <c r="X921" s="27">
        <v>7.64</v>
      </c>
      <c r="Y921" s="27" t="s">
        <v>66</v>
      </c>
      <c r="Z921" s="29">
        <v>35</v>
      </c>
      <c r="AA921" s="30">
        <v>20470.91</v>
      </c>
      <c r="AB921" s="29">
        <v>0.90531561461793997</v>
      </c>
      <c r="AC921" s="30">
        <v>16557.849999999999</v>
      </c>
      <c r="AD921" s="30">
        <v>386.60172757475101</v>
      </c>
      <c r="AE921" s="27">
        <v>507.96666666666698</v>
      </c>
      <c r="AF921" s="29">
        <v>0.93700374040291401</v>
      </c>
      <c r="AG921" s="30">
        <v>3526.45827242525</v>
      </c>
      <c r="AH921" s="31">
        <f t="shared" si="225"/>
        <v>0.96784565916398713</v>
      </c>
      <c r="AI921" s="31">
        <f t="shared" si="226"/>
        <v>9.4684385382059796E-2</v>
      </c>
      <c r="AJ921" s="31">
        <f t="shared" si="227"/>
        <v>2.9900332225913623E-2</v>
      </c>
      <c r="AK921" s="31">
        <f t="shared" si="228"/>
        <v>0.90531561461794019</v>
      </c>
      <c r="AL921" s="29">
        <f t="shared" si="229"/>
        <v>0.53333333333333333</v>
      </c>
      <c r="AM921" s="29">
        <f t="shared" si="230"/>
        <v>475.96666666666698</v>
      </c>
      <c r="AN921" s="29">
        <f t="shared" si="231"/>
        <v>1.2647944533930939</v>
      </c>
      <c r="AO921" s="29">
        <f t="shared" si="232"/>
        <v>1.2244897959183674</v>
      </c>
      <c r="AP921" s="31">
        <f t="shared" si="233"/>
        <v>1.0329154702710266</v>
      </c>
      <c r="AQ921" s="31">
        <f t="shared" si="234"/>
        <v>0.90531561461794019</v>
      </c>
      <c r="AR921" s="31">
        <f t="shared" si="235"/>
        <v>0.87620578778135016</v>
      </c>
      <c r="AS921" s="29">
        <f t="shared" si="236"/>
        <v>27.5047342192691</v>
      </c>
      <c r="AT921" s="29">
        <f t="shared" si="237"/>
        <v>5.8579041070186877</v>
      </c>
      <c r="AU921" s="27" t="str">
        <f t="shared" si="238"/>
        <v>Medium</v>
      </c>
      <c r="AV921" s="27" t="str">
        <f t="shared" si="239"/>
        <v>Warning</v>
      </c>
      <c r="AW921" s="27"/>
    </row>
    <row r="922" spans="1:49" x14ac:dyDescent="0.25">
      <c r="A922" s="27">
        <v>921</v>
      </c>
      <c r="B922" s="28">
        <v>46168</v>
      </c>
      <c r="C922" s="28" t="str">
        <f t="shared" si="224"/>
        <v>May</v>
      </c>
      <c r="D922" s="27" t="s">
        <v>67</v>
      </c>
      <c r="E922" s="27" t="s">
        <v>48</v>
      </c>
      <c r="F922" s="27" t="s">
        <v>49</v>
      </c>
      <c r="G922" s="27" t="s">
        <v>50</v>
      </c>
      <c r="H922" s="27" t="s">
        <v>79</v>
      </c>
      <c r="I922" s="27" t="s">
        <v>1045</v>
      </c>
      <c r="J922" s="27" t="s">
        <v>155</v>
      </c>
      <c r="K922" s="27">
        <v>729</v>
      </c>
      <c r="L922" s="27">
        <v>700</v>
      </c>
      <c r="M922" s="27">
        <v>663</v>
      </c>
      <c r="N922" s="27">
        <v>37</v>
      </c>
      <c r="O922" s="27">
        <v>7</v>
      </c>
      <c r="P922" s="27">
        <v>0</v>
      </c>
      <c r="Q922" s="27" t="s">
        <v>60</v>
      </c>
      <c r="R922" s="27">
        <v>49</v>
      </c>
      <c r="S922" s="27">
        <v>54</v>
      </c>
      <c r="T922" s="29">
        <v>72.3</v>
      </c>
      <c r="U922" s="29">
        <v>2.0099999999999998</v>
      </c>
      <c r="V922" s="29">
        <v>25.45</v>
      </c>
      <c r="W922" s="30">
        <v>15539.67</v>
      </c>
      <c r="X922" s="27">
        <v>8.17</v>
      </c>
      <c r="Y922" s="27" t="s">
        <v>71</v>
      </c>
      <c r="Z922" s="29">
        <v>30</v>
      </c>
      <c r="AA922" s="30">
        <v>25854.18</v>
      </c>
      <c r="AB922" s="29">
        <v>0.94714285714285695</v>
      </c>
      <c r="AC922" s="30">
        <v>19445.22</v>
      </c>
      <c r="AD922" s="30">
        <v>155.39670000000001</v>
      </c>
      <c r="AE922" s="27">
        <v>595.35</v>
      </c>
      <c r="AF922" s="29">
        <v>1</v>
      </c>
      <c r="AG922" s="30">
        <v>6253.5632999999998</v>
      </c>
      <c r="AH922" s="31">
        <f t="shared" si="225"/>
        <v>0.96021947873799729</v>
      </c>
      <c r="AI922" s="31">
        <f t="shared" si="226"/>
        <v>5.2857142857142859E-2</v>
      </c>
      <c r="AJ922" s="31">
        <f t="shared" si="227"/>
        <v>0.01</v>
      </c>
      <c r="AK922" s="31">
        <f t="shared" si="228"/>
        <v>0.94714285714285718</v>
      </c>
      <c r="AL922" s="29">
        <f t="shared" si="229"/>
        <v>0</v>
      </c>
      <c r="AM922" s="29">
        <f t="shared" si="230"/>
        <v>595.35</v>
      </c>
      <c r="AN922" s="29">
        <f t="shared" si="231"/>
        <v>1.1757789535567313</v>
      </c>
      <c r="AO922" s="29">
        <f t="shared" si="232"/>
        <v>1.2244897959183674</v>
      </c>
      <c r="AP922" s="31">
        <f t="shared" si="233"/>
        <v>0.96021947873799729</v>
      </c>
      <c r="AQ922" s="31">
        <f t="shared" si="234"/>
        <v>0.94714285714285718</v>
      </c>
      <c r="AR922" s="31">
        <f t="shared" si="235"/>
        <v>0.90946502057613177</v>
      </c>
      <c r="AS922" s="29">
        <f t="shared" si="236"/>
        <v>27.778885714285718</v>
      </c>
      <c r="AT922" s="29">
        <f t="shared" si="237"/>
        <v>8.933661857142857</v>
      </c>
      <c r="AU922" s="27" t="str">
        <f t="shared" si="238"/>
        <v>High</v>
      </c>
      <c r="AV922" s="27" t="str">
        <f t="shared" si="239"/>
        <v>Normal</v>
      </c>
      <c r="AW922" s="27"/>
    </row>
    <row r="923" spans="1:49" x14ac:dyDescent="0.25">
      <c r="A923" s="27">
        <v>922</v>
      </c>
      <c r="B923" s="28">
        <v>46126</v>
      </c>
      <c r="C923" s="28" t="str">
        <f t="shared" si="224"/>
        <v>April</v>
      </c>
      <c r="D923" s="27" t="s">
        <v>47</v>
      </c>
      <c r="E923" s="27" t="s">
        <v>61</v>
      </c>
      <c r="F923" s="27" t="s">
        <v>62</v>
      </c>
      <c r="G923" s="27" t="s">
        <v>50</v>
      </c>
      <c r="H923" s="27" t="s">
        <v>51</v>
      </c>
      <c r="I923" s="27" t="s">
        <v>1046</v>
      </c>
      <c r="J923" s="27" t="s">
        <v>115</v>
      </c>
      <c r="K923" s="27">
        <v>819</v>
      </c>
      <c r="L923" s="27">
        <v>877</v>
      </c>
      <c r="M923" s="27">
        <v>840</v>
      </c>
      <c r="N923" s="27">
        <v>37</v>
      </c>
      <c r="O923" s="27">
        <v>11</v>
      </c>
      <c r="P923" s="27">
        <v>16</v>
      </c>
      <c r="Q923" s="27" t="s">
        <v>102</v>
      </c>
      <c r="R923" s="27">
        <v>42</v>
      </c>
      <c r="S923" s="27">
        <v>44</v>
      </c>
      <c r="T923" s="29">
        <v>62.1</v>
      </c>
      <c r="U923" s="29">
        <v>2.73</v>
      </c>
      <c r="V923" s="29">
        <v>34.54</v>
      </c>
      <c r="W923" s="30">
        <v>17185.939999999999</v>
      </c>
      <c r="X923" s="27">
        <v>10.16</v>
      </c>
      <c r="Y923" s="27" t="s">
        <v>66</v>
      </c>
      <c r="Z923" s="29">
        <v>17</v>
      </c>
      <c r="AA923" s="30">
        <v>27365.919999999998</v>
      </c>
      <c r="AB923" s="29">
        <v>0.95781071835803899</v>
      </c>
      <c r="AC923" s="30">
        <v>22068.799999999999</v>
      </c>
      <c r="AD923" s="30">
        <v>215.559110604333</v>
      </c>
      <c r="AE923" s="27">
        <v>573.29999999999995</v>
      </c>
      <c r="AF923" s="29">
        <v>0.97209140066282895</v>
      </c>
      <c r="AG923" s="30">
        <v>5081.5608893956696</v>
      </c>
      <c r="AH923" s="31">
        <f t="shared" si="225"/>
        <v>1.0708180708180708</v>
      </c>
      <c r="AI923" s="31">
        <f t="shared" si="226"/>
        <v>4.2189281641961229E-2</v>
      </c>
      <c r="AJ923" s="31">
        <f t="shared" si="227"/>
        <v>1.2542759407069556E-2</v>
      </c>
      <c r="AK923" s="31">
        <f t="shared" si="228"/>
        <v>0.95781071835803877</v>
      </c>
      <c r="AL923" s="29">
        <f t="shared" si="229"/>
        <v>0.26666666666666666</v>
      </c>
      <c r="AM923" s="29">
        <f t="shared" si="230"/>
        <v>557.29999999999995</v>
      </c>
      <c r="AN923" s="29">
        <f t="shared" si="231"/>
        <v>1.5736587116454335</v>
      </c>
      <c r="AO923" s="29">
        <f t="shared" si="232"/>
        <v>1.4285714285714286</v>
      </c>
      <c r="AP923" s="31">
        <f t="shared" si="233"/>
        <v>1.1015610981518034</v>
      </c>
      <c r="AQ923" s="31">
        <f t="shared" si="234"/>
        <v>0.95781071835803877</v>
      </c>
      <c r="AR923" s="31">
        <f t="shared" si="235"/>
        <v>1.0256410256410253</v>
      </c>
      <c r="AS923" s="29">
        <f t="shared" si="236"/>
        <v>25.163968072976054</v>
      </c>
      <c r="AT923" s="29">
        <f t="shared" si="237"/>
        <v>5.7942541498240248</v>
      </c>
      <c r="AU923" s="27" t="str">
        <f t="shared" si="238"/>
        <v>Low</v>
      </c>
      <c r="AV923" s="27" t="str">
        <f t="shared" si="239"/>
        <v>Normal</v>
      </c>
      <c r="AW923" s="27"/>
    </row>
    <row r="924" spans="1:49" x14ac:dyDescent="0.25">
      <c r="A924" s="27">
        <v>923</v>
      </c>
      <c r="B924" s="28">
        <v>46045</v>
      </c>
      <c r="C924" s="28" t="str">
        <f t="shared" si="224"/>
        <v>January</v>
      </c>
      <c r="D924" s="27" t="s">
        <v>67</v>
      </c>
      <c r="E924" s="27" t="s">
        <v>98</v>
      </c>
      <c r="F924" s="27" t="s">
        <v>105</v>
      </c>
      <c r="G924" s="27" t="s">
        <v>78</v>
      </c>
      <c r="H924" s="27" t="s">
        <v>51</v>
      </c>
      <c r="I924" s="27" t="s">
        <v>1047</v>
      </c>
      <c r="J924" s="27" t="s">
        <v>134</v>
      </c>
      <c r="K924" s="27">
        <v>803</v>
      </c>
      <c r="L924" s="27">
        <v>633</v>
      </c>
      <c r="M924" s="27">
        <v>585</v>
      </c>
      <c r="N924" s="27">
        <v>48</v>
      </c>
      <c r="O924" s="27">
        <v>11</v>
      </c>
      <c r="P924" s="27">
        <v>37</v>
      </c>
      <c r="Q924" s="27" t="s">
        <v>54</v>
      </c>
      <c r="R924" s="27">
        <v>42</v>
      </c>
      <c r="S924" s="27">
        <v>47</v>
      </c>
      <c r="T924" s="29">
        <v>78.099999999999994</v>
      </c>
      <c r="U924" s="29">
        <v>1.99</v>
      </c>
      <c r="V924" s="29">
        <v>27.83</v>
      </c>
      <c r="W924" s="30">
        <v>11371.94</v>
      </c>
      <c r="X924" s="27">
        <v>6.16</v>
      </c>
      <c r="Y924" s="27" t="s">
        <v>66</v>
      </c>
      <c r="Z924" s="29">
        <v>15</v>
      </c>
      <c r="AA924" s="30">
        <v>18308.2</v>
      </c>
      <c r="AB924" s="29">
        <v>0.92417061611374396</v>
      </c>
      <c r="AC924" s="30">
        <v>14394.41</v>
      </c>
      <c r="AD924" s="30">
        <v>197.616650868878</v>
      </c>
      <c r="AE924" s="27">
        <v>562.1</v>
      </c>
      <c r="AF924" s="29">
        <v>0.93417541362746903</v>
      </c>
      <c r="AG924" s="30">
        <v>3716.1733491311202</v>
      </c>
      <c r="AH924" s="31">
        <f t="shared" si="225"/>
        <v>0.78829389788293902</v>
      </c>
      <c r="AI924" s="31">
        <f t="shared" si="226"/>
        <v>7.582938388625593E-2</v>
      </c>
      <c r="AJ924" s="31">
        <f t="shared" si="227"/>
        <v>1.7377567140600316E-2</v>
      </c>
      <c r="AK924" s="31">
        <f t="shared" si="228"/>
        <v>0.92417061611374407</v>
      </c>
      <c r="AL924" s="29">
        <f t="shared" si="229"/>
        <v>0.6166666666666667</v>
      </c>
      <c r="AM924" s="29">
        <f t="shared" si="230"/>
        <v>525.1</v>
      </c>
      <c r="AN924" s="29">
        <f t="shared" si="231"/>
        <v>1.2054846695867454</v>
      </c>
      <c r="AO924" s="29">
        <f t="shared" si="232"/>
        <v>1.4285714285714286</v>
      </c>
      <c r="AP924" s="31">
        <f t="shared" si="233"/>
        <v>0.84383926871072179</v>
      </c>
      <c r="AQ924" s="31">
        <f t="shared" si="234"/>
        <v>0.92417061611374407</v>
      </c>
      <c r="AR924" s="31">
        <f t="shared" si="235"/>
        <v>0.72851805728518104</v>
      </c>
      <c r="AS924" s="29">
        <f t="shared" si="236"/>
        <v>22.739984202211691</v>
      </c>
      <c r="AT924" s="29">
        <f t="shared" si="237"/>
        <v>5.8707319891486893</v>
      </c>
      <c r="AU924" s="27" t="str">
        <f t="shared" si="238"/>
        <v>High</v>
      </c>
      <c r="AV924" s="27" t="str">
        <f t="shared" si="239"/>
        <v>Critical</v>
      </c>
      <c r="AW924" s="27"/>
    </row>
    <row r="925" spans="1:49" x14ac:dyDescent="0.25">
      <c r="A925" s="27">
        <v>924</v>
      </c>
      <c r="B925" s="28">
        <v>46084</v>
      </c>
      <c r="C925" s="28" t="str">
        <f t="shared" si="224"/>
        <v>March</v>
      </c>
      <c r="D925" s="27" t="s">
        <v>47</v>
      </c>
      <c r="E925" s="27" t="s">
        <v>61</v>
      </c>
      <c r="F925" s="27" t="s">
        <v>62</v>
      </c>
      <c r="G925" s="27" t="s">
        <v>50</v>
      </c>
      <c r="H925" s="27" t="s">
        <v>68</v>
      </c>
      <c r="I925" s="27" t="s">
        <v>1048</v>
      </c>
      <c r="J925" s="27" t="s">
        <v>134</v>
      </c>
      <c r="K925" s="27">
        <v>516</v>
      </c>
      <c r="L925" s="27">
        <v>519</v>
      </c>
      <c r="M925" s="27">
        <v>490</v>
      </c>
      <c r="N925" s="27">
        <v>29</v>
      </c>
      <c r="O925" s="27">
        <v>6</v>
      </c>
      <c r="P925" s="27">
        <v>9</v>
      </c>
      <c r="Q925" s="27" t="s">
        <v>97</v>
      </c>
      <c r="R925" s="27">
        <v>64</v>
      </c>
      <c r="S925" s="27">
        <v>63</v>
      </c>
      <c r="T925" s="29">
        <v>70.2</v>
      </c>
      <c r="U925" s="29">
        <v>1.1599999999999999</v>
      </c>
      <c r="V925" s="29">
        <v>16.52</v>
      </c>
      <c r="W925" s="30">
        <v>16234.25</v>
      </c>
      <c r="X925" s="27">
        <v>8.08</v>
      </c>
      <c r="Y925" s="27" t="s">
        <v>71</v>
      </c>
      <c r="Z925" s="29">
        <v>16</v>
      </c>
      <c r="AA925" s="30">
        <v>24815.37</v>
      </c>
      <c r="AB925" s="29">
        <v>0.94412331406551098</v>
      </c>
      <c r="AC925" s="30">
        <v>20018.93</v>
      </c>
      <c r="AD925" s="30">
        <v>187.67919075144499</v>
      </c>
      <c r="AE925" s="27">
        <v>550.4</v>
      </c>
      <c r="AF925" s="29">
        <v>0.98364825581395399</v>
      </c>
      <c r="AG925" s="30">
        <v>4608.7608092485498</v>
      </c>
      <c r="AH925" s="31">
        <f t="shared" si="225"/>
        <v>1.0058139534883721</v>
      </c>
      <c r="AI925" s="31">
        <f t="shared" si="226"/>
        <v>5.5876685934489405E-2</v>
      </c>
      <c r="AJ925" s="31">
        <f t="shared" si="227"/>
        <v>1.1560693641618497E-2</v>
      </c>
      <c r="AK925" s="31">
        <f t="shared" si="228"/>
        <v>0.94412331406551064</v>
      </c>
      <c r="AL925" s="29">
        <f t="shared" si="229"/>
        <v>0.15</v>
      </c>
      <c r="AM925" s="29">
        <f t="shared" si="230"/>
        <v>541.4</v>
      </c>
      <c r="AN925" s="29">
        <f t="shared" si="231"/>
        <v>0.95862578500184714</v>
      </c>
      <c r="AO925" s="29">
        <f t="shared" si="232"/>
        <v>0.9375</v>
      </c>
      <c r="AP925" s="31">
        <f t="shared" si="233"/>
        <v>1.0225341706686371</v>
      </c>
      <c r="AQ925" s="31">
        <f t="shared" si="234"/>
        <v>0.94412331406551064</v>
      </c>
      <c r="AR925" s="31">
        <f t="shared" si="235"/>
        <v>0.94961240310077588</v>
      </c>
      <c r="AS925" s="29">
        <f t="shared" si="236"/>
        <v>38.572119460500964</v>
      </c>
      <c r="AT925" s="29">
        <f t="shared" si="237"/>
        <v>8.8800786305367048</v>
      </c>
      <c r="AU925" s="27" t="str">
        <f t="shared" si="238"/>
        <v>High</v>
      </c>
      <c r="AV925" s="27" t="str">
        <f t="shared" si="239"/>
        <v>Normal</v>
      </c>
      <c r="AW925" s="27"/>
    </row>
    <row r="926" spans="1:49" x14ac:dyDescent="0.25">
      <c r="A926" s="27">
        <v>925</v>
      </c>
      <c r="B926" s="28">
        <v>46180</v>
      </c>
      <c r="C926" s="28" t="str">
        <f t="shared" si="224"/>
        <v>June</v>
      </c>
      <c r="D926" s="27" t="s">
        <v>47</v>
      </c>
      <c r="E926" s="27" t="s">
        <v>98</v>
      </c>
      <c r="F926" s="27" t="s">
        <v>105</v>
      </c>
      <c r="G926" s="27" t="s">
        <v>63</v>
      </c>
      <c r="H926" s="27" t="s">
        <v>79</v>
      </c>
      <c r="I926" s="27" t="s">
        <v>1049</v>
      </c>
      <c r="J926" s="27" t="s">
        <v>161</v>
      </c>
      <c r="K926" s="27">
        <v>772</v>
      </c>
      <c r="L926" s="27">
        <v>703</v>
      </c>
      <c r="M926" s="27">
        <v>660</v>
      </c>
      <c r="N926" s="27">
        <v>43</v>
      </c>
      <c r="O926" s="27">
        <v>11</v>
      </c>
      <c r="P926" s="27">
        <v>37</v>
      </c>
      <c r="Q926" s="27" t="s">
        <v>54</v>
      </c>
      <c r="R926" s="27">
        <v>49</v>
      </c>
      <c r="S926" s="27">
        <v>51</v>
      </c>
      <c r="T926" s="29">
        <v>66.5</v>
      </c>
      <c r="U926" s="29">
        <v>2.4700000000000002</v>
      </c>
      <c r="V926" s="29">
        <v>25.43</v>
      </c>
      <c r="W926" s="30">
        <v>14644.9</v>
      </c>
      <c r="X926" s="27">
        <v>9.34</v>
      </c>
      <c r="Y926" s="27" t="s">
        <v>55</v>
      </c>
      <c r="Z926" s="29">
        <v>38</v>
      </c>
      <c r="AA926" s="30">
        <v>25182.92</v>
      </c>
      <c r="AB926" s="29">
        <v>0.93883357041251803</v>
      </c>
      <c r="AC926" s="30">
        <v>19076.77</v>
      </c>
      <c r="AD926" s="30">
        <v>229.15206258890501</v>
      </c>
      <c r="AE926" s="27">
        <v>630.46666666666704</v>
      </c>
      <c r="AF926" s="29">
        <v>0.94131331288992304</v>
      </c>
      <c r="AG926" s="30">
        <v>5876.9979374110899</v>
      </c>
      <c r="AH926" s="31">
        <f t="shared" si="225"/>
        <v>0.9106217616580311</v>
      </c>
      <c r="AI926" s="31">
        <f t="shared" si="226"/>
        <v>6.1166429587482217E-2</v>
      </c>
      <c r="AJ926" s="31">
        <f t="shared" si="227"/>
        <v>1.5647226173541962E-2</v>
      </c>
      <c r="AK926" s="31">
        <f t="shared" si="228"/>
        <v>0.9388335704125178</v>
      </c>
      <c r="AL926" s="29">
        <f t="shared" si="229"/>
        <v>0.6166666666666667</v>
      </c>
      <c r="AM926" s="29">
        <f t="shared" si="230"/>
        <v>593.46666666666704</v>
      </c>
      <c r="AN926" s="29">
        <f t="shared" si="231"/>
        <v>1.1845652662323065</v>
      </c>
      <c r="AO926" s="29">
        <f t="shared" si="232"/>
        <v>1.2244897959183674</v>
      </c>
      <c r="AP926" s="31">
        <f t="shared" si="233"/>
        <v>0.96739496742305031</v>
      </c>
      <c r="AQ926" s="31">
        <f t="shared" si="234"/>
        <v>0.9388335704125178</v>
      </c>
      <c r="AR926" s="31">
        <f t="shared" si="235"/>
        <v>0.85492227979274571</v>
      </c>
      <c r="AS926" s="29">
        <f t="shared" si="236"/>
        <v>27.136230440967285</v>
      </c>
      <c r="AT926" s="29">
        <f t="shared" si="237"/>
        <v>8.3598832680100852</v>
      </c>
      <c r="AU926" s="27" t="str">
        <f t="shared" si="238"/>
        <v>Medium</v>
      </c>
      <c r="AV926" s="27" t="str">
        <f t="shared" si="239"/>
        <v>Normal</v>
      </c>
      <c r="AW926" s="27"/>
    </row>
    <row r="927" spans="1:49" x14ac:dyDescent="0.25">
      <c r="A927" s="27">
        <v>926</v>
      </c>
      <c r="B927" s="28">
        <v>46178</v>
      </c>
      <c r="C927" s="28" t="str">
        <f t="shared" si="224"/>
        <v>June</v>
      </c>
      <c r="D927" s="27" t="s">
        <v>47</v>
      </c>
      <c r="E927" s="27" t="s">
        <v>98</v>
      </c>
      <c r="F927" s="27" t="s">
        <v>126</v>
      </c>
      <c r="G927" s="27" t="s">
        <v>78</v>
      </c>
      <c r="H927" s="27" t="s">
        <v>51</v>
      </c>
      <c r="I927" s="27" t="s">
        <v>1050</v>
      </c>
      <c r="J927" s="27" t="s">
        <v>132</v>
      </c>
      <c r="K927" s="27">
        <v>921</v>
      </c>
      <c r="L927" s="27">
        <v>797</v>
      </c>
      <c r="M927" s="27">
        <v>725</v>
      </c>
      <c r="N927" s="27">
        <v>72</v>
      </c>
      <c r="O927" s="27">
        <v>21</v>
      </c>
      <c r="P927" s="27">
        <v>34</v>
      </c>
      <c r="Q927" s="27" t="s">
        <v>82</v>
      </c>
      <c r="R927" s="27">
        <v>42</v>
      </c>
      <c r="S927" s="27">
        <v>44</v>
      </c>
      <c r="T927" s="29">
        <v>65.900000000000006</v>
      </c>
      <c r="U927" s="29">
        <v>1.55</v>
      </c>
      <c r="V927" s="29">
        <v>28.65</v>
      </c>
      <c r="W927" s="30">
        <v>15521.65</v>
      </c>
      <c r="X927" s="27">
        <v>7.41</v>
      </c>
      <c r="Y927" s="27" t="s">
        <v>66</v>
      </c>
      <c r="Z927" s="29">
        <v>2</v>
      </c>
      <c r="AA927" s="30">
        <v>23478.18</v>
      </c>
      <c r="AB927" s="29">
        <v>0.90966122961104201</v>
      </c>
      <c r="AC927" s="30">
        <v>19114</v>
      </c>
      <c r="AD927" s="30">
        <v>408.97697616060202</v>
      </c>
      <c r="AE927" s="27">
        <v>644.70000000000005</v>
      </c>
      <c r="AF927" s="29">
        <v>0.94726229253916605</v>
      </c>
      <c r="AG927" s="30">
        <v>3955.2030238394</v>
      </c>
      <c r="AH927" s="31">
        <f t="shared" si="225"/>
        <v>0.86536373507057551</v>
      </c>
      <c r="AI927" s="31">
        <f t="shared" si="226"/>
        <v>9.03387703889586E-2</v>
      </c>
      <c r="AJ927" s="31">
        <f t="shared" si="227"/>
        <v>2.6348808030112924E-2</v>
      </c>
      <c r="AK927" s="31">
        <f t="shared" si="228"/>
        <v>0.90966122961104146</v>
      </c>
      <c r="AL927" s="29">
        <f t="shared" si="229"/>
        <v>0.56666666666666665</v>
      </c>
      <c r="AM927" s="29">
        <f t="shared" si="230"/>
        <v>610.70000000000005</v>
      </c>
      <c r="AN927" s="29">
        <f t="shared" si="231"/>
        <v>1.3050597674799409</v>
      </c>
      <c r="AO927" s="29">
        <f t="shared" si="232"/>
        <v>1.4285714285714286</v>
      </c>
      <c r="AP927" s="31">
        <f t="shared" si="233"/>
        <v>0.91354183723595861</v>
      </c>
      <c r="AQ927" s="31">
        <f t="shared" si="234"/>
        <v>0.90966122961104146</v>
      </c>
      <c r="AR927" s="31">
        <f t="shared" si="235"/>
        <v>0.7871878393051035</v>
      </c>
      <c r="AS927" s="29">
        <f t="shared" si="236"/>
        <v>23.982434127979925</v>
      </c>
      <c r="AT927" s="29">
        <f t="shared" si="237"/>
        <v>4.962613580726976</v>
      </c>
      <c r="AU927" s="27" t="str">
        <f t="shared" si="238"/>
        <v>High</v>
      </c>
      <c r="AV927" s="27" t="str">
        <f t="shared" si="239"/>
        <v>Warning</v>
      </c>
      <c r="AW927" s="27"/>
    </row>
    <row r="928" spans="1:49" x14ac:dyDescent="0.25">
      <c r="A928" s="27">
        <v>927</v>
      </c>
      <c r="B928" s="28">
        <v>46031</v>
      </c>
      <c r="C928" s="28" t="str">
        <f t="shared" si="224"/>
        <v>January</v>
      </c>
      <c r="D928" s="27" t="s">
        <v>67</v>
      </c>
      <c r="E928" s="27" t="s">
        <v>61</v>
      </c>
      <c r="F928" s="27" t="s">
        <v>62</v>
      </c>
      <c r="G928" s="27" t="s">
        <v>63</v>
      </c>
      <c r="H928" s="27" t="s">
        <v>51</v>
      </c>
      <c r="I928" s="27" t="s">
        <v>1051</v>
      </c>
      <c r="J928" s="27" t="s">
        <v>218</v>
      </c>
      <c r="K928" s="27">
        <v>721</v>
      </c>
      <c r="L928" s="27">
        <v>658</v>
      </c>
      <c r="M928" s="27">
        <v>631</v>
      </c>
      <c r="N928" s="27">
        <v>27</v>
      </c>
      <c r="O928" s="27">
        <v>10</v>
      </c>
      <c r="P928" s="27">
        <v>29</v>
      </c>
      <c r="Q928" s="27" t="s">
        <v>82</v>
      </c>
      <c r="R928" s="27">
        <v>42</v>
      </c>
      <c r="S928" s="27">
        <v>42</v>
      </c>
      <c r="T928" s="29">
        <v>78.400000000000006</v>
      </c>
      <c r="U928" s="29">
        <v>2.12</v>
      </c>
      <c r="V928" s="29">
        <v>20.309999999999999</v>
      </c>
      <c r="W928" s="30">
        <v>12476.92</v>
      </c>
      <c r="X928" s="27">
        <v>8.76</v>
      </c>
      <c r="Y928" s="27" t="s">
        <v>55</v>
      </c>
      <c r="Z928" s="29">
        <v>18</v>
      </c>
      <c r="AA928" s="30">
        <v>20187.23</v>
      </c>
      <c r="AB928" s="29">
        <v>0.95896656534954405</v>
      </c>
      <c r="AC928" s="30">
        <v>16601.71</v>
      </c>
      <c r="AD928" s="30">
        <v>189.618844984802</v>
      </c>
      <c r="AE928" s="27">
        <v>504.7</v>
      </c>
      <c r="AF928" s="29">
        <v>0.94254012284525501</v>
      </c>
      <c r="AG928" s="30">
        <v>3395.9011550151999</v>
      </c>
      <c r="AH928" s="31">
        <f t="shared" si="225"/>
        <v>0.91262135922330101</v>
      </c>
      <c r="AI928" s="31">
        <f t="shared" si="226"/>
        <v>4.1033434650455926E-2</v>
      </c>
      <c r="AJ928" s="31">
        <f t="shared" si="227"/>
        <v>1.5197568389057751E-2</v>
      </c>
      <c r="AK928" s="31">
        <f t="shared" si="228"/>
        <v>0.95896656534954405</v>
      </c>
      <c r="AL928" s="29">
        <f t="shared" si="229"/>
        <v>0.48333333333333334</v>
      </c>
      <c r="AM928" s="29">
        <f t="shared" si="230"/>
        <v>475.7</v>
      </c>
      <c r="AN928" s="29">
        <f t="shared" si="231"/>
        <v>1.383224721463107</v>
      </c>
      <c r="AO928" s="29">
        <f t="shared" si="232"/>
        <v>1.4285714285714286</v>
      </c>
      <c r="AP928" s="31">
        <f t="shared" si="233"/>
        <v>0.96825730502417495</v>
      </c>
      <c r="AQ928" s="31">
        <f t="shared" si="234"/>
        <v>0.95896656534954405</v>
      </c>
      <c r="AR928" s="31">
        <f t="shared" si="235"/>
        <v>0.87517337031900189</v>
      </c>
      <c r="AS928" s="29">
        <f t="shared" si="236"/>
        <v>25.230562310030393</v>
      </c>
      <c r="AT928" s="29">
        <f t="shared" si="237"/>
        <v>5.1609440045823707</v>
      </c>
      <c r="AU928" s="27" t="str">
        <f t="shared" si="238"/>
        <v>Low</v>
      </c>
      <c r="AV928" s="27" t="str">
        <f t="shared" si="239"/>
        <v>Normal</v>
      </c>
      <c r="AW928" s="27"/>
    </row>
    <row r="929" spans="1:49" x14ac:dyDescent="0.25">
      <c r="A929" s="27">
        <v>928</v>
      </c>
      <c r="B929" s="28">
        <v>46027</v>
      </c>
      <c r="C929" s="28" t="str">
        <f t="shared" si="224"/>
        <v>January</v>
      </c>
      <c r="D929" s="27" t="s">
        <v>67</v>
      </c>
      <c r="E929" s="27" t="s">
        <v>61</v>
      </c>
      <c r="F929" s="27" t="s">
        <v>62</v>
      </c>
      <c r="G929" s="27" t="s">
        <v>63</v>
      </c>
      <c r="H929" s="27" t="s">
        <v>79</v>
      </c>
      <c r="I929" s="27" t="s">
        <v>1052</v>
      </c>
      <c r="J929" s="27" t="s">
        <v>107</v>
      </c>
      <c r="K929" s="27">
        <v>690</v>
      </c>
      <c r="L929" s="27">
        <v>617</v>
      </c>
      <c r="M929" s="27">
        <v>591</v>
      </c>
      <c r="N929" s="27">
        <v>26</v>
      </c>
      <c r="O929" s="27">
        <v>10</v>
      </c>
      <c r="P929" s="27">
        <v>48</v>
      </c>
      <c r="Q929" s="27" t="s">
        <v>104</v>
      </c>
      <c r="R929" s="27">
        <v>49</v>
      </c>
      <c r="S929" s="27">
        <v>48</v>
      </c>
      <c r="T929" s="29">
        <v>74.099999999999994</v>
      </c>
      <c r="U929" s="29">
        <v>1.77</v>
      </c>
      <c r="V929" s="29">
        <v>24.95</v>
      </c>
      <c r="W929" s="30">
        <v>14139.14</v>
      </c>
      <c r="X929" s="27">
        <v>8.83</v>
      </c>
      <c r="Y929" s="27" t="s">
        <v>55</v>
      </c>
      <c r="Z929" s="29">
        <v>17</v>
      </c>
      <c r="AA929" s="30">
        <v>23071.37</v>
      </c>
      <c r="AB929" s="29">
        <v>0.95786061588330595</v>
      </c>
      <c r="AC929" s="30">
        <v>18337.189999999999</v>
      </c>
      <c r="AD929" s="30">
        <v>229.159481361426</v>
      </c>
      <c r="AE929" s="27">
        <v>563.5</v>
      </c>
      <c r="AF929" s="29">
        <v>0.91481810115350504</v>
      </c>
      <c r="AG929" s="30">
        <v>4505.0205186385701</v>
      </c>
      <c r="AH929" s="31">
        <f t="shared" si="225"/>
        <v>0.89420289855072466</v>
      </c>
      <c r="AI929" s="31">
        <f t="shared" si="226"/>
        <v>4.2139384116693678E-2</v>
      </c>
      <c r="AJ929" s="31">
        <f t="shared" si="227"/>
        <v>1.6207455429497569E-2</v>
      </c>
      <c r="AK929" s="31">
        <f t="shared" si="228"/>
        <v>0.95786061588330629</v>
      </c>
      <c r="AL929" s="29">
        <f t="shared" si="229"/>
        <v>0.8</v>
      </c>
      <c r="AM929" s="29">
        <f t="shared" si="230"/>
        <v>515.5</v>
      </c>
      <c r="AN929" s="29">
        <f t="shared" si="231"/>
        <v>1.1968962172647915</v>
      </c>
      <c r="AO929" s="29">
        <f t="shared" si="232"/>
        <v>1.2244897959183674</v>
      </c>
      <c r="AP929" s="31">
        <f t="shared" si="233"/>
        <v>0.97746524409957969</v>
      </c>
      <c r="AQ929" s="31">
        <f t="shared" si="234"/>
        <v>0.95786061588330629</v>
      </c>
      <c r="AR929" s="31">
        <f t="shared" si="235"/>
        <v>0.85652173913043483</v>
      </c>
      <c r="AS929" s="29">
        <f t="shared" si="236"/>
        <v>29.719918962722851</v>
      </c>
      <c r="AT929" s="29">
        <f t="shared" si="237"/>
        <v>7.301491926480665</v>
      </c>
      <c r="AU929" s="27" t="str">
        <f t="shared" si="238"/>
        <v>Low</v>
      </c>
      <c r="AV929" s="27" t="str">
        <f t="shared" si="239"/>
        <v>Normal</v>
      </c>
      <c r="AW929" s="27"/>
    </row>
    <row r="930" spans="1:49" x14ac:dyDescent="0.25">
      <c r="A930" s="27">
        <v>929</v>
      </c>
      <c r="B930" s="28">
        <v>46090</v>
      </c>
      <c r="C930" s="28" t="str">
        <f t="shared" si="224"/>
        <v>March</v>
      </c>
      <c r="D930" s="27" t="s">
        <v>67</v>
      </c>
      <c r="E930" s="27" t="s">
        <v>48</v>
      </c>
      <c r="F930" s="27" t="s">
        <v>56</v>
      </c>
      <c r="G930" s="27" t="s">
        <v>63</v>
      </c>
      <c r="H930" s="27" t="s">
        <v>79</v>
      </c>
      <c r="I930" s="27" t="s">
        <v>1053</v>
      </c>
      <c r="J930" s="27" t="s">
        <v>186</v>
      </c>
      <c r="K930" s="27">
        <v>726</v>
      </c>
      <c r="L930" s="27">
        <v>622</v>
      </c>
      <c r="M930" s="27">
        <v>580</v>
      </c>
      <c r="N930" s="27">
        <v>42</v>
      </c>
      <c r="O930" s="27">
        <v>17</v>
      </c>
      <c r="P930" s="27">
        <v>18</v>
      </c>
      <c r="Q930" s="27" t="s">
        <v>91</v>
      </c>
      <c r="R930" s="27">
        <v>49</v>
      </c>
      <c r="S930" s="27">
        <v>51</v>
      </c>
      <c r="T930" s="29">
        <v>79.599999999999994</v>
      </c>
      <c r="U930" s="29">
        <v>2.65</v>
      </c>
      <c r="V930" s="29">
        <v>22.16</v>
      </c>
      <c r="W930" s="30">
        <v>14078.25</v>
      </c>
      <c r="X930" s="27">
        <v>8.68</v>
      </c>
      <c r="Y930" s="27" t="s">
        <v>71</v>
      </c>
      <c r="Z930" s="29">
        <v>54</v>
      </c>
      <c r="AA930" s="30">
        <v>21397.59</v>
      </c>
      <c r="AB930" s="29">
        <v>0.932475884244373</v>
      </c>
      <c r="AC930" s="30">
        <v>18183.689999999999</v>
      </c>
      <c r="AD930" s="30">
        <v>384.77532154340798</v>
      </c>
      <c r="AE930" s="27">
        <v>592.9</v>
      </c>
      <c r="AF930" s="29">
        <v>0.96964074886152796</v>
      </c>
      <c r="AG930" s="30">
        <v>2829.1246784565901</v>
      </c>
      <c r="AH930" s="31">
        <f t="shared" si="225"/>
        <v>0.85674931129476584</v>
      </c>
      <c r="AI930" s="31">
        <f t="shared" si="226"/>
        <v>6.7524115755627015E-2</v>
      </c>
      <c r="AJ930" s="31">
        <f t="shared" si="227"/>
        <v>2.7331189710610933E-2</v>
      </c>
      <c r="AK930" s="31">
        <f t="shared" si="228"/>
        <v>0.932475884244373</v>
      </c>
      <c r="AL930" s="29">
        <f t="shared" si="229"/>
        <v>0.3</v>
      </c>
      <c r="AM930" s="29">
        <f t="shared" si="230"/>
        <v>574.9</v>
      </c>
      <c r="AN930" s="29">
        <f t="shared" si="231"/>
        <v>1.0819272917029048</v>
      </c>
      <c r="AO930" s="29">
        <f t="shared" si="232"/>
        <v>1.2244897959183674</v>
      </c>
      <c r="AP930" s="31">
        <f t="shared" si="233"/>
        <v>0.88357395489070556</v>
      </c>
      <c r="AQ930" s="31">
        <f t="shared" si="234"/>
        <v>0.932475884244373</v>
      </c>
      <c r="AR930" s="31">
        <f t="shared" si="235"/>
        <v>0.7988980716253441</v>
      </c>
      <c r="AS930" s="29">
        <f t="shared" si="236"/>
        <v>29.234228295819932</v>
      </c>
      <c r="AT930" s="29">
        <f t="shared" si="237"/>
        <v>4.548431958933425</v>
      </c>
      <c r="AU930" s="27" t="str">
        <f t="shared" si="238"/>
        <v>High</v>
      </c>
      <c r="AV930" s="27" t="str">
        <f t="shared" si="239"/>
        <v>Warning</v>
      </c>
      <c r="AW930" s="27"/>
    </row>
    <row r="931" spans="1:49" x14ac:dyDescent="0.25">
      <c r="A931" s="27">
        <v>930</v>
      </c>
      <c r="B931" s="28">
        <v>46095</v>
      </c>
      <c r="C931" s="28" t="str">
        <f t="shared" si="224"/>
        <v>March</v>
      </c>
      <c r="D931" s="27" t="s">
        <v>47</v>
      </c>
      <c r="E931" s="27" t="s">
        <v>98</v>
      </c>
      <c r="F931" s="27" t="s">
        <v>99</v>
      </c>
      <c r="G931" s="27" t="s">
        <v>63</v>
      </c>
      <c r="H931" s="27" t="s">
        <v>79</v>
      </c>
      <c r="I931" s="27" t="s">
        <v>1054</v>
      </c>
      <c r="J931" s="27" t="s">
        <v>161</v>
      </c>
      <c r="K931" s="27">
        <v>685</v>
      </c>
      <c r="L931" s="27">
        <v>628</v>
      </c>
      <c r="M931" s="27">
        <v>599</v>
      </c>
      <c r="N931" s="27">
        <v>29</v>
      </c>
      <c r="O931" s="27">
        <v>12</v>
      </c>
      <c r="P931" s="27">
        <v>24</v>
      </c>
      <c r="Q931" s="27" t="s">
        <v>97</v>
      </c>
      <c r="R931" s="27">
        <v>49</v>
      </c>
      <c r="S931" s="27">
        <v>48</v>
      </c>
      <c r="T931" s="29">
        <v>78.400000000000006</v>
      </c>
      <c r="U931" s="29">
        <v>2.48</v>
      </c>
      <c r="V931" s="29">
        <v>23.41</v>
      </c>
      <c r="W931" s="30">
        <v>14082.15</v>
      </c>
      <c r="X931" s="27">
        <v>9.35</v>
      </c>
      <c r="Y931" s="27" t="s">
        <v>55</v>
      </c>
      <c r="Z931" s="29">
        <v>21</v>
      </c>
      <c r="AA931" s="30">
        <v>22472.9</v>
      </c>
      <c r="AB931" s="29">
        <v>0.95382165605095504</v>
      </c>
      <c r="AC931" s="30">
        <v>18500.34</v>
      </c>
      <c r="AD931" s="30">
        <v>269.08566878980901</v>
      </c>
      <c r="AE931" s="27">
        <v>559.41666666666697</v>
      </c>
      <c r="AF931" s="29">
        <v>0.95709816773424705</v>
      </c>
      <c r="AG931" s="30">
        <v>3703.47433121019</v>
      </c>
      <c r="AH931" s="31">
        <f t="shared" si="225"/>
        <v>0.91678832116788322</v>
      </c>
      <c r="AI931" s="31">
        <f t="shared" si="226"/>
        <v>4.6178343949044583E-2</v>
      </c>
      <c r="AJ931" s="31">
        <f t="shared" si="227"/>
        <v>1.9108280254777069E-2</v>
      </c>
      <c r="AK931" s="31">
        <f t="shared" si="228"/>
        <v>0.95382165605095537</v>
      </c>
      <c r="AL931" s="29">
        <f t="shared" si="229"/>
        <v>0.4</v>
      </c>
      <c r="AM931" s="29">
        <f t="shared" si="230"/>
        <v>535.41666666666697</v>
      </c>
      <c r="AN931" s="29">
        <f t="shared" si="231"/>
        <v>1.1729182879377424</v>
      </c>
      <c r="AO931" s="29">
        <f t="shared" si="232"/>
        <v>1.2244897959183674</v>
      </c>
      <c r="AP931" s="31">
        <f t="shared" si="233"/>
        <v>0.95788326848248961</v>
      </c>
      <c r="AQ931" s="31">
        <f t="shared" si="234"/>
        <v>0.95382165605095537</v>
      </c>
      <c r="AR931" s="31">
        <f t="shared" si="235"/>
        <v>0.87445255474452499</v>
      </c>
      <c r="AS931" s="29">
        <f t="shared" si="236"/>
        <v>29.459140127388537</v>
      </c>
      <c r="AT931" s="29">
        <f t="shared" si="237"/>
        <v>5.8972521197614487</v>
      </c>
      <c r="AU931" s="27" t="str">
        <f t="shared" si="238"/>
        <v>Low</v>
      </c>
      <c r="AV931" s="27" t="str">
        <f t="shared" si="239"/>
        <v>Normal</v>
      </c>
      <c r="AW931" s="27"/>
    </row>
    <row r="932" spans="1:49" x14ac:dyDescent="0.25">
      <c r="A932" s="27">
        <v>931</v>
      </c>
      <c r="B932" s="28">
        <v>46109</v>
      </c>
      <c r="C932" s="28" t="str">
        <f t="shared" si="224"/>
        <v>March</v>
      </c>
      <c r="D932" s="27" t="s">
        <v>47</v>
      </c>
      <c r="E932" s="27" t="s">
        <v>129</v>
      </c>
      <c r="F932" s="27" t="s">
        <v>167</v>
      </c>
      <c r="G932" s="27" t="s">
        <v>50</v>
      </c>
      <c r="H932" s="27" t="s">
        <v>51</v>
      </c>
      <c r="I932" s="27" t="s">
        <v>1055</v>
      </c>
      <c r="J932" s="27" t="s">
        <v>218</v>
      </c>
      <c r="K932" s="27">
        <v>943</v>
      </c>
      <c r="L932" s="27">
        <v>865</v>
      </c>
      <c r="M932" s="27">
        <v>750</v>
      </c>
      <c r="N932" s="27">
        <v>115</v>
      </c>
      <c r="O932" s="27">
        <v>25</v>
      </c>
      <c r="P932" s="27">
        <v>34</v>
      </c>
      <c r="Q932" s="27" t="s">
        <v>54</v>
      </c>
      <c r="R932" s="27">
        <v>42</v>
      </c>
      <c r="S932" s="27">
        <v>41</v>
      </c>
      <c r="T932" s="29">
        <v>72.2</v>
      </c>
      <c r="U932" s="29">
        <v>4.01</v>
      </c>
      <c r="V932" s="29">
        <v>30.51</v>
      </c>
      <c r="W932" s="30">
        <v>16010.21</v>
      </c>
      <c r="X932" s="27">
        <v>8.09</v>
      </c>
      <c r="Y932" s="27" t="s">
        <v>71</v>
      </c>
      <c r="Z932" s="29">
        <v>48</v>
      </c>
      <c r="AA932" s="30">
        <v>24395.07</v>
      </c>
      <c r="AB932" s="29">
        <v>0.86705202312138696</v>
      </c>
      <c r="AC932" s="30">
        <v>19925.3</v>
      </c>
      <c r="AD932" s="30">
        <v>462.72283236994201</v>
      </c>
      <c r="AE932" s="27">
        <v>660.1</v>
      </c>
      <c r="AF932" s="29">
        <v>0.94849265262839</v>
      </c>
      <c r="AG932" s="30">
        <v>4007.0471676300599</v>
      </c>
      <c r="AH932" s="31">
        <f t="shared" si="225"/>
        <v>0.91728525980911979</v>
      </c>
      <c r="AI932" s="31">
        <f t="shared" si="226"/>
        <v>0.13294797687861271</v>
      </c>
      <c r="AJ932" s="31">
        <f t="shared" si="227"/>
        <v>2.8901734104046242E-2</v>
      </c>
      <c r="AK932" s="31">
        <f t="shared" si="228"/>
        <v>0.86705202312138729</v>
      </c>
      <c r="AL932" s="29">
        <f t="shared" si="229"/>
        <v>0.56666666666666665</v>
      </c>
      <c r="AM932" s="29">
        <f t="shared" si="230"/>
        <v>626.1</v>
      </c>
      <c r="AN932" s="29">
        <f t="shared" si="231"/>
        <v>1.3815684395463983</v>
      </c>
      <c r="AO932" s="29">
        <f t="shared" si="232"/>
        <v>1.4285714285714286</v>
      </c>
      <c r="AP932" s="31">
        <f t="shared" si="233"/>
        <v>0.96709790768247883</v>
      </c>
      <c r="AQ932" s="31">
        <f t="shared" si="234"/>
        <v>0.86705202312138729</v>
      </c>
      <c r="AR932" s="31">
        <f t="shared" si="235"/>
        <v>0.795334040296925</v>
      </c>
      <c r="AS932" s="29">
        <f t="shared" si="236"/>
        <v>23.035028901734105</v>
      </c>
      <c r="AT932" s="29">
        <f t="shared" si="237"/>
        <v>4.6324244712486244</v>
      </c>
      <c r="AU932" s="27" t="str">
        <f t="shared" si="238"/>
        <v>High</v>
      </c>
      <c r="AV932" s="27" t="str">
        <f t="shared" si="239"/>
        <v>Warning</v>
      </c>
      <c r="AW932" s="27"/>
    </row>
    <row r="933" spans="1:49" x14ac:dyDescent="0.25">
      <c r="A933" s="27">
        <v>932</v>
      </c>
      <c r="B933" s="28">
        <v>46157</v>
      </c>
      <c r="C933" s="28" t="str">
        <f t="shared" si="224"/>
        <v>May</v>
      </c>
      <c r="D933" s="27" t="s">
        <v>47</v>
      </c>
      <c r="E933" s="27" t="s">
        <v>98</v>
      </c>
      <c r="F933" s="27" t="s">
        <v>105</v>
      </c>
      <c r="G933" s="27" t="s">
        <v>63</v>
      </c>
      <c r="H933" s="27" t="s">
        <v>124</v>
      </c>
      <c r="I933" s="27" t="s">
        <v>1056</v>
      </c>
      <c r="J933" s="27" t="s">
        <v>84</v>
      </c>
      <c r="K933" s="27">
        <v>534</v>
      </c>
      <c r="L933" s="27">
        <v>483</v>
      </c>
      <c r="M933" s="27">
        <v>456</v>
      </c>
      <c r="N933" s="27">
        <v>27</v>
      </c>
      <c r="O933" s="27">
        <v>10</v>
      </c>
      <c r="P933" s="27">
        <v>0</v>
      </c>
      <c r="Q933" s="27" t="s">
        <v>60</v>
      </c>
      <c r="R933" s="27">
        <v>57</v>
      </c>
      <c r="S933" s="27">
        <v>55</v>
      </c>
      <c r="T933" s="29">
        <v>67.099999999999994</v>
      </c>
      <c r="U933" s="29">
        <v>2.0299999999999998</v>
      </c>
      <c r="V933" s="29">
        <v>17.91</v>
      </c>
      <c r="W933" s="30">
        <v>13509.53</v>
      </c>
      <c r="X933" s="27">
        <v>7.71</v>
      </c>
      <c r="Y933" s="27" t="s">
        <v>55</v>
      </c>
      <c r="Z933" s="29">
        <v>9</v>
      </c>
      <c r="AA933" s="30">
        <v>21579.53</v>
      </c>
      <c r="AB933" s="29">
        <v>0.94409937888198803</v>
      </c>
      <c r="AC933" s="30">
        <v>17140.22</v>
      </c>
      <c r="AD933" s="30">
        <v>279.70041407867501</v>
      </c>
      <c r="AE933" s="27">
        <v>507.3</v>
      </c>
      <c r="AF933" s="29">
        <v>1</v>
      </c>
      <c r="AG933" s="30">
        <v>4159.6095859213301</v>
      </c>
      <c r="AH933" s="31">
        <f t="shared" si="225"/>
        <v>0.9044943820224719</v>
      </c>
      <c r="AI933" s="31">
        <f t="shared" si="226"/>
        <v>5.5900621118012424E-2</v>
      </c>
      <c r="AJ933" s="31">
        <f t="shared" si="227"/>
        <v>2.0703933747412008E-2</v>
      </c>
      <c r="AK933" s="31">
        <f t="shared" si="228"/>
        <v>0.94409937888198758</v>
      </c>
      <c r="AL933" s="29">
        <f t="shared" si="229"/>
        <v>0</v>
      </c>
      <c r="AM933" s="29">
        <f t="shared" si="230"/>
        <v>507.3</v>
      </c>
      <c r="AN933" s="29">
        <f t="shared" si="231"/>
        <v>0.95209934949733888</v>
      </c>
      <c r="AO933" s="29">
        <f t="shared" si="232"/>
        <v>1.0526315789473684</v>
      </c>
      <c r="AP933" s="31">
        <f t="shared" si="233"/>
        <v>0.90449438202247201</v>
      </c>
      <c r="AQ933" s="31">
        <f t="shared" si="234"/>
        <v>0.94409937888198758</v>
      </c>
      <c r="AR933" s="31">
        <f t="shared" si="235"/>
        <v>0.85393258426966301</v>
      </c>
      <c r="AS933" s="29">
        <f t="shared" si="236"/>
        <v>35.48699792960663</v>
      </c>
      <c r="AT933" s="29">
        <f t="shared" si="237"/>
        <v>8.6120281282015121</v>
      </c>
      <c r="AU933" s="27" t="str">
        <f t="shared" si="238"/>
        <v>Low</v>
      </c>
      <c r="AV933" s="27" t="str">
        <f t="shared" si="239"/>
        <v>Normal</v>
      </c>
      <c r="AW933" s="27"/>
    </row>
    <row r="934" spans="1:49" x14ac:dyDescent="0.25">
      <c r="A934" s="27">
        <v>933</v>
      </c>
      <c r="B934" s="28">
        <v>46176</v>
      </c>
      <c r="C934" s="28" t="str">
        <f t="shared" si="224"/>
        <v>June</v>
      </c>
      <c r="D934" s="27" t="s">
        <v>67</v>
      </c>
      <c r="E934" s="27" t="s">
        <v>61</v>
      </c>
      <c r="F934" s="27" t="s">
        <v>88</v>
      </c>
      <c r="G934" s="27" t="s">
        <v>63</v>
      </c>
      <c r="H934" s="27" t="s">
        <v>79</v>
      </c>
      <c r="I934" s="27" t="s">
        <v>1057</v>
      </c>
      <c r="J934" s="27" t="s">
        <v>74</v>
      </c>
      <c r="K934" s="27">
        <v>847</v>
      </c>
      <c r="L934" s="27">
        <v>878</v>
      </c>
      <c r="M934" s="27">
        <v>853</v>
      </c>
      <c r="N934" s="27">
        <v>25</v>
      </c>
      <c r="O934" s="27">
        <v>7</v>
      </c>
      <c r="P934" s="27">
        <v>8</v>
      </c>
      <c r="Q934" s="27" t="s">
        <v>54</v>
      </c>
      <c r="R934" s="27">
        <v>49</v>
      </c>
      <c r="S934" s="27">
        <v>52</v>
      </c>
      <c r="T934" s="29">
        <v>72.400000000000006</v>
      </c>
      <c r="U934" s="29">
        <v>1.31</v>
      </c>
      <c r="V934" s="29">
        <v>26.49</v>
      </c>
      <c r="W934" s="30">
        <v>18294.62</v>
      </c>
      <c r="X934" s="27">
        <v>10.47</v>
      </c>
      <c r="Y934" s="27" t="s">
        <v>55</v>
      </c>
      <c r="Z934" s="29">
        <v>4</v>
      </c>
      <c r="AA934" s="30">
        <v>32188.77</v>
      </c>
      <c r="AB934" s="29">
        <v>0.97152619589977196</v>
      </c>
      <c r="AC934" s="30">
        <v>23244.53</v>
      </c>
      <c r="AD934" s="30">
        <v>145.85687927107099</v>
      </c>
      <c r="AE934" s="27">
        <v>691.71666666666704</v>
      </c>
      <c r="AF934" s="29">
        <v>0.98843457099486798</v>
      </c>
      <c r="AG934" s="30">
        <v>8798.3831207289295</v>
      </c>
      <c r="AH934" s="31">
        <f t="shared" si="225"/>
        <v>1.0365997638724911</v>
      </c>
      <c r="AI934" s="31">
        <f t="shared" si="226"/>
        <v>2.847380410022779E-2</v>
      </c>
      <c r="AJ934" s="31">
        <f t="shared" si="227"/>
        <v>7.972665148063782E-3</v>
      </c>
      <c r="AK934" s="31">
        <f t="shared" si="228"/>
        <v>0.97152619589977218</v>
      </c>
      <c r="AL934" s="29">
        <f t="shared" si="229"/>
        <v>0.13333333333333333</v>
      </c>
      <c r="AM934" s="29">
        <f t="shared" si="230"/>
        <v>683.71666666666704</v>
      </c>
      <c r="AN934" s="29">
        <f t="shared" si="231"/>
        <v>1.2841576676498543</v>
      </c>
      <c r="AO934" s="29">
        <f t="shared" si="232"/>
        <v>1.2244897959183674</v>
      </c>
      <c r="AP934" s="31">
        <f t="shared" si="233"/>
        <v>1.0487287619140477</v>
      </c>
      <c r="AQ934" s="31">
        <f t="shared" si="234"/>
        <v>0.97152619589977218</v>
      </c>
      <c r="AR934" s="31">
        <f t="shared" si="235"/>
        <v>1.0070838252656431</v>
      </c>
      <c r="AS934" s="29">
        <f t="shared" si="236"/>
        <v>26.474407744874714</v>
      </c>
      <c r="AT934" s="29">
        <f t="shared" si="237"/>
        <v>10.020937495135454</v>
      </c>
      <c r="AU934" s="27" t="str">
        <f t="shared" si="238"/>
        <v>Low</v>
      </c>
      <c r="AV934" s="27" t="str">
        <f t="shared" si="239"/>
        <v>Normal</v>
      </c>
      <c r="AW934" s="27"/>
    </row>
    <row r="935" spans="1:49" x14ac:dyDescent="0.25">
      <c r="A935" s="27">
        <v>934</v>
      </c>
      <c r="B935" s="28">
        <v>46056</v>
      </c>
      <c r="C935" s="28" t="str">
        <f t="shared" si="224"/>
        <v>February</v>
      </c>
      <c r="D935" s="27" t="s">
        <v>47</v>
      </c>
      <c r="E935" s="27" t="s">
        <v>48</v>
      </c>
      <c r="F935" s="27" t="s">
        <v>56</v>
      </c>
      <c r="G935" s="27" t="s">
        <v>50</v>
      </c>
      <c r="H935" s="27" t="s">
        <v>68</v>
      </c>
      <c r="I935" s="27" t="s">
        <v>1058</v>
      </c>
      <c r="J935" s="27" t="s">
        <v>218</v>
      </c>
      <c r="K935" s="27">
        <v>625</v>
      </c>
      <c r="L935" s="27">
        <v>607</v>
      </c>
      <c r="M935" s="27">
        <v>566</v>
      </c>
      <c r="N935" s="27">
        <v>41</v>
      </c>
      <c r="O935" s="27">
        <v>16</v>
      </c>
      <c r="P935" s="27">
        <v>35</v>
      </c>
      <c r="Q935" s="27" t="s">
        <v>102</v>
      </c>
      <c r="R935" s="27">
        <v>64</v>
      </c>
      <c r="S935" s="27">
        <v>66</v>
      </c>
      <c r="T935" s="29">
        <v>68.400000000000006</v>
      </c>
      <c r="U935" s="29">
        <v>2.31</v>
      </c>
      <c r="V935" s="29">
        <v>22.39</v>
      </c>
      <c r="W935" s="30">
        <v>18076.7</v>
      </c>
      <c r="X935" s="27">
        <v>8.5</v>
      </c>
      <c r="Y935" s="27" t="s">
        <v>55</v>
      </c>
      <c r="Z935" s="29">
        <v>5</v>
      </c>
      <c r="AA935" s="30">
        <v>28561.13</v>
      </c>
      <c r="AB935" s="29">
        <v>0.93245469522240498</v>
      </c>
      <c r="AC935" s="30">
        <v>22103.21</v>
      </c>
      <c r="AD935" s="30">
        <v>476.486326194399</v>
      </c>
      <c r="AE935" s="27">
        <v>666.66666666666697</v>
      </c>
      <c r="AF935" s="29">
        <v>0.94750000000000001</v>
      </c>
      <c r="AG935" s="30">
        <v>5981.4336738055999</v>
      </c>
      <c r="AH935" s="31">
        <f t="shared" si="225"/>
        <v>0.97119999999999995</v>
      </c>
      <c r="AI935" s="31">
        <f t="shared" si="226"/>
        <v>6.7545304777594725E-2</v>
      </c>
      <c r="AJ935" s="31">
        <f t="shared" si="227"/>
        <v>2.6359143327841845E-2</v>
      </c>
      <c r="AK935" s="31">
        <f t="shared" si="228"/>
        <v>0.93245469522240532</v>
      </c>
      <c r="AL935" s="29">
        <f t="shared" si="229"/>
        <v>0.58333333333333337</v>
      </c>
      <c r="AM935" s="29">
        <f t="shared" si="230"/>
        <v>631.66666666666697</v>
      </c>
      <c r="AN935" s="29">
        <f t="shared" si="231"/>
        <v>0.96094986807387817</v>
      </c>
      <c r="AO935" s="29">
        <f t="shared" si="232"/>
        <v>0.9375</v>
      </c>
      <c r="AP935" s="31">
        <f t="shared" si="233"/>
        <v>1.0250131926121366</v>
      </c>
      <c r="AQ935" s="31">
        <f t="shared" si="234"/>
        <v>0.93245469522240532</v>
      </c>
      <c r="AR935" s="31">
        <f t="shared" si="235"/>
        <v>0.90559999999999963</v>
      </c>
      <c r="AS935" s="29">
        <f t="shared" si="236"/>
        <v>36.413855024711694</v>
      </c>
      <c r="AT935" s="29">
        <f t="shared" si="237"/>
        <v>9.8540917196138391</v>
      </c>
      <c r="AU935" s="27" t="str">
        <f t="shared" si="238"/>
        <v>Low</v>
      </c>
      <c r="AV935" s="27" t="str">
        <f t="shared" si="239"/>
        <v>Normal</v>
      </c>
      <c r="AW935" s="27"/>
    </row>
    <row r="936" spans="1:49" x14ac:dyDescent="0.25">
      <c r="A936" s="27">
        <v>935</v>
      </c>
      <c r="B936" s="28">
        <v>46121</v>
      </c>
      <c r="C936" s="28" t="str">
        <f t="shared" si="224"/>
        <v>April</v>
      </c>
      <c r="D936" s="27" t="s">
        <v>67</v>
      </c>
      <c r="E936" s="27" t="s">
        <v>129</v>
      </c>
      <c r="F936" s="27" t="s">
        <v>130</v>
      </c>
      <c r="G936" s="27" t="s">
        <v>78</v>
      </c>
      <c r="H936" s="27" t="s">
        <v>79</v>
      </c>
      <c r="I936" s="27" t="s">
        <v>1059</v>
      </c>
      <c r="J936" s="27" t="s">
        <v>175</v>
      </c>
      <c r="K936" s="27">
        <v>687</v>
      </c>
      <c r="L936" s="27">
        <v>566</v>
      </c>
      <c r="M936" s="27">
        <v>496</v>
      </c>
      <c r="N936" s="27">
        <v>70</v>
      </c>
      <c r="O936" s="27">
        <v>15</v>
      </c>
      <c r="P936" s="27">
        <v>40</v>
      </c>
      <c r="Q936" s="27" t="s">
        <v>75</v>
      </c>
      <c r="R936" s="27">
        <v>49</v>
      </c>
      <c r="S936" s="27">
        <v>52</v>
      </c>
      <c r="T936" s="29">
        <v>71.7</v>
      </c>
      <c r="U936" s="29">
        <v>3.06</v>
      </c>
      <c r="V936" s="29">
        <v>23.81</v>
      </c>
      <c r="W936" s="30">
        <v>12495.76</v>
      </c>
      <c r="X936" s="27">
        <v>8.41</v>
      </c>
      <c r="Y936" s="27" t="s">
        <v>71</v>
      </c>
      <c r="Z936" s="29">
        <v>45</v>
      </c>
      <c r="AA936" s="30">
        <v>18301.77</v>
      </c>
      <c r="AB936" s="29">
        <v>0.87632508833922296</v>
      </c>
      <c r="AC936" s="30">
        <v>16494.55</v>
      </c>
      <c r="AD936" s="30">
        <v>331.15971731448798</v>
      </c>
      <c r="AE936" s="27">
        <v>561.04999999999995</v>
      </c>
      <c r="AF936" s="29">
        <v>0.92870510649674698</v>
      </c>
      <c r="AG936" s="30">
        <v>1476.0602826855099</v>
      </c>
      <c r="AH936" s="31">
        <f t="shared" si="225"/>
        <v>0.82387190684133915</v>
      </c>
      <c r="AI936" s="31">
        <f t="shared" si="226"/>
        <v>0.12367491166077739</v>
      </c>
      <c r="AJ936" s="31">
        <f t="shared" si="227"/>
        <v>2.6501766784452298E-2</v>
      </c>
      <c r="AK936" s="31">
        <f t="shared" si="228"/>
        <v>0.87632508833922262</v>
      </c>
      <c r="AL936" s="29">
        <f t="shared" si="229"/>
        <v>0.66666666666666663</v>
      </c>
      <c r="AM936" s="29">
        <f t="shared" si="230"/>
        <v>521.04999999999995</v>
      </c>
      <c r="AN936" s="29">
        <f t="shared" si="231"/>
        <v>1.0862681124652145</v>
      </c>
      <c r="AO936" s="29">
        <f t="shared" si="232"/>
        <v>1.2244897959183674</v>
      </c>
      <c r="AP936" s="31">
        <f t="shared" si="233"/>
        <v>0.8871189585132585</v>
      </c>
      <c r="AQ936" s="31">
        <f t="shared" si="234"/>
        <v>0.87632508833922262</v>
      </c>
      <c r="AR936" s="31">
        <f t="shared" si="235"/>
        <v>0.72197962154294026</v>
      </c>
      <c r="AS936" s="29">
        <f t="shared" si="236"/>
        <v>29.142314487632508</v>
      </c>
      <c r="AT936" s="29">
        <f t="shared" si="237"/>
        <v>2.6078803581016077</v>
      </c>
      <c r="AU936" s="27" t="str">
        <f t="shared" si="238"/>
        <v>High</v>
      </c>
      <c r="AV936" s="27" t="str">
        <f t="shared" si="239"/>
        <v>Critical</v>
      </c>
      <c r="AW936" s="27"/>
    </row>
    <row r="937" spans="1:49" x14ac:dyDescent="0.25">
      <c r="A937" s="27">
        <v>936</v>
      </c>
      <c r="B937" s="28">
        <v>46082</v>
      </c>
      <c r="C937" s="28" t="str">
        <f t="shared" si="224"/>
        <v>March</v>
      </c>
      <c r="D937" s="27" t="s">
        <v>67</v>
      </c>
      <c r="E937" s="27" t="s">
        <v>61</v>
      </c>
      <c r="F937" s="27" t="s">
        <v>88</v>
      </c>
      <c r="G937" s="27" t="s">
        <v>63</v>
      </c>
      <c r="H937" s="27" t="s">
        <v>79</v>
      </c>
      <c r="I937" s="27" t="s">
        <v>1060</v>
      </c>
      <c r="J937" s="27" t="s">
        <v>115</v>
      </c>
      <c r="K937" s="27">
        <v>829</v>
      </c>
      <c r="L937" s="27">
        <v>742</v>
      </c>
      <c r="M937" s="27">
        <v>723</v>
      </c>
      <c r="N937" s="27">
        <v>19</v>
      </c>
      <c r="O937" s="27">
        <v>4</v>
      </c>
      <c r="P937" s="27">
        <v>39</v>
      </c>
      <c r="Q937" s="27" t="s">
        <v>97</v>
      </c>
      <c r="R937" s="27">
        <v>49</v>
      </c>
      <c r="S937" s="27">
        <v>48</v>
      </c>
      <c r="T937" s="29">
        <v>73.7</v>
      </c>
      <c r="U937" s="29">
        <v>2.66</v>
      </c>
      <c r="V937" s="29">
        <v>29.97</v>
      </c>
      <c r="W937" s="30">
        <v>16403.45</v>
      </c>
      <c r="X937" s="27">
        <v>8.6199999999999992</v>
      </c>
      <c r="Y937" s="27" t="s">
        <v>66</v>
      </c>
      <c r="Z937" s="29">
        <v>44</v>
      </c>
      <c r="AA937" s="30">
        <v>28270.39</v>
      </c>
      <c r="AB937" s="29">
        <v>0.97439353099730497</v>
      </c>
      <c r="AC937" s="30">
        <v>20552.18</v>
      </c>
      <c r="AD937" s="30">
        <v>88.428301886792497</v>
      </c>
      <c r="AE937" s="27">
        <v>677.01666666666699</v>
      </c>
      <c r="AF937" s="29">
        <v>0.94239432805691603</v>
      </c>
      <c r="AG937" s="30">
        <v>7629.78169811321</v>
      </c>
      <c r="AH937" s="31">
        <f t="shared" si="225"/>
        <v>0.89505428226779249</v>
      </c>
      <c r="AI937" s="31">
        <f t="shared" si="226"/>
        <v>2.5606469002695417E-2</v>
      </c>
      <c r="AJ937" s="31">
        <f t="shared" si="227"/>
        <v>5.3908355795148251E-3</v>
      </c>
      <c r="AK937" s="31">
        <f t="shared" si="228"/>
        <v>0.97439353099730464</v>
      </c>
      <c r="AL937" s="29">
        <f t="shared" si="229"/>
        <v>0.65</v>
      </c>
      <c r="AM937" s="29">
        <f t="shared" si="230"/>
        <v>638.01666666666699</v>
      </c>
      <c r="AN937" s="29">
        <f t="shared" si="231"/>
        <v>1.1629790235364796</v>
      </c>
      <c r="AO937" s="29">
        <f t="shared" si="232"/>
        <v>1.2244897959183674</v>
      </c>
      <c r="AP937" s="31">
        <f t="shared" si="233"/>
        <v>0.94976620255479172</v>
      </c>
      <c r="AQ937" s="31">
        <f t="shared" si="234"/>
        <v>0.97439353099730464</v>
      </c>
      <c r="AR937" s="31">
        <f t="shared" si="235"/>
        <v>0.87213510253317172</v>
      </c>
      <c r="AS937" s="29">
        <f t="shared" si="236"/>
        <v>27.698355795148249</v>
      </c>
      <c r="AT937" s="29">
        <f t="shared" si="237"/>
        <v>10.282724660529933</v>
      </c>
      <c r="AU937" s="27" t="str">
        <f t="shared" si="238"/>
        <v>Medium</v>
      </c>
      <c r="AV937" s="27" t="str">
        <f t="shared" si="239"/>
        <v>Normal</v>
      </c>
      <c r="AW937" s="27"/>
    </row>
    <row r="938" spans="1:49" x14ac:dyDescent="0.25">
      <c r="A938" s="27">
        <v>937</v>
      </c>
      <c r="B938" s="28">
        <v>46094</v>
      </c>
      <c r="C938" s="28" t="str">
        <f t="shared" si="224"/>
        <v>March</v>
      </c>
      <c r="D938" s="27" t="s">
        <v>47</v>
      </c>
      <c r="E938" s="27" t="s">
        <v>98</v>
      </c>
      <c r="F938" s="27" t="s">
        <v>99</v>
      </c>
      <c r="G938" s="27" t="s">
        <v>63</v>
      </c>
      <c r="H938" s="27" t="s">
        <v>51</v>
      </c>
      <c r="I938" s="27" t="s">
        <v>1061</v>
      </c>
      <c r="J938" s="27" t="s">
        <v>74</v>
      </c>
      <c r="K938" s="27">
        <v>753</v>
      </c>
      <c r="L938" s="27">
        <v>703</v>
      </c>
      <c r="M938" s="27">
        <v>676</v>
      </c>
      <c r="N938" s="27">
        <v>27</v>
      </c>
      <c r="O938" s="27">
        <v>7</v>
      </c>
      <c r="P938" s="27">
        <v>23</v>
      </c>
      <c r="Q938" s="27" t="s">
        <v>82</v>
      </c>
      <c r="R938" s="27">
        <v>42</v>
      </c>
      <c r="S938" s="27">
        <v>45</v>
      </c>
      <c r="T938" s="29">
        <v>69.3</v>
      </c>
      <c r="U938" s="29">
        <v>2.27</v>
      </c>
      <c r="V938" s="29">
        <v>22.76</v>
      </c>
      <c r="W938" s="30">
        <v>12647.02</v>
      </c>
      <c r="X938" s="27">
        <v>6.76</v>
      </c>
      <c r="Y938" s="27" t="s">
        <v>55</v>
      </c>
      <c r="Z938" s="29">
        <v>10</v>
      </c>
      <c r="AA938" s="30">
        <v>21037.86</v>
      </c>
      <c r="AB938" s="29">
        <v>0.96159317211948803</v>
      </c>
      <c r="AC938" s="30">
        <v>15893.86</v>
      </c>
      <c r="AD938" s="30">
        <v>125.930497866287</v>
      </c>
      <c r="AE938" s="27">
        <v>527.1</v>
      </c>
      <c r="AF938" s="29">
        <v>0.95636501612597202</v>
      </c>
      <c r="AG938" s="30">
        <v>5018.0695021337096</v>
      </c>
      <c r="AH938" s="31">
        <f t="shared" si="225"/>
        <v>0.93359893758300128</v>
      </c>
      <c r="AI938" s="31">
        <f t="shared" si="226"/>
        <v>3.8406827880512091E-2</v>
      </c>
      <c r="AJ938" s="31">
        <f t="shared" si="227"/>
        <v>9.9573257467994308E-3</v>
      </c>
      <c r="AK938" s="31">
        <f t="shared" si="228"/>
        <v>0.96159317211948792</v>
      </c>
      <c r="AL938" s="29">
        <f t="shared" si="229"/>
        <v>0.38333333333333336</v>
      </c>
      <c r="AM938" s="29">
        <f t="shared" si="230"/>
        <v>504.1</v>
      </c>
      <c r="AN938" s="29">
        <f t="shared" si="231"/>
        <v>1.3945645705217218</v>
      </c>
      <c r="AO938" s="29">
        <f t="shared" si="232"/>
        <v>1.4285714285714286</v>
      </c>
      <c r="AP938" s="31">
        <f t="shared" si="233"/>
        <v>0.97619519936520527</v>
      </c>
      <c r="AQ938" s="31">
        <f t="shared" si="234"/>
        <v>0.96159317211948792</v>
      </c>
      <c r="AR938" s="31">
        <f t="shared" si="235"/>
        <v>0.8977423638778218</v>
      </c>
      <c r="AS938" s="29">
        <f t="shared" si="236"/>
        <v>22.608620199146515</v>
      </c>
      <c r="AT938" s="29">
        <f t="shared" si="237"/>
        <v>7.1380789504035702</v>
      </c>
      <c r="AU938" s="27" t="str">
        <f t="shared" si="238"/>
        <v>Low</v>
      </c>
      <c r="AV938" s="27" t="str">
        <f t="shared" si="239"/>
        <v>Normal</v>
      </c>
      <c r="AW938" s="27"/>
    </row>
    <row r="939" spans="1:49" x14ac:dyDescent="0.25">
      <c r="A939" s="27">
        <v>938</v>
      </c>
      <c r="B939" s="28">
        <v>46075</v>
      </c>
      <c r="C939" s="28" t="str">
        <f t="shared" si="224"/>
        <v>February</v>
      </c>
      <c r="D939" s="27" t="s">
        <v>67</v>
      </c>
      <c r="E939" s="27" t="s">
        <v>61</v>
      </c>
      <c r="F939" s="27" t="s">
        <v>95</v>
      </c>
      <c r="G939" s="27" t="s">
        <v>63</v>
      </c>
      <c r="H939" s="27" t="s">
        <v>68</v>
      </c>
      <c r="I939" s="27" t="s">
        <v>1062</v>
      </c>
      <c r="J939" s="27" t="s">
        <v>132</v>
      </c>
      <c r="K939" s="27">
        <v>596</v>
      </c>
      <c r="L939" s="27">
        <v>543</v>
      </c>
      <c r="M939" s="27">
        <v>508</v>
      </c>
      <c r="N939" s="27">
        <v>35</v>
      </c>
      <c r="O939" s="27">
        <v>12</v>
      </c>
      <c r="P939" s="27">
        <v>0</v>
      </c>
      <c r="Q939" s="27" t="s">
        <v>60</v>
      </c>
      <c r="R939" s="27">
        <v>64</v>
      </c>
      <c r="S939" s="27">
        <v>67</v>
      </c>
      <c r="T939" s="29">
        <v>67.400000000000006</v>
      </c>
      <c r="U939" s="29">
        <v>1.23</v>
      </c>
      <c r="V939" s="29">
        <v>19.079999999999998</v>
      </c>
      <c r="W939" s="30">
        <v>17807.810000000001</v>
      </c>
      <c r="X939" s="27">
        <v>6.56</v>
      </c>
      <c r="Y939" s="27" t="s">
        <v>66</v>
      </c>
      <c r="Z939" s="29">
        <v>14</v>
      </c>
      <c r="AA939" s="30">
        <v>26021.3</v>
      </c>
      <c r="AB939" s="29">
        <v>0.93554327808471505</v>
      </c>
      <c r="AC939" s="30">
        <v>20931.53</v>
      </c>
      <c r="AD939" s="30">
        <v>393.54276243093898</v>
      </c>
      <c r="AE939" s="27">
        <v>635.73333333333301</v>
      </c>
      <c r="AF939" s="29">
        <v>1</v>
      </c>
      <c r="AG939" s="30">
        <v>4696.22723756906</v>
      </c>
      <c r="AH939" s="31">
        <f t="shared" si="225"/>
        <v>0.91107382550335569</v>
      </c>
      <c r="AI939" s="31">
        <f t="shared" si="226"/>
        <v>6.4456721915285453E-2</v>
      </c>
      <c r="AJ939" s="31">
        <f t="shared" si="227"/>
        <v>2.2099447513812154E-2</v>
      </c>
      <c r="AK939" s="31">
        <f t="shared" si="228"/>
        <v>0.9355432780847146</v>
      </c>
      <c r="AL939" s="29">
        <f t="shared" si="229"/>
        <v>0</v>
      </c>
      <c r="AM939" s="29">
        <f t="shared" si="230"/>
        <v>635.73333333333301</v>
      </c>
      <c r="AN939" s="29">
        <f t="shared" si="231"/>
        <v>0.85413171140939637</v>
      </c>
      <c r="AO939" s="29">
        <f t="shared" si="232"/>
        <v>0.9375</v>
      </c>
      <c r="AP939" s="31">
        <f t="shared" si="233"/>
        <v>0.91107382550335614</v>
      </c>
      <c r="AQ939" s="31">
        <f t="shared" si="234"/>
        <v>0.9355432780847146</v>
      </c>
      <c r="AR939" s="31">
        <f t="shared" si="235"/>
        <v>0.85234899328859104</v>
      </c>
      <c r="AS939" s="29">
        <f t="shared" si="236"/>
        <v>38.547937384898709</v>
      </c>
      <c r="AT939" s="29">
        <f t="shared" si="237"/>
        <v>8.6486689457993737</v>
      </c>
      <c r="AU939" s="27" t="str">
        <f t="shared" si="238"/>
        <v>Low</v>
      </c>
      <c r="AV939" s="27" t="str">
        <f t="shared" si="239"/>
        <v>Normal</v>
      </c>
      <c r="AW939" s="27"/>
    </row>
    <row r="940" spans="1:49" x14ac:dyDescent="0.25">
      <c r="A940" s="27">
        <v>939</v>
      </c>
      <c r="B940" s="28">
        <v>46060</v>
      </c>
      <c r="C940" s="28" t="str">
        <f t="shared" si="224"/>
        <v>February</v>
      </c>
      <c r="D940" s="27" t="s">
        <v>47</v>
      </c>
      <c r="E940" s="27" t="s">
        <v>98</v>
      </c>
      <c r="F940" s="27" t="s">
        <v>105</v>
      </c>
      <c r="G940" s="27" t="s">
        <v>50</v>
      </c>
      <c r="H940" s="27" t="s">
        <v>124</v>
      </c>
      <c r="I940" s="27" t="s">
        <v>1063</v>
      </c>
      <c r="J940" s="27" t="s">
        <v>153</v>
      </c>
      <c r="K940" s="27">
        <v>605</v>
      </c>
      <c r="L940" s="27">
        <v>615</v>
      </c>
      <c r="M940" s="27">
        <v>576</v>
      </c>
      <c r="N940" s="27">
        <v>39</v>
      </c>
      <c r="O940" s="27">
        <v>11</v>
      </c>
      <c r="P940" s="27">
        <v>0</v>
      </c>
      <c r="Q940" s="27" t="s">
        <v>60</v>
      </c>
      <c r="R940" s="27">
        <v>57</v>
      </c>
      <c r="S940" s="27">
        <v>58</v>
      </c>
      <c r="T940" s="29">
        <v>69.599999999999994</v>
      </c>
      <c r="U940" s="29">
        <v>2.17</v>
      </c>
      <c r="V940" s="29">
        <v>19.5</v>
      </c>
      <c r="W940" s="30">
        <v>16633.59</v>
      </c>
      <c r="X940" s="27">
        <v>8.5399999999999991</v>
      </c>
      <c r="Y940" s="27" t="s">
        <v>110</v>
      </c>
      <c r="Z940" s="29">
        <v>5</v>
      </c>
      <c r="AA940" s="30">
        <v>26744.49</v>
      </c>
      <c r="AB940" s="29">
        <v>0.93658536585365904</v>
      </c>
      <c r="AC940" s="30">
        <v>20652.09</v>
      </c>
      <c r="AD940" s="30">
        <v>297.51136585365902</v>
      </c>
      <c r="AE940" s="27">
        <v>574.75</v>
      </c>
      <c r="AF940" s="29">
        <v>1</v>
      </c>
      <c r="AG940" s="30">
        <v>5794.8886341463403</v>
      </c>
      <c r="AH940" s="31">
        <f t="shared" si="225"/>
        <v>1.0165289256198347</v>
      </c>
      <c r="AI940" s="31">
        <f t="shared" si="226"/>
        <v>6.3414634146341464E-2</v>
      </c>
      <c r="AJ940" s="31">
        <f t="shared" si="227"/>
        <v>1.7886178861788619E-2</v>
      </c>
      <c r="AK940" s="31">
        <f t="shared" si="228"/>
        <v>0.93658536585365859</v>
      </c>
      <c r="AL940" s="29">
        <f t="shared" si="229"/>
        <v>0</v>
      </c>
      <c r="AM940" s="29">
        <f t="shared" si="230"/>
        <v>574.75</v>
      </c>
      <c r="AN940" s="29">
        <f t="shared" si="231"/>
        <v>1.0700304480208787</v>
      </c>
      <c r="AO940" s="29">
        <f t="shared" si="232"/>
        <v>1.0526315789473684</v>
      </c>
      <c r="AP940" s="31">
        <f t="shared" si="233"/>
        <v>1.0165289256198349</v>
      </c>
      <c r="AQ940" s="31">
        <f t="shared" si="234"/>
        <v>0.93658536585365859</v>
      </c>
      <c r="AR940" s="31">
        <f t="shared" si="235"/>
        <v>0.95206611570247957</v>
      </c>
      <c r="AS940" s="29">
        <f t="shared" si="236"/>
        <v>33.580634146341467</v>
      </c>
      <c r="AT940" s="29">
        <f t="shared" si="237"/>
        <v>9.4225831449533981</v>
      </c>
      <c r="AU940" s="27" t="str">
        <f t="shared" si="238"/>
        <v>Medium</v>
      </c>
      <c r="AV940" s="27" t="str">
        <f t="shared" si="239"/>
        <v>Normal</v>
      </c>
      <c r="AW940" s="27"/>
    </row>
    <row r="941" spans="1:49" x14ac:dyDescent="0.25">
      <c r="A941" s="27">
        <v>940</v>
      </c>
      <c r="B941" s="28">
        <v>46040</v>
      </c>
      <c r="C941" s="28" t="str">
        <f t="shared" si="224"/>
        <v>January</v>
      </c>
      <c r="D941" s="27" t="s">
        <v>67</v>
      </c>
      <c r="E941" s="27" t="s">
        <v>129</v>
      </c>
      <c r="F941" s="27" t="s">
        <v>130</v>
      </c>
      <c r="G941" s="27" t="s">
        <v>63</v>
      </c>
      <c r="H941" s="27" t="s">
        <v>51</v>
      </c>
      <c r="I941" s="27" t="s">
        <v>1064</v>
      </c>
      <c r="J941" s="27" t="s">
        <v>132</v>
      </c>
      <c r="K941" s="27">
        <v>976</v>
      </c>
      <c r="L941" s="27">
        <v>828</v>
      </c>
      <c r="M941" s="27">
        <v>707</v>
      </c>
      <c r="N941" s="27">
        <v>121</v>
      </c>
      <c r="O941" s="27">
        <v>48</v>
      </c>
      <c r="P941" s="27">
        <v>68</v>
      </c>
      <c r="Q941" s="27" t="s">
        <v>94</v>
      </c>
      <c r="R941" s="27">
        <v>42</v>
      </c>
      <c r="S941" s="27">
        <v>44</v>
      </c>
      <c r="T941" s="29">
        <v>67</v>
      </c>
      <c r="U941" s="29">
        <v>3.91</v>
      </c>
      <c r="V941" s="29">
        <v>27.65</v>
      </c>
      <c r="W941" s="30">
        <v>15727.12</v>
      </c>
      <c r="X941" s="27">
        <v>7.16</v>
      </c>
      <c r="Y941" s="27" t="s">
        <v>71</v>
      </c>
      <c r="Z941" s="29">
        <v>67</v>
      </c>
      <c r="AA941" s="30">
        <v>22325.3</v>
      </c>
      <c r="AB941" s="29">
        <v>0.85386473429951704</v>
      </c>
      <c r="AC941" s="30">
        <v>19197.97</v>
      </c>
      <c r="AD941" s="30">
        <v>911.71710144927499</v>
      </c>
      <c r="AE941" s="27">
        <v>683.2</v>
      </c>
      <c r="AF941" s="29">
        <v>0.90046838407494201</v>
      </c>
      <c r="AG941" s="30">
        <v>2215.6128985507198</v>
      </c>
      <c r="AH941" s="31">
        <f t="shared" si="225"/>
        <v>0.84836065573770492</v>
      </c>
      <c r="AI941" s="31">
        <f t="shared" si="226"/>
        <v>0.1461352657004831</v>
      </c>
      <c r="AJ941" s="31">
        <f t="shared" si="227"/>
        <v>5.7971014492753624E-2</v>
      </c>
      <c r="AK941" s="31">
        <f t="shared" si="228"/>
        <v>0.85386473429951693</v>
      </c>
      <c r="AL941" s="29">
        <f t="shared" si="229"/>
        <v>1.1333333333333333</v>
      </c>
      <c r="AM941" s="29">
        <f t="shared" si="230"/>
        <v>615.20000000000005</v>
      </c>
      <c r="AN941" s="29">
        <f t="shared" si="231"/>
        <v>1.3459037711313393</v>
      </c>
      <c r="AO941" s="29">
        <f t="shared" si="232"/>
        <v>1.4285714285714286</v>
      </c>
      <c r="AP941" s="31">
        <f t="shared" si="233"/>
        <v>0.94213263979193751</v>
      </c>
      <c r="AQ941" s="31">
        <f t="shared" si="234"/>
        <v>0.85386473429951693</v>
      </c>
      <c r="AR941" s="31">
        <f t="shared" si="235"/>
        <v>0.72438524590163977</v>
      </c>
      <c r="AS941" s="29">
        <f t="shared" si="236"/>
        <v>23.185954106280196</v>
      </c>
      <c r="AT941" s="29">
        <f t="shared" si="237"/>
        <v>2.675860988587826</v>
      </c>
      <c r="AU941" s="27" t="str">
        <f t="shared" si="238"/>
        <v>High</v>
      </c>
      <c r="AV941" s="27" t="str">
        <f t="shared" si="239"/>
        <v>Critical</v>
      </c>
      <c r="AW941" s="27"/>
    </row>
    <row r="942" spans="1:49" x14ac:dyDescent="0.25">
      <c r="A942" s="27">
        <v>941</v>
      </c>
      <c r="B942" s="28">
        <v>46140</v>
      </c>
      <c r="C942" s="28" t="str">
        <f t="shared" si="224"/>
        <v>April</v>
      </c>
      <c r="D942" s="27" t="s">
        <v>67</v>
      </c>
      <c r="E942" s="27" t="s">
        <v>61</v>
      </c>
      <c r="F942" s="27" t="s">
        <v>62</v>
      </c>
      <c r="G942" s="27" t="s">
        <v>78</v>
      </c>
      <c r="H942" s="27" t="s">
        <v>51</v>
      </c>
      <c r="I942" s="27" t="s">
        <v>1065</v>
      </c>
      <c r="J942" s="27" t="s">
        <v>218</v>
      </c>
      <c r="K942" s="27">
        <v>818</v>
      </c>
      <c r="L942" s="27">
        <v>737</v>
      </c>
      <c r="M942" s="27">
        <v>698</v>
      </c>
      <c r="N942" s="27">
        <v>39</v>
      </c>
      <c r="O942" s="27">
        <v>15</v>
      </c>
      <c r="P942" s="27">
        <v>27</v>
      </c>
      <c r="Q942" s="27" t="s">
        <v>102</v>
      </c>
      <c r="R942" s="27">
        <v>42</v>
      </c>
      <c r="S942" s="27">
        <v>45</v>
      </c>
      <c r="T942" s="29">
        <v>66.099999999999994</v>
      </c>
      <c r="U942" s="29">
        <v>1.17</v>
      </c>
      <c r="V942" s="29">
        <v>29.41</v>
      </c>
      <c r="W942" s="30">
        <v>13635.57</v>
      </c>
      <c r="X942" s="27">
        <v>7.36</v>
      </c>
      <c r="Y942" s="27" t="s">
        <v>55</v>
      </c>
      <c r="Z942" s="29">
        <v>18</v>
      </c>
      <c r="AA942" s="30">
        <v>22177.17</v>
      </c>
      <c r="AB942" s="29">
        <v>0.94708276797829005</v>
      </c>
      <c r="AC942" s="30">
        <v>17212.259999999998</v>
      </c>
      <c r="AD942" s="30">
        <v>277.52177747625501</v>
      </c>
      <c r="AE942" s="27">
        <v>572.6</v>
      </c>
      <c r="AF942" s="29">
        <v>0.95284666433810705</v>
      </c>
      <c r="AG942" s="30">
        <v>4687.3882225237503</v>
      </c>
      <c r="AH942" s="31">
        <f t="shared" si="225"/>
        <v>0.90097799511002441</v>
      </c>
      <c r="AI942" s="31">
        <f t="shared" si="226"/>
        <v>5.2917232021709636E-2</v>
      </c>
      <c r="AJ942" s="31">
        <f t="shared" si="227"/>
        <v>2.0352781546811399E-2</v>
      </c>
      <c r="AK942" s="31">
        <f t="shared" si="228"/>
        <v>0.94708276797829039</v>
      </c>
      <c r="AL942" s="29">
        <f t="shared" si="229"/>
        <v>0.45</v>
      </c>
      <c r="AM942" s="29">
        <f t="shared" si="230"/>
        <v>545.6</v>
      </c>
      <c r="AN942" s="29">
        <f t="shared" si="231"/>
        <v>1.3508064516129032</v>
      </c>
      <c r="AO942" s="29">
        <f t="shared" si="232"/>
        <v>1.4285714285714286</v>
      </c>
      <c r="AP942" s="31">
        <f t="shared" si="233"/>
        <v>0.94556451612903225</v>
      </c>
      <c r="AQ942" s="31">
        <f t="shared" si="234"/>
        <v>0.94708276797829039</v>
      </c>
      <c r="AR942" s="31">
        <f t="shared" si="235"/>
        <v>0.85330073349633273</v>
      </c>
      <c r="AS942" s="29">
        <f t="shared" si="236"/>
        <v>23.354491180461327</v>
      </c>
      <c r="AT942" s="29">
        <f t="shared" si="237"/>
        <v>6.3600925678748306</v>
      </c>
      <c r="AU942" s="27" t="str">
        <f t="shared" si="238"/>
        <v>Low</v>
      </c>
      <c r="AV942" s="27" t="str">
        <f t="shared" si="239"/>
        <v>Normal</v>
      </c>
      <c r="AW942" s="27"/>
    </row>
    <row r="943" spans="1:49" x14ac:dyDescent="0.25">
      <c r="A943" s="27">
        <v>942</v>
      </c>
      <c r="B943" s="28">
        <v>46115</v>
      </c>
      <c r="C943" s="28" t="str">
        <f t="shared" si="224"/>
        <v>April</v>
      </c>
      <c r="D943" s="27" t="s">
        <v>67</v>
      </c>
      <c r="E943" s="27" t="s">
        <v>76</v>
      </c>
      <c r="F943" s="27" t="s">
        <v>119</v>
      </c>
      <c r="G943" s="27" t="s">
        <v>50</v>
      </c>
      <c r="H943" s="27" t="s">
        <v>124</v>
      </c>
      <c r="I943" s="27" t="s">
        <v>1066</v>
      </c>
      <c r="J943" s="27" t="s">
        <v>164</v>
      </c>
      <c r="K943" s="27">
        <v>758</v>
      </c>
      <c r="L943" s="27">
        <v>721</v>
      </c>
      <c r="M943" s="27">
        <v>627</v>
      </c>
      <c r="N943" s="27">
        <v>94</v>
      </c>
      <c r="O943" s="27">
        <v>22</v>
      </c>
      <c r="P943" s="27">
        <v>43</v>
      </c>
      <c r="Q943" s="27" t="s">
        <v>54</v>
      </c>
      <c r="R943" s="27">
        <v>57</v>
      </c>
      <c r="S943" s="27">
        <v>61</v>
      </c>
      <c r="T943" s="29">
        <v>71.3</v>
      </c>
      <c r="U943" s="29">
        <v>3.39</v>
      </c>
      <c r="V943" s="29">
        <v>29.05</v>
      </c>
      <c r="W943" s="30">
        <v>18723.29</v>
      </c>
      <c r="X943" s="27">
        <v>9.4</v>
      </c>
      <c r="Y943" s="27" t="s">
        <v>71</v>
      </c>
      <c r="Z943" s="29">
        <v>48</v>
      </c>
      <c r="AA943" s="30">
        <v>28718.12</v>
      </c>
      <c r="AB943" s="29">
        <v>0.86962552011095695</v>
      </c>
      <c r="AC943" s="30">
        <v>23214.74</v>
      </c>
      <c r="AD943" s="30">
        <v>571.30704576976404</v>
      </c>
      <c r="AE943" s="27">
        <v>720.1</v>
      </c>
      <c r="AF943" s="29">
        <v>0.94028607137897502</v>
      </c>
      <c r="AG943" s="30">
        <v>4932.0729542302297</v>
      </c>
      <c r="AH943" s="31">
        <f t="shared" si="225"/>
        <v>0.95118733509234832</v>
      </c>
      <c r="AI943" s="31">
        <f t="shared" si="226"/>
        <v>0.13037447988904299</v>
      </c>
      <c r="AJ943" s="31">
        <f t="shared" si="227"/>
        <v>3.0513176144244106E-2</v>
      </c>
      <c r="AK943" s="31">
        <f t="shared" si="228"/>
        <v>0.86962552011095695</v>
      </c>
      <c r="AL943" s="29">
        <f t="shared" si="229"/>
        <v>0.71666666666666667</v>
      </c>
      <c r="AM943" s="29">
        <f t="shared" si="230"/>
        <v>677.1</v>
      </c>
      <c r="AN943" s="29">
        <f t="shared" si="231"/>
        <v>1.064835327130409</v>
      </c>
      <c r="AO943" s="29">
        <f t="shared" si="232"/>
        <v>1.0526315789473684</v>
      </c>
      <c r="AP943" s="31">
        <f t="shared" si="233"/>
        <v>1.0115935607738886</v>
      </c>
      <c r="AQ943" s="31">
        <f t="shared" si="234"/>
        <v>0.86962552011095695</v>
      </c>
      <c r="AR943" s="31">
        <f t="shared" si="235"/>
        <v>0.82717678100263836</v>
      </c>
      <c r="AS943" s="29">
        <f t="shared" si="236"/>
        <v>32.197975034674066</v>
      </c>
      <c r="AT943" s="29">
        <f t="shared" si="237"/>
        <v>6.8406004913040634</v>
      </c>
      <c r="AU943" s="27" t="str">
        <f t="shared" si="238"/>
        <v>High</v>
      </c>
      <c r="AV943" s="27" t="str">
        <f t="shared" si="239"/>
        <v>Warning</v>
      </c>
      <c r="AW943" s="27"/>
    </row>
    <row r="944" spans="1:49" x14ac:dyDescent="0.25">
      <c r="A944" s="27">
        <v>943</v>
      </c>
      <c r="B944" s="28">
        <v>46092</v>
      </c>
      <c r="C944" s="28" t="str">
        <f t="shared" si="224"/>
        <v>March</v>
      </c>
      <c r="D944" s="27" t="s">
        <v>67</v>
      </c>
      <c r="E944" s="27" t="s">
        <v>48</v>
      </c>
      <c r="F944" s="27" t="s">
        <v>49</v>
      </c>
      <c r="G944" s="27" t="s">
        <v>78</v>
      </c>
      <c r="H944" s="27" t="s">
        <v>79</v>
      </c>
      <c r="I944" s="27" t="s">
        <v>1067</v>
      </c>
      <c r="J944" s="27" t="s">
        <v>117</v>
      </c>
      <c r="K944" s="27">
        <v>848</v>
      </c>
      <c r="L944" s="27">
        <v>763</v>
      </c>
      <c r="M944" s="27">
        <v>717</v>
      </c>
      <c r="N944" s="27">
        <v>46</v>
      </c>
      <c r="O944" s="27">
        <v>14</v>
      </c>
      <c r="P944" s="27">
        <v>14</v>
      </c>
      <c r="Q944" s="27" t="s">
        <v>82</v>
      </c>
      <c r="R944" s="27">
        <v>49</v>
      </c>
      <c r="S944" s="27">
        <v>51</v>
      </c>
      <c r="T944" s="29">
        <v>75.099999999999994</v>
      </c>
      <c r="U944" s="29">
        <v>0.72</v>
      </c>
      <c r="V944" s="29">
        <v>28.07</v>
      </c>
      <c r="W944" s="30">
        <v>16690.18</v>
      </c>
      <c r="X944" s="27">
        <v>7.1</v>
      </c>
      <c r="Y944" s="27" t="s">
        <v>66</v>
      </c>
      <c r="Z944" s="29">
        <v>22</v>
      </c>
      <c r="AA944" s="30">
        <v>27005.27</v>
      </c>
      <c r="AB944" s="29">
        <v>0.93971166448230703</v>
      </c>
      <c r="AC944" s="30">
        <v>20137.810000000001</v>
      </c>
      <c r="AD944" s="30">
        <v>306.24183486238502</v>
      </c>
      <c r="AE944" s="27">
        <v>692.53333333333296</v>
      </c>
      <c r="AF944" s="29">
        <v>0.979784366576819</v>
      </c>
      <c r="AG944" s="30">
        <v>6561.2181651376104</v>
      </c>
      <c r="AH944" s="31">
        <f t="shared" si="225"/>
        <v>0.89976415094339623</v>
      </c>
      <c r="AI944" s="31">
        <f t="shared" si="226"/>
        <v>6.0288335517693317E-2</v>
      </c>
      <c r="AJ944" s="31">
        <f t="shared" si="227"/>
        <v>1.834862385321101E-2</v>
      </c>
      <c r="AK944" s="31">
        <f t="shared" si="228"/>
        <v>0.9397116644823067</v>
      </c>
      <c r="AL944" s="29">
        <f t="shared" si="229"/>
        <v>0.23333333333333334</v>
      </c>
      <c r="AM944" s="29">
        <f t="shared" si="230"/>
        <v>678.53333333333296</v>
      </c>
      <c r="AN944" s="29">
        <f t="shared" si="231"/>
        <v>1.1244841815680886</v>
      </c>
      <c r="AO944" s="29">
        <f t="shared" si="232"/>
        <v>1.2244897959183674</v>
      </c>
      <c r="AP944" s="31">
        <f t="shared" si="233"/>
        <v>0.91832874828060562</v>
      </c>
      <c r="AQ944" s="31">
        <f t="shared" si="234"/>
        <v>0.9397116644823067</v>
      </c>
      <c r="AR944" s="31">
        <f t="shared" si="235"/>
        <v>0.84551886792452835</v>
      </c>
      <c r="AS944" s="29">
        <f t="shared" si="236"/>
        <v>26.392935779816515</v>
      </c>
      <c r="AT944" s="29">
        <f t="shared" si="237"/>
        <v>8.5992374379260941</v>
      </c>
      <c r="AU944" s="27" t="str">
        <f t="shared" si="238"/>
        <v>Medium</v>
      </c>
      <c r="AV944" s="27" t="str">
        <f t="shared" si="239"/>
        <v>Warning</v>
      </c>
      <c r="AW944" s="27"/>
    </row>
    <row r="945" spans="1:49" x14ac:dyDescent="0.25">
      <c r="A945" s="27">
        <v>944</v>
      </c>
      <c r="B945" s="28">
        <v>46039</v>
      </c>
      <c r="C945" s="28" t="str">
        <f t="shared" si="224"/>
        <v>January</v>
      </c>
      <c r="D945" s="27" t="s">
        <v>67</v>
      </c>
      <c r="E945" s="27" t="s">
        <v>61</v>
      </c>
      <c r="F945" s="27" t="s">
        <v>95</v>
      </c>
      <c r="G945" s="27" t="s">
        <v>50</v>
      </c>
      <c r="H945" s="27" t="s">
        <v>124</v>
      </c>
      <c r="I945" s="27" t="s">
        <v>1068</v>
      </c>
      <c r="J945" s="27" t="s">
        <v>155</v>
      </c>
      <c r="K945" s="27">
        <v>650</v>
      </c>
      <c r="L945" s="27">
        <v>686</v>
      </c>
      <c r="M945" s="27">
        <v>648</v>
      </c>
      <c r="N945" s="27">
        <v>38</v>
      </c>
      <c r="O945" s="27">
        <v>11</v>
      </c>
      <c r="P945" s="27">
        <v>23</v>
      </c>
      <c r="Q945" s="27" t="s">
        <v>54</v>
      </c>
      <c r="R945" s="27">
        <v>57</v>
      </c>
      <c r="S945" s="27">
        <v>61</v>
      </c>
      <c r="T945" s="29">
        <v>73</v>
      </c>
      <c r="U945" s="29">
        <v>2.41</v>
      </c>
      <c r="V945" s="29">
        <v>25.49</v>
      </c>
      <c r="W945" s="30">
        <v>19905.18</v>
      </c>
      <c r="X945" s="27">
        <v>9.99</v>
      </c>
      <c r="Y945" s="27" t="s">
        <v>55</v>
      </c>
      <c r="Z945" s="29">
        <v>18</v>
      </c>
      <c r="AA945" s="30">
        <v>29183.71</v>
      </c>
      <c r="AB945" s="29">
        <v>0.944606413994169</v>
      </c>
      <c r="AC945" s="30">
        <v>24630.09</v>
      </c>
      <c r="AD945" s="30">
        <v>319.17927113702598</v>
      </c>
      <c r="AE945" s="27">
        <v>617.5</v>
      </c>
      <c r="AF945" s="29">
        <v>0.96275303643724697</v>
      </c>
      <c r="AG945" s="30">
        <v>4234.44072886297</v>
      </c>
      <c r="AH945" s="31">
        <f t="shared" si="225"/>
        <v>1.0553846153846154</v>
      </c>
      <c r="AI945" s="31">
        <f t="shared" si="226"/>
        <v>5.5393586005830907E-2</v>
      </c>
      <c r="AJ945" s="31">
        <f t="shared" si="227"/>
        <v>1.6034985422740525E-2</v>
      </c>
      <c r="AK945" s="31">
        <f t="shared" si="228"/>
        <v>0.94460641399416911</v>
      </c>
      <c r="AL945" s="29">
        <f t="shared" si="229"/>
        <v>0.38333333333333336</v>
      </c>
      <c r="AM945" s="29">
        <f t="shared" si="230"/>
        <v>594.5</v>
      </c>
      <c r="AN945" s="29">
        <f t="shared" si="231"/>
        <v>1.1539108494533221</v>
      </c>
      <c r="AO945" s="29">
        <f t="shared" si="232"/>
        <v>1.0526315789473684</v>
      </c>
      <c r="AP945" s="31">
        <f t="shared" si="233"/>
        <v>1.0962153069806562</v>
      </c>
      <c r="AQ945" s="31">
        <f t="shared" si="234"/>
        <v>0.94460641399416911</v>
      </c>
      <c r="AR945" s="31">
        <f t="shared" si="235"/>
        <v>0.99692307692307713</v>
      </c>
      <c r="AS945" s="29">
        <f t="shared" si="236"/>
        <v>35.903921282798834</v>
      </c>
      <c r="AT945" s="29">
        <f t="shared" si="237"/>
        <v>6.1726541237069537</v>
      </c>
      <c r="AU945" s="27" t="str">
        <f t="shared" si="238"/>
        <v>Low</v>
      </c>
      <c r="AV945" s="27" t="str">
        <f t="shared" si="239"/>
        <v>Normal</v>
      </c>
      <c r="AW945" s="27"/>
    </row>
    <row r="946" spans="1:49" x14ac:dyDescent="0.25">
      <c r="A946" s="27">
        <v>945</v>
      </c>
      <c r="B946" s="28">
        <v>46174</v>
      </c>
      <c r="C946" s="28" t="str">
        <f t="shared" si="224"/>
        <v>June</v>
      </c>
      <c r="D946" s="27" t="s">
        <v>67</v>
      </c>
      <c r="E946" s="27" t="s">
        <v>48</v>
      </c>
      <c r="F946" s="27" t="s">
        <v>72</v>
      </c>
      <c r="G946" s="27" t="s">
        <v>50</v>
      </c>
      <c r="H946" s="27" t="s">
        <v>124</v>
      </c>
      <c r="I946" s="27" t="s">
        <v>1069</v>
      </c>
      <c r="J946" s="27" t="s">
        <v>164</v>
      </c>
      <c r="K946" s="27">
        <v>681</v>
      </c>
      <c r="L946" s="27">
        <v>800</v>
      </c>
      <c r="M946" s="27">
        <v>770</v>
      </c>
      <c r="N946" s="27">
        <v>30</v>
      </c>
      <c r="O946" s="27">
        <v>12</v>
      </c>
      <c r="P946" s="27">
        <v>0</v>
      </c>
      <c r="Q946" s="27" t="s">
        <v>60</v>
      </c>
      <c r="R946" s="27">
        <v>57</v>
      </c>
      <c r="S946" s="27">
        <v>61</v>
      </c>
      <c r="T946" s="29">
        <v>78.7</v>
      </c>
      <c r="U946" s="29">
        <v>1.7</v>
      </c>
      <c r="V946" s="29">
        <v>30.56</v>
      </c>
      <c r="W946" s="30">
        <v>22704.92</v>
      </c>
      <c r="X946" s="27">
        <v>11.62</v>
      </c>
      <c r="Y946" s="27" t="s">
        <v>55</v>
      </c>
      <c r="Z946" s="29">
        <v>22</v>
      </c>
      <c r="AA946" s="30">
        <v>36116.050000000003</v>
      </c>
      <c r="AB946" s="29">
        <v>0.96250000000000002</v>
      </c>
      <c r="AC946" s="30">
        <v>28208.959999999999</v>
      </c>
      <c r="AD946" s="30">
        <v>340.57380000000001</v>
      </c>
      <c r="AE946" s="27">
        <v>646.95000000000005</v>
      </c>
      <c r="AF946" s="29">
        <v>1</v>
      </c>
      <c r="AG946" s="30">
        <v>7566.5162</v>
      </c>
      <c r="AH946" s="31">
        <f t="shared" si="225"/>
        <v>1.1747430249632893</v>
      </c>
      <c r="AI946" s="31">
        <f t="shared" si="226"/>
        <v>3.7499999999999999E-2</v>
      </c>
      <c r="AJ946" s="31">
        <f t="shared" si="227"/>
        <v>1.4999999999999999E-2</v>
      </c>
      <c r="AK946" s="31">
        <f t="shared" si="228"/>
        <v>0.96250000000000002</v>
      </c>
      <c r="AL946" s="29">
        <f t="shared" si="229"/>
        <v>0</v>
      </c>
      <c r="AM946" s="29">
        <f t="shared" si="230"/>
        <v>646.95000000000005</v>
      </c>
      <c r="AN946" s="29">
        <f t="shared" si="231"/>
        <v>1.236571605224515</v>
      </c>
      <c r="AO946" s="29">
        <f t="shared" si="232"/>
        <v>1.0526315789473684</v>
      </c>
      <c r="AP946" s="31">
        <f t="shared" si="233"/>
        <v>1.1747430249632893</v>
      </c>
      <c r="AQ946" s="31">
        <f t="shared" si="234"/>
        <v>0.96250000000000002</v>
      </c>
      <c r="AR946" s="31">
        <f t="shared" si="235"/>
        <v>1.1306901615271661</v>
      </c>
      <c r="AS946" s="29">
        <f t="shared" si="236"/>
        <v>35.261200000000002</v>
      </c>
      <c r="AT946" s="29">
        <f t="shared" si="237"/>
        <v>9.4581452499999994</v>
      </c>
      <c r="AU946" s="27" t="str">
        <f t="shared" si="238"/>
        <v>Low</v>
      </c>
      <c r="AV946" s="27" t="str">
        <f t="shared" si="239"/>
        <v>Normal</v>
      </c>
      <c r="AW946" s="27"/>
    </row>
    <row r="947" spans="1:49" x14ac:dyDescent="0.25">
      <c r="A947" s="27">
        <v>946</v>
      </c>
      <c r="B947" s="28">
        <v>46024</v>
      </c>
      <c r="C947" s="28" t="str">
        <f t="shared" si="224"/>
        <v>January</v>
      </c>
      <c r="D947" s="27" t="s">
        <v>67</v>
      </c>
      <c r="E947" s="27" t="s">
        <v>61</v>
      </c>
      <c r="F947" s="27" t="s">
        <v>95</v>
      </c>
      <c r="G947" s="27" t="s">
        <v>63</v>
      </c>
      <c r="H947" s="27" t="s">
        <v>68</v>
      </c>
      <c r="I947" s="27" t="s">
        <v>1070</v>
      </c>
      <c r="J947" s="27" t="s">
        <v>86</v>
      </c>
      <c r="K947" s="27">
        <v>673</v>
      </c>
      <c r="L947" s="27">
        <v>640</v>
      </c>
      <c r="M947" s="27">
        <v>599</v>
      </c>
      <c r="N947" s="27">
        <v>41</v>
      </c>
      <c r="O947" s="27">
        <v>10</v>
      </c>
      <c r="P947" s="27">
        <v>13</v>
      </c>
      <c r="Q947" s="27" t="s">
        <v>94</v>
      </c>
      <c r="R947" s="27">
        <v>64</v>
      </c>
      <c r="S947" s="27">
        <v>63</v>
      </c>
      <c r="T947" s="29">
        <v>67.3</v>
      </c>
      <c r="U947" s="29">
        <v>1.92</v>
      </c>
      <c r="V947" s="29">
        <v>21.03</v>
      </c>
      <c r="W947" s="30">
        <v>20227.48</v>
      </c>
      <c r="X947" s="27">
        <v>9.51</v>
      </c>
      <c r="Y947" s="27" t="s">
        <v>66</v>
      </c>
      <c r="Z947" s="29">
        <v>12</v>
      </c>
      <c r="AA947" s="30">
        <v>31348.85</v>
      </c>
      <c r="AB947" s="29">
        <v>0.93593749999999998</v>
      </c>
      <c r="AC947" s="30">
        <v>24696.25</v>
      </c>
      <c r="AD947" s="30">
        <v>316.05437499999999</v>
      </c>
      <c r="AE947" s="27">
        <v>717.86666666666702</v>
      </c>
      <c r="AF947" s="29">
        <v>0.98189078751857395</v>
      </c>
      <c r="AG947" s="30">
        <v>6336.5456249999997</v>
      </c>
      <c r="AH947" s="31">
        <f t="shared" si="225"/>
        <v>0.95096582466567603</v>
      </c>
      <c r="AI947" s="31">
        <f t="shared" si="226"/>
        <v>6.4062499999999994E-2</v>
      </c>
      <c r="AJ947" s="31">
        <f t="shared" si="227"/>
        <v>1.5625E-2</v>
      </c>
      <c r="AK947" s="31">
        <f t="shared" si="228"/>
        <v>0.93593749999999998</v>
      </c>
      <c r="AL947" s="29">
        <f t="shared" si="229"/>
        <v>0.21666666666666667</v>
      </c>
      <c r="AM947" s="29">
        <f t="shared" si="230"/>
        <v>704.86666666666702</v>
      </c>
      <c r="AN947" s="29">
        <f t="shared" si="231"/>
        <v>0.90797313912796707</v>
      </c>
      <c r="AO947" s="29">
        <f t="shared" si="232"/>
        <v>0.9375</v>
      </c>
      <c r="AP947" s="31">
        <f t="shared" si="233"/>
        <v>0.96850468173649817</v>
      </c>
      <c r="AQ947" s="31">
        <f t="shared" si="234"/>
        <v>0.93593749999999998</v>
      </c>
      <c r="AR947" s="31">
        <f t="shared" si="235"/>
        <v>0.89004457652303115</v>
      </c>
      <c r="AS947" s="29">
        <f t="shared" si="236"/>
        <v>38.587890625</v>
      </c>
      <c r="AT947" s="29">
        <f t="shared" si="237"/>
        <v>9.9008525390625</v>
      </c>
      <c r="AU947" s="27" t="str">
        <f t="shared" si="238"/>
        <v>Low</v>
      </c>
      <c r="AV947" s="27" t="str">
        <f t="shared" si="239"/>
        <v>Normal</v>
      </c>
      <c r="AW947" s="27"/>
    </row>
    <row r="948" spans="1:49" x14ac:dyDescent="0.25">
      <c r="A948" s="27">
        <v>947</v>
      </c>
      <c r="B948" s="28">
        <v>46139</v>
      </c>
      <c r="C948" s="28" t="str">
        <f t="shared" si="224"/>
        <v>April</v>
      </c>
      <c r="D948" s="27" t="s">
        <v>47</v>
      </c>
      <c r="E948" s="27" t="s">
        <v>98</v>
      </c>
      <c r="F948" s="27" t="s">
        <v>126</v>
      </c>
      <c r="G948" s="27" t="s">
        <v>50</v>
      </c>
      <c r="H948" s="27" t="s">
        <v>79</v>
      </c>
      <c r="I948" s="27" t="s">
        <v>1071</v>
      </c>
      <c r="J948" s="27" t="s">
        <v>70</v>
      </c>
      <c r="K948" s="27">
        <v>855</v>
      </c>
      <c r="L948" s="27">
        <v>786</v>
      </c>
      <c r="M948" s="27">
        <v>731</v>
      </c>
      <c r="N948" s="27">
        <v>55</v>
      </c>
      <c r="O948" s="27">
        <v>11</v>
      </c>
      <c r="P948" s="27">
        <v>33</v>
      </c>
      <c r="Q948" s="27" t="s">
        <v>54</v>
      </c>
      <c r="R948" s="27">
        <v>49</v>
      </c>
      <c r="S948" s="27">
        <v>54</v>
      </c>
      <c r="T948" s="29">
        <v>78.5</v>
      </c>
      <c r="U948" s="29">
        <v>2.63</v>
      </c>
      <c r="V948" s="29">
        <v>25.97</v>
      </c>
      <c r="W948" s="30">
        <v>18119.52</v>
      </c>
      <c r="X948" s="27">
        <v>7.28</v>
      </c>
      <c r="Y948" s="27" t="s">
        <v>55</v>
      </c>
      <c r="Z948" s="29">
        <v>11</v>
      </c>
      <c r="AA948" s="30">
        <v>27511.77</v>
      </c>
      <c r="AB948" s="29">
        <v>0.93002544529262099</v>
      </c>
      <c r="AC948" s="30">
        <v>21629.25</v>
      </c>
      <c r="AD948" s="30">
        <v>253.58106870229</v>
      </c>
      <c r="AE948" s="27">
        <v>698.25</v>
      </c>
      <c r="AF948" s="29">
        <v>0.95273899033297504</v>
      </c>
      <c r="AG948" s="30">
        <v>5628.93893129771</v>
      </c>
      <c r="AH948" s="31">
        <f t="shared" si="225"/>
        <v>0.91929824561403506</v>
      </c>
      <c r="AI948" s="31">
        <f t="shared" si="226"/>
        <v>6.9974554707379136E-2</v>
      </c>
      <c r="AJ948" s="31">
        <f t="shared" si="227"/>
        <v>1.3994910941475827E-2</v>
      </c>
      <c r="AK948" s="31">
        <f t="shared" si="228"/>
        <v>0.93002544529262088</v>
      </c>
      <c r="AL948" s="29">
        <f t="shared" si="229"/>
        <v>0.55000000000000004</v>
      </c>
      <c r="AM948" s="29">
        <f t="shared" si="230"/>
        <v>665.25</v>
      </c>
      <c r="AN948" s="29">
        <f t="shared" si="231"/>
        <v>1.181510710259301</v>
      </c>
      <c r="AO948" s="29">
        <f t="shared" si="232"/>
        <v>1.2244897959183674</v>
      </c>
      <c r="AP948" s="31">
        <f t="shared" si="233"/>
        <v>0.96490041337842913</v>
      </c>
      <c r="AQ948" s="31">
        <f t="shared" si="234"/>
        <v>0.93002544529262088</v>
      </c>
      <c r="AR948" s="31">
        <f t="shared" si="235"/>
        <v>0.85497076023391794</v>
      </c>
      <c r="AS948" s="29">
        <f t="shared" si="236"/>
        <v>27.518129770992367</v>
      </c>
      <c r="AT948" s="29">
        <f t="shared" si="237"/>
        <v>7.1614999125925065</v>
      </c>
      <c r="AU948" s="27" t="str">
        <f t="shared" si="238"/>
        <v>Low</v>
      </c>
      <c r="AV948" s="27" t="str">
        <f t="shared" si="239"/>
        <v>Normal</v>
      </c>
      <c r="AW948" s="27"/>
    </row>
    <row r="949" spans="1:49" x14ac:dyDescent="0.25">
      <c r="A949" s="27">
        <v>948</v>
      </c>
      <c r="B949" s="28">
        <v>46033</v>
      </c>
      <c r="C949" s="28" t="str">
        <f t="shared" si="224"/>
        <v>January</v>
      </c>
      <c r="D949" s="27" t="s">
        <v>67</v>
      </c>
      <c r="E949" s="27" t="s">
        <v>61</v>
      </c>
      <c r="F949" s="27" t="s">
        <v>95</v>
      </c>
      <c r="G949" s="27" t="s">
        <v>78</v>
      </c>
      <c r="H949" s="27" t="s">
        <v>79</v>
      </c>
      <c r="I949" s="27" t="s">
        <v>1072</v>
      </c>
      <c r="J949" s="27" t="s">
        <v>140</v>
      </c>
      <c r="K949" s="27">
        <v>888</v>
      </c>
      <c r="L949" s="27">
        <v>804</v>
      </c>
      <c r="M949" s="27">
        <v>756</v>
      </c>
      <c r="N949" s="27">
        <v>48</v>
      </c>
      <c r="O949" s="27">
        <v>12</v>
      </c>
      <c r="P949" s="27">
        <v>0</v>
      </c>
      <c r="Q949" s="27" t="s">
        <v>60</v>
      </c>
      <c r="R949" s="27">
        <v>49</v>
      </c>
      <c r="S949" s="27">
        <v>50</v>
      </c>
      <c r="T949" s="29">
        <v>70.599999999999994</v>
      </c>
      <c r="U949" s="29">
        <v>2.9</v>
      </c>
      <c r="V949" s="29">
        <v>32.770000000000003</v>
      </c>
      <c r="W949" s="30">
        <v>16848.89</v>
      </c>
      <c r="X949" s="27">
        <v>6.75</v>
      </c>
      <c r="Y949" s="27" t="s">
        <v>55</v>
      </c>
      <c r="Z949" s="29">
        <v>25</v>
      </c>
      <c r="AA949" s="30">
        <v>29396.38</v>
      </c>
      <c r="AB949" s="29">
        <v>0.94029850746268695</v>
      </c>
      <c r="AC949" s="30">
        <v>20181.32</v>
      </c>
      <c r="AD949" s="30">
        <v>251.47597014925401</v>
      </c>
      <c r="AE949" s="27">
        <v>725.2</v>
      </c>
      <c r="AF949" s="29">
        <v>1</v>
      </c>
      <c r="AG949" s="30">
        <v>8963.5840298507501</v>
      </c>
      <c r="AH949" s="31">
        <f t="shared" si="225"/>
        <v>0.90540540540540537</v>
      </c>
      <c r="AI949" s="31">
        <f t="shared" si="226"/>
        <v>5.9701492537313432E-2</v>
      </c>
      <c r="AJ949" s="31">
        <f t="shared" si="227"/>
        <v>1.4925373134328358E-2</v>
      </c>
      <c r="AK949" s="31">
        <f t="shared" si="228"/>
        <v>0.94029850746268662</v>
      </c>
      <c r="AL949" s="29">
        <f t="shared" si="229"/>
        <v>0</v>
      </c>
      <c r="AM949" s="29">
        <f t="shared" si="230"/>
        <v>725.2</v>
      </c>
      <c r="AN949" s="29">
        <f t="shared" si="231"/>
        <v>1.1086596800882516</v>
      </c>
      <c r="AO949" s="29">
        <f t="shared" si="232"/>
        <v>1.2244897959183674</v>
      </c>
      <c r="AP949" s="31">
        <f t="shared" si="233"/>
        <v>0.90540540540540537</v>
      </c>
      <c r="AQ949" s="31">
        <f t="shared" si="234"/>
        <v>0.94029850746268662</v>
      </c>
      <c r="AR949" s="31">
        <f t="shared" si="235"/>
        <v>0.85135135135135132</v>
      </c>
      <c r="AS949" s="29">
        <f t="shared" si="236"/>
        <v>25.101144278606967</v>
      </c>
      <c r="AT949" s="29">
        <f t="shared" si="237"/>
        <v>11.148736355535759</v>
      </c>
      <c r="AU949" s="27" t="str">
        <f t="shared" si="238"/>
        <v>Low</v>
      </c>
      <c r="AV949" s="27" t="str">
        <f t="shared" si="239"/>
        <v>Normal</v>
      </c>
      <c r="AW949" s="27"/>
    </row>
    <row r="950" spans="1:49" x14ac:dyDescent="0.25">
      <c r="A950" s="27">
        <v>949</v>
      </c>
      <c r="B950" s="28">
        <v>46036</v>
      </c>
      <c r="C950" s="28" t="str">
        <f t="shared" si="224"/>
        <v>January</v>
      </c>
      <c r="D950" s="27" t="s">
        <v>47</v>
      </c>
      <c r="E950" s="27" t="s">
        <v>98</v>
      </c>
      <c r="F950" s="27" t="s">
        <v>105</v>
      </c>
      <c r="G950" s="27" t="s">
        <v>78</v>
      </c>
      <c r="H950" s="27" t="s">
        <v>57</v>
      </c>
      <c r="I950" s="27" t="s">
        <v>1073</v>
      </c>
      <c r="J950" s="27" t="s">
        <v>150</v>
      </c>
      <c r="K950" s="27">
        <v>781</v>
      </c>
      <c r="L950" s="27">
        <v>682</v>
      </c>
      <c r="M950" s="27">
        <v>631</v>
      </c>
      <c r="N950" s="27">
        <v>51</v>
      </c>
      <c r="O950" s="27">
        <v>20</v>
      </c>
      <c r="P950" s="27">
        <v>22</v>
      </c>
      <c r="Q950" s="27" t="s">
        <v>102</v>
      </c>
      <c r="R950" s="27">
        <v>45</v>
      </c>
      <c r="S950" s="27">
        <v>47</v>
      </c>
      <c r="T950" s="29">
        <v>69.5</v>
      </c>
      <c r="U950" s="29">
        <v>2.2000000000000002</v>
      </c>
      <c r="V950" s="29">
        <v>24.25</v>
      </c>
      <c r="W950" s="30">
        <v>13231.79</v>
      </c>
      <c r="X950" s="27">
        <v>8.83</v>
      </c>
      <c r="Y950" s="27" t="s">
        <v>55</v>
      </c>
      <c r="Z950" s="29">
        <v>29</v>
      </c>
      <c r="AA950" s="30">
        <v>22712.46</v>
      </c>
      <c r="AB950" s="29">
        <v>0.92521994134897401</v>
      </c>
      <c r="AC950" s="30">
        <v>17423.54</v>
      </c>
      <c r="AD950" s="30">
        <v>388.029032258065</v>
      </c>
      <c r="AE950" s="27">
        <v>585.75</v>
      </c>
      <c r="AF950" s="29">
        <v>0.96244131455399096</v>
      </c>
      <c r="AG950" s="30">
        <v>4900.8909677419297</v>
      </c>
      <c r="AH950" s="31">
        <f t="shared" si="225"/>
        <v>0.87323943661971826</v>
      </c>
      <c r="AI950" s="31">
        <f t="shared" si="226"/>
        <v>7.4780058651026396E-2</v>
      </c>
      <c r="AJ950" s="31">
        <f t="shared" si="227"/>
        <v>2.932551319648094E-2</v>
      </c>
      <c r="AK950" s="31">
        <f t="shared" si="228"/>
        <v>0.92521994134897356</v>
      </c>
      <c r="AL950" s="29">
        <f t="shared" si="229"/>
        <v>0.36666666666666664</v>
      </c>
      <c r="AM950" s="29">
        <f t="shared" si="230"/>
        <v>563.75</v>
      </c>
      <c r="AN950" s="29">
        <f t="shared" si="231"/>
        <v>1.2097560975609756</v>
      </c>
      <c r="AO950" s="29">
        <f t="shared" si="232"/>
        <v>1.3333333333333333</v>
      </c>
      <c r="AP950" s="31">
        <f t="shared" si="233"/>
        <v>0.90731707317073174</v>
      </c>
      <c r="AQ950" s="31">
        <f t="shared" si="234"/>
        <v>0.92521994134897356</v>
      </c>
      <c r="AR950" s="31">
        <f t="shared" si="235"/>
        <v>0.80793854033290691</v>
      </c>
      <c r="AS950" s="29">
        <f t="shared" si="236"/>
        <v>25.547712609970677</v>
      </c>
      <c r="AT950" s="29">
        <f t="shared" si="237"/>
        <v>7.1860571374515096</v>
      </c>
      <c r="AU950" s="27" t="str">
        <f t="shared" si="238"/>
        <v>Medium</v>
      </c>
      <c r="AV950" s="27" t="str">
        <f t="shared" si="239"/>
        <v>Warning</v>
      </c>
      <c r="AW950" s="27"/>
    </row>
    <row r="951" spans="1:49" x14ac:dyDescent="0.25">
      <c r="A951" s="27">
        <v>950</v>
      </c>
      <c r="B951" s="28">
        <v>46183</v>
      </c>
      <c r="C951" s="28" t="str">
        <f t="shared" si="224"/>
        <v>June</v>
      </c>
      <c r="D951" s="27" t="s">
        <v>67</v>
      </c>
      <c r="E951" s="27" t="s">
        <v>129</v>
      </c>
      <c r="F951" s="27" t="s">
        <v>151</v>
      </c>
      <c r="G951" s="27" t="s">
        <v>63</v>
      </c>
      <c r="H951" s="27" t="s">
        <v>79</v>
      </c>
      <c r="I951" s="27" t="s">
        <v>1074</v>
      </c>
      <c r="J951" s="27" t="s">
        <v>84</v>
      </c>
      <c r="K951" s="27">
        <v>770</v>
      </c>
      <c r="L951" s="27">
        <v>613</v>
      </c>
      <c r="M951" s="27">
        <v>585</v>
      </c>
      <c r="N951" s="27">
        <v>28</v>
      </c>
      <c r="O951" s="27">
        <v>8</v>
      </c>
      <c r="P951" s="27">
        <v>22</v>
      </c>
      <c r="Q951" s="27" t="s">
        <v>82</v>
      </c>
      <c r="R951" s="27">
        <v>49</v>
      </c>
      <c r="S951" s="27">
        <v>52</v>
      </c>
      <c r="T951" s="29">
        <v>68.2</v>
      </c>
      <c r="U951" s="29">
        <v>2.2400000000000002</v>
      </c>
      <c r="V951" s="29">
        <v>25.95</v>
      </c>
      <c r="W951" s="30">
        <v>13453.25</v>
      </c>
      <c r="X951" s="27">
        <v>7.72</v>
      </c>
      <c r="Y951" s="27" t="s">
        <v>66</v>
      </c>
      <c r="Z951" s="29">
        <v>25</v>
      </c>
      <c r="AA951" s="30">
        <v>21840.95</v>
      </c>
      <c r="AB951" s="29">
        <v>0.954323001631321</v>
      </c>
      <c r="AC951" s="30">
        <v>17160.8</v>
      </c>
      <c r="AD951" s="30">
        <v>175.57259380097901</v>
      </c>
      <c r="AE951" s="27">
        <v>628.83333333333303</v>
      </c>
      <c r="AF951" s="29">
        <v>0.96501457725947504</v>
      </c>
      <c r="AG951" s="30">
        <v>4504.5774061990196</v>
      </c>
      <c r="AH951" s="31">
        <f t="shared" si="225"/>
        <v>0.79610389610389609</v>
      </c>
      <c r="AI951" s="31">
        <f t="shared" si="226"/>
        <v>4.5676998368678633E-2</v>
      </c>
      <c r="AJ951" s="31">
        <f t="shared" si="227"/>
        <v>1.3050570962479609E-2</v>
      </c>
      <c r="AK951" s="31">
        <f t="shared" si="228"/>
        <v>0.95432300163132133</v>
      </c>
      <c r="AL951" s="29">
        <f t="shared" si="229"/>
        <v>0.36666666666666664</v>
      </c>
      <c r="AM951" s="29">
        <f t="shared" si="230"/>
        <v>606.83333333333303</v>
      </c>
      <c r="AN951" s="29">
        <f t="shared" si="231"/>
        <v>1.0101620433946723</v>
      </c>
      <c r="AO951" s="29">
        <f t="shared" si="232"/>
        <v>1.2244897959183674</v>
      </c>
      <c r="AP951" s="31">
        <f t="shared" si="233"/>
        <v>0.8249656687723157</v>
      </c>
      <c r="AQ951" s="31">
        <f t="shared" si="234"/>
        <v>0.95432300163132133</v>
      </c>
      <c r="AR951" s="31">
        <f t="shared" si="235"/>
        <v>0.75974025974025994</v>
      </c>
      <c r="AS951" s="29">
        <f t="shared" si="236"/>
        <v>27.994779771615008</v>
      </c>
      <c r="AT951" s="29">
        <f t="shared" si="237"/>
        <v>7.3484133869478301</v>
      </c>
      <c r="AU951" s="27" t="str">
        <f t="shared" si="238"/>
        <v>High</v>
      </c>
      <c r="AV951" s="27" t="str">
        <f t="shared" si="239"/>
        <v>Warning</v>
      </c>
      <c r="AW951" s="27"/>
    </row>
    <row r="952" spans="1:49" x14ac:dyDescent="0.25">
      <c r="A952" s="27">
        <v>951</v>
      </c>
      <c r="B952" s="28">
        <v>46053</v>
      </c>
      <c r="C952" s="28" t="str">
        <f t="shared" si="224"/>
        <v>January</v>
      </c>
      <c r="D952" s="27" t="s">
        <v>67</v>
      </c>
      <c r="E952" s="27" t="s">
        <v>76</v>
      </c>
      <c r="F952" s="27" t="s">
        <v>119</v>
      </c>
      <c r="G952" s="27" t="s">
        <v>50</v>
      </c>
      <c r="H952" s="27" t="s">
        <v>57</v>
      </c>
      <c r="I952" s="27" t="s">
        <v>1075</v>
      </c>
      <c r="J952" s="27" t="s">
        <v>65</v>
      </c>
      <c r="K952" s="27">
        <v>755</v>
      </c>
      <c r="L952" s="27">
        <v>769</v>
      </c>
      <c r="M952" s="27">
        <v>690</v>
      </c>
      <c r="N952" s="27">
        <v>79</v>
      </c>
      <c r="O952" s="27">
        <v>27</v>
      </c>
      <c r="P952" s="27">
        <v>44</v>
      </c>
      <c r="Q952" s="27" t="s">
        <v>82</v>
      </c>
      <c r="R952" s="27">
        <v>45</v>
      </c>
      <c r="S952" s="27">
        <v>46</v>
      </c>
      <c r="T952" s="29">
        <v>73.5</v>
      </c>
      <c r="U952" s="29">
        <v>2.63</v>
      </c>
      <c r="V952" s="29">
        <v>31.25</v>
      </c>
      <c r="W952" s="30">
        <v>15247.62</v>
      </c>
      <c r="X952" s="27">
        <v>7.92</v>
      </c>
      <c r="Y952" s="27" t="s">
        <v>55</v>
      </c>
      <c r="Z952" s="29">
        <v>25</v>
      </c>
      <c r="AA952" s="30">
        <v>24663.72</v>
      </c>
      <c r="AB952" s="29">
        <v>0.89726918075422601</v>
      </c>
      <c r="AC952" s="30">
        <v>19092.87</v>
      </c>
      <c r="AD952" s="30">
        <v>535.35206762028599</v>
      </c>
      <c r="AE952" s="27">
        <v>566.25</v>
      </c>
      <c r="AF952" s="29">
        <v>0.92229580573951397</v>
      </c>
      <c r="AG952" s="30">
        <v>5035.4979323797097</v>
      </c>
      <c r="AH952" s="31">
        <f t="shared" si="225"/>
        <v>1.0185430463576159</v>
      </c>
      <c r="AI952" s="31">
        <f t="shared" si="226"/>
        <v>0.10273081924577374</v>
      </c>
      <c r="AJ952" s="31">
        <f t="shared" si="227"/>
        <v>3.5110533159947985E-2</v>
      </c>
      <c r="AK952" s="31">
        <f t="shared" si="228"/>
        <v>0.89726918075422624</v>
      </c>
      <c r="AL952" s="29">
        <f t="shared" si="229"/>
        <v>0.73333333333333328</v>
      </c>
      <c r="AM952" s="29">
        <f t="shared" si="230"/>
        <v>522.25</v>
      </c>
      <c r="AN952" s="29">
        <f t="shared" si="231"/>
        <v>1.472474868358066</v>
      </c>
      <c r="AO952" s="29">
        <f t="shared" si="232"/>
        <v>1.3333333333333333</v>
      </c>
      <c r="AP952" s="31">
        <f t="shared" si="233"/>
        <v>1.1043561512685496</v>
      </c>
      <c r="AQ952" s="31">
        <f t="shared" si="234"/>
        <v>0.89726918075422624</v>
      </c>
      <c r="AR952" s="31">
        <f t="shared" si="235"/>
        <v>0.91390728476821148</v>
      </c>
      <c r="AS952" s="29">
        <f t="shared" si="236"/>
        <v>24.82817945383615</v>
      </c>
      <c r="AT952" s="29">
        <f t="shared" si="237"/>
        <v>6.5481117456173079</v>
      </c>
      <c r="AU952" s="27" t="str">
        <f t="shared" si="238"/>
        <v>Medium</v>
      </c>
      <c r="AV952" s="27" t="str">
        <f t="shared" si="239"/>
        <v>Warning</v>
      </c>
      <c r="AW952" s="27"/>
    </row>
    <row r="953" spans="1:49" x14ac:dyDescent="0.25">
      <c r="A953" s="27">
        <v>952</v>
      </c>
      <c r="B953" s="28">
        <v>46118</v>
      </c>
      <c r="C953" s="28" t="str">
        <f t="shared" si="224"/>
        <v>April</v>
      </c>
      <c r="D953" s="27" t="s">
        <v>47</v>
      </c>
      <c r="E953" s="27" t="s">
        <v>76</v>
      </c>
      <c r="F953" s="27" t="s">
        <v>119</v>
      </c>
      <c r="G953" s="27" t="s">
        <v>63</v>
      </c>
      <c r="H953" s="27" t="s">
        <v>79</v>
      </c>
      <c r="I953" s="27" t="s">
        <v>1076</v>
      </c>
      <c r="J953" s="27" t="s">
        <v>115</v>
      </c>
      <c r="K953" s="27">
        <v>841</v>
      </c>
      <c r="L953" s="27">
        <v>806</v>
      </c>
      <c r="M953" s="27">
        <v>735</v>
      </c>
      <c r="N953" s="27">
        <v>71</v>
      </c>
      <c r="O953" s="27">
        <v>15</v>
      </c>
      <c r="P953" s="27">
        <v>44</v>
      </c>
      <c r="Q953" s="27" t="s">
        <v>75</v>
      </c>
      <c r="R953" s="27">
        <v>49</v>
      </c>
      <c r="S953" s="27">
        <v>52</v>
      </c>
      <c r="T953" s="29">
        <v>68.2</v>
      </c>
      <c r="U953" s="29">
        <v>2.21</v>
      </c>
      <c r="V953" s="29">
        <v>32.9</v>
      </c>
      <c r="W953" s="30">
        <v>17827.259999999998</v>
      </c>
      <c r="X953" s="27">
        <v>8.9600000000000009</v>
      </c>
      <c r="Y953" s="27" t="s">
        <v>71</v>
      </c>
      <c r="Z953" s="29">
        <v>32</v>
      </c>
      <c r="AA953" s="30">
        <v>27908.31</v>
      </c>
      <c r="AB953" s="29">
        <v>0.91191066997518599</v>
      </c>
      <c r="AC953" s="30">
        <v>22155.360000000001</v>
      </c>
      <c r="AD953" s="30">
        <v>331.77282878411899</v>
      </c>
      <c r="AE953" s="27">
        <v>686.81666666666695</v>
      </c>
      <c r="AF953" s="29">
        <v>0.93593632458928899</v>
      </c>
      <c r="AG953" s="30">
        <v>5421.1771712158898</v>
      </c>
      <c r="AH953" s="31">
        <f t="shared" si="225"/>
        <v>0.95838287752675388</v>
      </c>
      <c r="AI953" s="31">
        <f t="shared" si="226"/>
        <v>8.8089330024813894E-2</v>
      </c>
      <c r="AJ953" s="31">
        <f t="shared" si="227"/>
        <v>1.8610421836228287E-2</v>
      </c>
      <c r="AK953" s="31">
        <f t="shared" si="228"/>
        <v>0.91191066997518611</v>
      </c>
      <c r="AL953" s="29">
        <f t="shared" si="229"/>
        <v>0.73333333333333328</v>
      </c>
      <c r="AM953" s="29">
        <f t="shared" si="230"/>
        <v>642.81666666666695</v>
      </c>
      <c r="AN953" s="29">
        <f t="shared" si="231"/>
        <v>1.2538567243122709</v>
      </c>
      <c r="AO953" s="29">
        <f t="shared" si="232"/>
        <v>1.2244897959183674</v>
      </c>
      <c r="AP953" s="31">
        <f t="shared" si="233"/>
        <v>1.0239829915216878</v>
      </c>
      <c r="AQ953" s="31">
        <f t="shared" si="234"/>
        <v>0.91191066997518611</v>
      </c>
      <c r="AR953" s="31">
        <f t="shared" si="235"/>
        <v>0.87395957193816853</v>
      </c>
      <c r="AS953" s="29">
        <f t="shared" si="236"/>
        <v>27.488039702233252</v>
      </c>
      <c r="AT953" s="29">
        <f t="shared" si="237"/>
        <v>6.7260262670172333</v>
      </c>
      <c r="AU953" s="27" t="str">
        <f t="shared" si="238"/>
        <v>High</v>
      </c>
      <c r="AV953" s="27" t="str">
        <f t="shared" si="239"/>
        <v>Warning</v>
      </c>
      <c r="AW953" s="27"/>
    </row>
    <row r="954" spans="1:49" x14ac:dyDescent="0.25">
      <c r="A954" s="27">
        <v>953</v>
      </c>
      <c r="B954" s="28">
        <v>46179</v>
      </c>
      <c r="C954" s="28" t="str">
        <f t="shared" si="224"/>
        <v>June</v>
      </c>
      <c r="D954" s="27" t="s">
        <v>47</v>
      </c>
      <c r="E954" s="27" t="s">
        <v>61</v>
      </c>
      <c r="F954" s="27" t="s">
        <v>88</v>
      </c>
      <c r="G954" s="27" t="s">
        <v>63</v>
      </c>
      <c r="H954" s="27" t="s">
        <v>79</v>
      </c>
      <c r="I954" s="27" t="s">
        <v>1077</v>
      </c>
      <c r="J954" s="27" t="s">
        <v>65</v>
      </c>
      <c r="K954" s="27">
        <v>704</v>
      </c>
      <c r="L954" s="27">
        <v>725</v>
      </c>
      <c r="M954" s="27">
        <v>703</v>
      </c>
      <c r="N954" s="27">
        <v>22</v>
      </c>
      <c r="O954" s="27">
        <v>5</v>
      </c>
      <c r="P954" s="27">
        <v>5</v>
      </c>
      <c r="Q954" s="27" t="s">
        <v>94</v>
      </c>
      <c r="R954" s="27">
        <v>49</v>
      </c>
      <c r="S954" s="27">
        <v>51</v>
      </c>
      <c r="T954" s="29">
        <v>68.3</v>
      </c>
      <c r="U954" s="29">
        <v>2.68</v>
      </c>
      <c r="V954" s="29">
        <v>25.13</v>
      </c>
      <c r="W954" s="30">
        <v>15105.11</v>
      </c>
      <c r="X954" s="27">
        <v>9.42</v>
      </c>
      <c r="Y954" s="27" t="s">
        <v>66</v>
      </c>
      <c r="Z954" s="29">
        <v>17</v>
      </c>
      <c r="AA954" s="30">
        <v>26238.59</v>
      </c>
      <c r="AB954" s="29">
        <v>0.96965517241379295</v>
      </c>
      <c r="AC954" s="30">
        <v>19570.28</v>
      </c>
      <c r="AD954" s="30">
        <v>104.173172413793</v>
      </c>
      <c r="AE954" s="27">
        <v>574.93333333333305</v>
      </c>
      <c r="AF954" s="29">
        <v>0.99130333951762495</v>
      </c>
      <c r="AG954" s="30">
        <v>6564.1368275862096</v>
      </c>
      <c r="AH954" s="31">
        <f t="shared" si="225"/>
        <v>1.0298295454545454</v>
      </c>
      <c r="AI954" s="31">
        <f t="shared" si="226"/>
        <v>3.0344827586206897E-2</v>
      </c>
      <c r="AJ954" s="31">
        <f t="shared" si="227"/>
        <v>6.8965517241379309E-3</v>
      </c>
      <c r="AK954" s="31">
        <f t="shared" si="228"/>
        <v>0.96965517241379307</v>
      </c>
      <c r="AL954" s="29">
        <f t="shared" si="229"/>
        <v>8.3333333333333329E-2</v>
      </c>
      <c r="AM954" s="29">
        <f t="shared" si="230"/>
        <v>569.93333333333305</v>
      </c>
      <c r="AN954" s="29">
        <f t="shared" si="231"/>
        <v>1.2720786056848761</v>
      </c>
      <c r="AO954" s="29">
        <f t="shared" si="232"/>
        <v>1.2244897959183674</v>
      </c>
      <c r="AP954" s="31">
        <f t="shared" si="233"/>
        <v>1.0388641946426487</v>
      </c>
      <c r="AQ954" s="31">
        <f t="shared" si="234"/>
        <v>0.96965517241379307</v>
      </c>
      <c r="AR954" s="31">
        <f t="shared" si="235"/>
        <v>0.99857954545454564</v>
      </c>
      <c r="AS954" s="29">
        <f t="shared" si="236"/>
        <v>26.993489655172411</v>
      </c>
      <c r="AT954" s="29">
        <f t="shared" si="237"/>
        <v>9.0539818311533917</v>
      </c>
      <c r="AU954" s="27" t="str">
        <f t="shared" si="238"/>
        <v>Low</v>
      </c>
      <c r="AV954" s="27" t="str">
        <f t="shared" si="239"/>
        <v>Normal</v>
      </c>
      <c r="AW954" s="27"/>
    </row>
    <row r="955" spans="1:49" x14ac:dyDescent="0.25">
      <c r="A955" s="27">
        <v>954</v>
      </c>
      <c r="B955" s="28">
        <v>46147</v>
      </c>
      <c r="C955" s="28" t="str">
        <f t="shared" si="224"/>
        <v>May</v>
      </c>
      <c r="D955" s="27" t="s">
        <v>67</v>
      </c>
      <c r="E955" s="27" t="s">
        <v>129</v>
      </c>
      <c r="F955" s="27" t="s">
        <v>167</v>
      </c>
      <c r="G955" s="27" t="s">
        <v>63</v>
      </c>
      <c r="H955" s="27" t="s">
        <v>51</v>
      </c>
      <c r="I955" s="27" t="s">
        <v>1078</v>
      </c>
      <c r="J955" s="27" t="s">
        <v>153</v>
      </c>
      <c r="K955" s="27">
        <v>927</v>
      </c>
      <c r="L955" s="27">
        <v>785</v>
      </c>
      <c r="M955" s="27">
        <v>713</v>
      </c>
      <c r="N955" s="27">
        <v>72</v>
      </c>
      <c r="O955" s="27">
        <v>19</v>
      </c>
      <c r="P955" s="27">
        <v>21</v>
      </c>
      <c r="Q955" s="27" t="s">
        <v>54</v>
      </c>
      <c r="R955" s="27">
        <v>42</v>
      </c>
      <c r="S955" s="27">
        <v>46</v>
      </c>
      <c r="T955" s="29">
        <v>74</v>
      </c>
      <c r="U955" s="29">
        <v>1.69</v>
      </c>
      <c r="V955" s="29">
        <v>32.26</v>
      </c>
      <c r="W955" s="30">
        <v>14916.37</v>
      </c>
      <c r="X955" s="27">
        <v>7.73</v>
      </c>
      <c r="Y955" s="27" t="s">
        <v>110</v>
      </c>
      <c r="Z955" s="29">
        <v>36</v>
      </c>
      <c r="AA955" s="30">
        <v>22387.74</v>
      </c>
      <c r="AB955" s="29">
        <v>0.90828025477706997</v>
      </c>
      <c r="AC955" s="30">
        <v>18685.21</v>
      </c>
      <c r="AD955" s="30">
        <v>361.03315923566902</v>
      </c>
      <c r="AE955" s="27">
        <v>648.9</v>
      </c>
      <c r="AF955" s="29">
        <v>0.96763754045307504</v>
      </c>
      <c r="AG955" s="30">
        <v>3341.49684076433</v>
      </c>
      <c r="AH955" s="31">
        <f t="shared" si="225"/>
        <v>0.84681769147788566</v>
      </c>
      <c r="AI955" s="31">
        <f t="shared" si="226"/>
        <v>9.171974522292993E-2</v>
      </c>
      <c r="AJ955" s="31">
        <f t="shared" si="227"/>
        <v>2.4203821656050957E-2</v>
      </c>
      <c r="AK955" s="31">
        <f t="shared" si="228"/>
        <v>0.90828025477707008</v>
      </c>
      <c r="AL955" s="29">
        <f t="shared" si="229"/>
        <v>0.35</v>
      </c>
      <c r="AM955" s="29">
        <f t="shared" si="230"/>
        <v>627.9</v>
      </c>
      <c r="AN955" s="29">
        <f t="shared" si="231"/>
        <v>1.2501990762860329</v>
      </c>
      <c r="AO955" s="29">
        <f t="shared" si="232"/>
        <v>1.4285714285714286</v>
      </c>
      <c r="AP955" s="31">
        <f t="shared" si="233"/>
        <v>0.87513935340022297</v>
      </c>
      <c r="AQ955" s="31">
        <f t="shared" si="234"/>
        <v>0.90828025477707008</v>
      </c>
      <c r="AR955" s="31">
        <f t="shared" si="235"/>
        <v>0.76914778856526478</v>
      </c>
      <c r="AS955" s="29">
        <f t="shared" si="236"/>
        <v>23.802815286624202</v>
      </c>
      <c r="AT955" s="29">
        <f t="shared" si="237"/>
        <v>4.2566838735851338</v>
      </c>
      <c r="AU955" s="27" t="str">
        <f t="shared" si="238"/>
        <v>High</v>
      </c>
      <c r="AV955" s="27" t="str">
        <f t="shared" si="239"/>
        <v>Warning</v>
      </c>
      <c r="AW955" s="27"/>
    </row>
    <row r="956" spans="1:49" x14ac:dyDescent="0.25">
      <c r="A956" s="27">
        <v>955</v>
      </c>
      <c r="B956" s="28">
        <v>46165</v>
      </c>
      <c r="C956" s="28" t="str">
        <f t="shared" si="224"/>
        <v>May</v>
      </c>
      <c r="D956" s="27" t="s">
        <v>47</v>
      </c>
      <c r="E956" s="27" t="s">
        <v>61</v>
      </c>
      <c r="F956" s="27" t="s">
        <v>62</v>
      </c>
      <c r="G956" s="27" t="s">
        <v>63</v>
      </c>
      <c r="H956" s="27" t="s">
        <v>51</v>
      </c>
      <c r="I956" s="27" t="s">
        <v>1079</v>
      </c>
      <c r="J956" s="27" t="s">
        <v>90</v>
      </c>
      <c r="K956" s="27">
        <v>932</v>
      </c>
      <c r="L956" s="27">
        <v>935</v>
      </c>
      <c r="M956" s="27">
        <v>900</v>
      </c>
      <c r="N956" s="27">
        <v>35</v>
      </c>
      <c r="O956" s="27">
        <v>13</v>
      </c>
      <c r="P956" s="27">
        <v>20</v>
      </c>
      <c r="Q956" s="27" t="s">
        <v>97</v>
      </c>
      <c r="R956" s="27">
        <v>42</v>
      </c>
      <c r="S956" s="27">
        <v>45</v>
      </c>
      <c r="T956" s="29">
        <v>70</v>
      </c>
      <c r="U956" s="29">
        <v>2.44</v>
      </c>
      <c r="V956" s="29">
        <v>28.98</v>
      </c>
      <c r="W956" s="30">
        <v>18291.45</v>
      </c>
      <c r="X956" s="27">
        <v>8.11</v>
      </c>
      <c r="Y956" s="27" t="s">
        <v>66</v>
      </c>
      <c r="Z956" s="29">
        <v>24</v>
      </c>
      <c r="AA956" s="30">
        <v>28004.46</v>
      </c>
      <c r="AB956" s="29">
        <v>0.96256684491978595</v>
      </c>
      <c r="AC956" s="30">
        <v>22201.77</v>
      </c>
      <c r="AD956" s="30">
        <v>254.31962566844899</v>
      </c>
      <c r="AE956" s="27">
        <v>652.4</v>
      </c>
      <c r="AF956" s="29">
        <v>0.96934396076026996</v>
      </c>
      <c r="AG956" s="30">
        <v>5548.37037433155</v>
      </c>
      <c r="AH956" s="31">
        <f t="shared" si="225"/>
        <v>1.0032188841201717</v>
      </c>
      <c r="AI956" s="31">
        <f t="shared" si="226"/>
        <v>3.7433155080213901E-2</v>
      </c>
      <c r="AJ956" s="31">
        <f t="shared" si="227"/>
        <v>1.3903743315508022E-2</v>
      </c>
      <c r="AK956" s="31">
        <f t="shared" si="228"/>
        <v>0.96256684491978606</v>
      </c>
      <c r="AL956" s="29">
        <f t="shared" si="229"/>
        <v>0.33333333333333331</v>
      </c>
      <c r="AM956" s="29">
        <f t="shared" si="230"/>
        <v>632.4</v>
      </c>
      <c r="AN956" s="29">
        <f t="shared" si="231"/>
        <v>1.478494623655914</v>
      </c>
      <c r="AO956" s="29">
        <f t="shared" si="232"/>
        <v>1.4285714285714286</v>
      </c>
      <c r="AP956" s="31">
        <f t="shared" si="233"/>
        <v>1.0349462365591398</v>
      </c>
      <c r="AQ956" s="31">
        <f t="shared" si="234"/>
        <v>0.96256684491978606</v>
      </c>
      <c r="AR956" s="31">
        <f t="shared" si="235"/>
        <v>0.96566523605150234</v>
      </c>
      <c r="AS956" s="29">
        <f t="shared" si="236"/>
        <v>23.745208556149734</v>
      </c>
      <c r="AT956" s="29">
        <f t="shared" si="237"/>
        <v>5.9340859618519248</v>
      </c>
      <c r="AU956" s="27" t="str">
        <f t="shared" si="238"/>
        <v>Low</v>
      </c>
      <c r="AV956" s="27" t="str">
        <f t="shared" si="239"/>
        <v>Normal</v>
      </c>
      <c r="AW956" s="27"/>
    </row>
    <row r="957" spans="1:49" x14ac:dyDescent="0.25">
      <c r="A957" s="27">
        <v>956</v>
      </c>
      <c r="B957" s="28">
        <v>46076</v>
      </c>
      <c r="C957" s="28" t="str">
        <f t="shared" si="224"/>
        <v>February</v>
      </c>
      <c r="D957" s="27" t="s">
        <v>67</v>
      </c>
      <c r="E957" s="27" t="s">
        <v>61</v>
      </c>
      <c r="F957" s="27" t="s">
        <v>95</v>
      </c>
      <c r="G957" s="27" t="s">
        <v>50</v>
      </c>
      <c r="H957" s="27" t="s">
        <v>79</v>
      </c>
      <c r="I957" s="27" t="s">
        <v>1080</v>
      </c>
      <c r="J957" s="27" t="s">
        <v>170</v>
      </c>
      <c r="K957" s="27">
        <v>628</v>
      </c>
      <c r="L957" s="27">
        <v>562</v>
      </c>
      <c r="M957" s="27">
        <v>534</v>
      </c>
      <c r="N957" s="27">
        <v>28</v>
      </c>
      <c r="O957" s="27">
        <v>5</v>
      </c>
      <c r="P957" s="27">
        <v>36</v>
      </c>
      <c r="Q957" s="27" t="s">
        <v>75</v>
      </c>
      <c r="R957" s="27">
        <v>49</v>
      </c>
      <c r="S957" s="27">
        <v>51</v>
      </c>
      <c r="T957" s="29">
        <v>71.2</v>
      </c>
      <c r="U957" s="29">
        <v>2.52</v>
      </c>
      <c r="V957" s="29">
        <v>18.55</v>
      </c>
      <c r="W957" s="30">
        <v>12895.67</v>
      </c>
      <c r="X957" s="27">
        <v>6.63</v>
      </c>
      <c r="Y957" s="27" t="s">
        <v>55</v>
      </c>
      <c r="Z957" s="29">
        <v>1</v>
      </c>
      <c r="AA957" s="30">
        <v>20164.71</v>
      </c>
      <c r="AB957" s="29">
        <v>0.95017793594306099</v>
      </c>
      <c r="AC957" s="30">
        <v>16046.12</v>
      </c>
      <c r="AD957" s="30">
        <v>114.73016014234901</v>
      </c>
      <c r="AE957" s="27">
        <v>512.86666666666702</v>
      </c>
      <c r="AF957" s="29">
        <v>0.92980631743143105</v>
      </c>
      <c r="AG957" s="30">
        <v>4003.8598398576501</v>
      </c>
      <c r="AH957" s="31">
        <f t="shared" si="225"/>
        <v>0.89490445859872614</v>
      </c>
      <c r="AI957" s="31">
        <f t="shared" si="226"/>
        <v>4.9822064056939501E-2</v>
      </c>
      <c r="AJ957" s="31">
        <f t="shared" si="227"/>
        <v>8.8967971530249119E-3</v>
      </c>
      <c r="AK957" s="31">
        <f t="shared" si="228"/>
        <v>0.95017793594306055</v>
      </c>
      <c r="AL957" s="29">
        <f t="shared" si="229"/>
        <v>0.6</v>
      </c>
      <c r="AM957" s="29">
        <f t="shared" si="230"/>
        <v>476.86666666666702</v>
      </c>
      <c r="AN957" s="29">
        <f t="shared" si="231"/>
        <v>1.1785264923808183</v>
      </c>
      <c r="AO957" s="29">
        <f t="shared" si="232"/>
        <v>1.2244897959183674</v>
      </c>
      <c r="AP957" s="31">
        <f t="shared" si="233"/>
        <v>0.96246330211100162</v>
      </c>
      <c r="AQ957" s="31">
        <f t="shared" si="234"/>
        <v>0.95017793594306055</v>
      </c>
      <c r="AR957" s="31">
        <f t="shared" si="235"/>
        <v>0.85031847133757887</v>
      </c>
      <c r="AS957" s="29">
        <f t="shared" si="236"/>
        <v>28.551814946619217</v>
      </c>
      <c r="AT957" s="29">
        <f t="shared" si="237"/>
        <v>7.1243057648712638</v>
      </c>
      <c r="AU957" s="27" t="str">
        <f t="shared" si="238"/>
        <v>Low</v>
      </c>
      <c r="AV957" s="27" t="str">
        <f t="shared" si="239"/>
        <v>Normal</v>
      </c>
      <c r="AW957" s="27"/>
    </row>
    <row r="958" spans="1:49" x14ac:dyDescent="0.25">
      <c r="A958" s="27">
        <v>957</v>
      </c>
      <c r="B958" s="28">
        <v>46115</v>
      </c>
      <c r="C958" s="28" t="str">
        <f t="shared" si="224"/>
        <v>April</v>
      </c>
      <c r="D958" s="27" t="s">
        <v>67</v>
      </c>
      <c r="E958" s="27" t="s">
        <v>129</v>
      </c>
      <c r="F958" s="27" t="s">
        <v>167</v>
      </c>
      <c r="G958" s="27" t="s">
        <v>78</v>
      </c>
      <c r="H958" s="27" t="s">
        <v>79</v>
      </c>
      <c r="I958" s="27" t="s">
        <v>1081</v>
      </c>
      <c r="J958" s="27" t="s">
        <v>150</v>
      </c>
      <c r="K958" s="27">
        <v>676</v>
      </c>
      <c r="L958" s="27">
        <v>485</v>
      </c>
      <c r="M958" s="27">
        <v>437</v>
      </c>
      <c r="N958" s="27">
        <v>48</v>
      </c>
      <c r="O958" s="27">
        <v>16</v>
      </c>
      <c r="P958" s="27">
        <v>51</v>
      </c>
      <c r="Q958" s="27" t="s">
        <v>75</v>
      </c>
      <c r="R958" s="27">
        <v>49</v>
      </c>
      <c r="S958" s="27">
        <v>49</v>
      </c>
      <c r="T958" s="29">
        <v>67.8</v>
      </c>
      <c r="U958" s="29">
        <v>2.0699999999999998</v>
      </c>
      <c r="V958" s="29">
        <v>19.16</v>
      </c>
      <c r="W958" s="30">
        <v>10848.43</v>
      </c>
      <c r="X958" s="27">
        <v>6.32</v>
      </c>
      <c r="Y958" s="27" t="s">
        <v>66</v>
      </c>
      <c r="Z958" s="29">
        <v>24</v>
      </c>
      <c r="AA958" s="30">
        <v>16955.53</v>
      </c>
      <c r="AB958" s="29">
        <v>0.90103092783505201</v>
      </c>
      <c r="AC958" s="30">
        <v>13864.87</v>
      </c>
      <c r="AD958" s="30">
        <v>357.88635051546402</v>
      </c>
      <c r="AE958" s="27">
        <v>552.06666666666695</v>
      </c>
      <c r="AF958" s="29">
        <v>0.90761985267479806</v>
      </c>
      <c r="AG958" s="30">
        <v>2732.7736494845299</v>
      </c>
      <c r="AH958" s="31">
        <f t="shared" si="225"/>
        <v>0.71745562130177509</v>
      </c>
      <c r="AI958" s="31">
        <f t="shared" si="226"/>
        <v>9.8969072164948449E-2</v>
      </c>
      <c r="AJ958" s="31">
        <f t="shared" si="227"/>
        <v>3.2989690721649485E-2</v>
      </c>
      <c r="AK958" s="31">
        <f t="shared" si="228"/>
        <v>0.90103092783505156</v>
      </c>
      <c r="AL958" s="29">
        <f t="shared" si="229"/>
        <v>0.85</v>
      </c>
      <c r="AM958" s="29">
        <f t="shared" si="230"/>
        <v>501.06666666666695</v>
      </c>
      <c r="AN958" s="29">
        <f t="shared" si="231"/>
        <v>0.96793507184672645</v>
      </c>
      <c r="AO958" s="29">
        <f t="shared" si="232"/>
        <v>1.2244897959183674</v>
      </c>
      <c r="AP958" s="31">
        <f t="shared" si="233"/>
        <v>0.79048030867482655</v>
      </c>
      <c r="AQ958" s="31">
        <f t="shared" si="234"/>
        <v>0.90103092783505156</v>
      </c>
      <c r="AR958" s="31">
        <f t="shared" si="235"/>
        <v>0.64644970414201175</v>
      </c>
      <c r="AS958" s="29">
        <f t="shared" si="236"/>
        <v>28.587360824742269</v>
      </c>
      <c r="AT958" s="29">
        <f t="shared" si="237"/>
        <v>5.6345848442979998</v>
      </c>
      <c r="AU958" s="27" t="str">
        <f t="shared" si="238"/>
        <v>High</v>
      </c>
      <c r="AV958" s="27" t="str">
        <f t="shared" si="239"/>
        <v>Critical</v>
      </c>
      <c r="AW958" s="27"/>
    </row>
    <row r="959" spans="1:49" x14ac:dyDescent="0.25">
      <c r="A959" s="27">
        <v>958</v>
      </c>
      <c r="B959" s="28">
        <v>46090</v>
      </c>
      <c r="C959" s="28" t="str">
        <f t="shared" si="224"/>
        <v>March</v>
      </c>
      <c r="D959" s="27" t="s">
        <v>47</v>
      </c>
      <c r="E959" s="27" t="s">
        <v>129</v>
      </c>
      <c r="F959" s="27" t="s">
        <v>130</v>
      </c>
      <c r="G959" s="27" t="s">
        <v>50</v>
      </c>
      <c r="H959" s="27" t="s">
        <v>51</v>
      </c>
      <c r="I959" s="27" t="s">
        <v>1082</v>
      </c>
      <c r="J959" s="27" t="s">
        <v>70</v>
      </c>
      <c r="K959" s="27">
        <v>721</v>
      </c>
      <c r="L959" s="27">
        <v>685</v>
      </c>
      <c r="M959" s="27">
        <v>600</v>
      </c>
      <c r="N959" s="27">
        <v>85</v>
      </c>
      <c r="O959" s="27">
        <v>23</v>
      </c>
      <c r="P959" s="27">
        <v>34</v>
      </c>
      <c r="Q959" s="27" t="s">
        <v>97</v>
      </c>
      <c r="R959" s="27">
        <v>42</v>
      </c>
      <c r="S959" s="27">
        <v>47</v>
      </c>
      <c r="T959" s="29">
        <v>77.2</v>
      </c>
      <c r="U959" s="29">
        <v>2.94</v>
      </c>
      <c r="V959" s="29">
        <v>22.35</v>
      </c>
      <c r="W959" s="30">
        <v>12727.16</v>
      </c>
      <c r="X959" s="27">
        <v>8.64</v>
      </c>
      <c r="Y959" s="27" t="s">
        <v>55</v>
      </c>
      <c r="Z959" s="29">
        <v>34</v>
      </c>
      <c r="AA959" s="30">
        <v>19493.79</v>
      </c>
      <c r="AB959" s="29">
        <v>0.87591240875912402</v>
      </c>
      <c r="AC959" s="30">
        <v>16816.310000000001</v>
      </c>
      <c r="AD959" s="30">
        <v>427.33529927007299</v>
      </c>
      <c r="AE959" s="27">
        <v>504.7</v>
      </c>
      <c r="AF959" s="29">
        <v>0.93263324747374698</v>
      </c>
      <c r="AG959" s="30">
        <v>2250.1447007299298</v>
      </c>
      <c r="AH959" s="31">
        <f t="shared" si="225"/>
        <v>0.95006934812760058</v>
      </c>
      <c r="AI959" s="31">
        <f t="shared" si="226"/>
        <v>0.12408759124087591</v>
      </c>
      <c r="AJ959" s="31">
        <f t="shared" si="227"/>
        <v>3.3576642335766425E-2</v>
      </c>
      <c r="AK959" s="31">
        <f t="shared" si="228"/>
        <v>0.87591240875912413</v>
      </c>
      <c r="AL959" s="29">
        <f t="shared" si="229"/>
        <v>0.56666666666666665</v>
      </c>
      <c r="AM959" s="29">
        <f t="shared" si="230"/>
        <v>470.7</v>
      </c>
      <c r="AN959" s="29">
        <f t="shared" si="231"/>
        <v>1.4552793711493521</v>
      </c>
      <c r="AO959" s="29">
        <f t="shared" si="232"/>
        <v>1.4285714285714286</v>
      </c>
      <c r="AP959" s="31">
        <f t="shared" si="233"/>
        <v>1.0186955598045464</v>
      </c>
      <c r="AQ959" s="31">
        <f t="shared" si="234"/>
        <v>0.87591240875912413</v>
      </c>
      <c r="AR959" s="31">
        <f t="shared" si="235"/>
        <v>0.83217753120665772</v>
      </c>
      <c r="AS959" s="29">
        <f t="shared" si="236"/>
        <v>24.549357664233579</v>
      </c>
      <c r="AT959" s="29">
        <f t="shared" si="237"/>
        <v>3.2848827747882186</v>
      </c>
      <c r="AU959" s="27" t="str">
        <f t="shared" si="238"/>
        <v>High</v>
      </c>
      <c r="AV959" s="27" t="str">
        <f t="shared" si="239"/>
        <v>Warning</v>
      </c>
      <c r="AW959" s="27"/>
    </row>
    <row r="960" spans="1:49" x14ac:dyDescent="0.25">
      <c r="A960" s="27">
        <v>959</v>
      </c>
      <c r="B960" s="28">
        <v>46082</v>
      </c>
      <c r="C960" s="28" t="str">
        <f t="shared" si="224"/>
        <v>March</v>
      </c>
      <c r="D960" s="27" t="s">
        <v>47</v>
      </c>
      <c r="E960" s="27" t="s">
        <v>129</v>
      </c>
      <c r="F960" s="27" t="s">
        <v>151</v>
      </c>
      <c r="G960" s="27" t="s">
        <v>50</v>
      </c>
      <c r="H960" s="27" t="s">
        <v>57</v>
      </c>
      <c r="I960" s="27" t="s">
        <v>1083</v>
      </c>
      <c r="J960" s="27" t="s">
        <v>140</v>
      </c>
      <c r="K960" s="27">
        <v>871</v>
      </c>
      <c r="L960" s="27">
        <v>792</v>
      </c>
      <c r="M960" s="27">
        <v>747</v>
      </c>
      <c r="N960" s="27">
        <v>45</v>
      </c>
      <c r="O960" s="27">
        <v>12</v>
      </c>
      <c r="P960" s="27">
        <v>50</v>
      </c>
      <c r="Q960" s="27" t="s">
        <v>54</v>
      </c>
      <c r="R960" s="27">
        <v>45</v>
      </c>
      <c r="S960" s="27">
        <v>44</v>
      </c>
      <c r="T960" s="29">
        <v>80.7</v>
      </c>
      <c r="U960" s="29">
        <v>1.55</v>
      </c>
      <c r="V960" s="29">
        <v>26.33</v>
      </c>
      <c r="W960" s="30">
        <v>15277.58</v>
      </c>
      <c r="X960" s="27">
        <v>6.59</v>
      </c>
      <c r="Y960" s="27" t="s">
        <v>55</v>
      </c>
      <c r="Z960" s="29">
        <v>18</v>
      </c>
      <c r="AA960" s="30">
        <v>25743.19</v>
      </c>
      <c r="AB960" s="29">
        <v>0.94318181818181801</v>
      </c>
      <c r="AC960" s="30">
        <v>18480.05</v>
      </c>
      <c r="AD960" s="30">
        <v>231.47848484848501</v>
      </c>
      <c r="AE960" s="27">
        <v>653.25</v>
      </c>
      <c r="AF960" s="29">
        <v>0.92345962495216205</v>
      </c>
      <c r="AG960" s="30">
        <v>7031.6615151515098</v>
      </c>
      <c r="AH960" s="31">
        <f t="shared" si="225"/>
        <v>0.90929965556831227</v>
      </c>
      <c r="AI960" s="31">
        <f t="shared" si="226"/>
        <v>5.6818181818181816E-2</v>
      </c>
      <c r="AJ960" s="31">
        <f t="shared" si="227"/>
        <v>1.5151515151515152E-2</v>
      </c>
      <c r="AK960" s="31">
        <f t="shared" si="228"/>
        <v>0.94318181818181823</v>
      </c>
      <c r="AL960" s="29">
        <f t="shared" si="229"/>
        <v>0.83333333333333337</v>
      </c>
      <c r="AM960" s="29">
        <f t="shared" si="230"/>
        <v>603.25</v>
      </c>
      <c r="AN960" s="29">
        <f t="shared" si="231"/>
        <v>1.3128885205138832</v>
      </c>
      <c r="AO960" s="29">
        <f t="shared" si="232"/>
        <v>1.3333333333333333</v>
      </c>
      <c r="AP960" s="31">
        <f t="shared" si="233"/>
        <v>0.98466639038541237</v>
      </c>
      <c r="AQ960" s="31">
        <f t="shared" si="234"/>
        <v>0.94318181818181823</v>
      </c>
      <c r="AR960" s="31">
        <f t="shared" si="235"/>
        <v>0.85763490241102158</v>
      </c>
      <c r="AS960" s="29">
        <f t="shared" si="236"/>
        <v>23.333396464646462</v>
      </c>
      <c r="AT960" s="29">
        <f t="shared" si="237"/>
        <v>8.8783604989286733</v>
      </c>
      <c r="AU960" s="27" t="str">
        <f t="shared" si="238"/>
        <v>Medium</v>
      </c>
      <c r="AV960" s="27" t="str">
        <f t="shared" si="239"/>
        <v>Warning</v>
      </c>
      <c r="AW960" s="27"/>
    </row>
    <row r="961" spans="1:49" x14ac:dyDescent="0.25">
      <c r="A961" s="27">
        <v>960</v>
      </c>
      <c r="B961" s="28">
        <v>46149</v>
      </c>
      <c r="C961" s="28" t="str">
        <f t="shared" si="224"/>
        <v>May</v>
      </c>
      <c r="D961" s="27" t="s">
        <v>67</v>
      </c>
      <c r="E961" s="27" t="s">
        <v>61</v>
      </c>
      <c r="F961" s="27" t="s">
        <v>88</v>
      </c>
      <c r="G961" s="27" t="s">
        <v>63</v>
      </c>
      <c r="H961" s="27" t="s">
        <v>51</v>
      </c>
      <c r="I961" s="27" t="s">
        <v>1084</v>
      </c>
      <c r="J961" s="27" t="s">
        <v>175</v>
      </c>
      <c r="K961" s="27">
        <v>911</v>
      </c>
      <c r="L961" s="27">
        <v>890</v>
      </c>
      <c r="M961" s="27">
        <v>866</v>
      </c>
      <c r="N961" s="27">
        <v>24</v>
      </c>
      <c r="O961" s="27">
        <v>5</v>
      </c>
      <c r="P961" s="27">
        <v>43</v>
      </c>
      <c r="Q961" s="27" t="s">
        <v>94</v>
      </c>
      <c r="R961" s="27">
        <v>42</v>
      </c>
      <c r="S961" s="27">
        <v>46</v>
      </c>
      <c r="T961" s="29">
        <v>74.900000000000006</v>
      </c>
      <c r="U961" s="29">
        <v>2.19</v>
      </c>
      <c r="V961" s="29">
        <v>27.57</v>
      </c>
      <c r="W961" s="30">
        <v>16428.21</v>
      </c>
      <c r="X961" s="27">
        <v>8.36</v>
      </c>
      <c r="Y961" s="27" t="s">
        <v>110</v>
      </c>
      <c r="Z961" s="29">
        <v>27</v>
      </c>
      <c r="AA961" s="30">
        <v>28452.39</v>
      </c>
      <c r="AB961" s="29">
        <v>0.97303370786516896</v>
      </c>
      <c r="AC961" s="30">
        <v>20438.34</v>
      </c>
      <c r="AD961" s="30">
        <v>92.293314606741603</v>
      </c>
      <c r="AE961" s="27">
        <v>637.70000000000005</v>
      </c>
      <c r="AF961" s="29">
        <v>0.93257017406303899</v>
      </c>
      <c r="AG961" s="30">
        <v>7921.7566853932603</v>
      </c>
      <c r="AH961" s="31">
        <f t="shared" si="225"/>
        <v>0.97694840834248076</v>
      </c>
      <c r="AI961" s="31">
        <f t="shared" si="226"/>
        <v>2.6966292134831461E-2</v>
      </c>
      <c r="AJ961" s="31">
        <f t="shared" si="227"/>
        <v>5.6179775280898875E-3</v>
      </c>
      <c r="AK961" s="31">
        <f t="shared" si="228"/>
        <v>0.97303370786516852</v>
      </c>
      <c r="AL961" s="29">
        <f t="shared" si="229"/>
        <v>0.71666666666666667</v>
      </c>
      <c r="AM961" s="29">
        <f t="shared" si="230"/>
        <v>594.70000000000005</v>
      </c>
      <c r="AN961" s="29">
        <f t="shared" si="231"/>
        <v>1.4965528838069613</v>
      </c>
      <c r="AO961" s="29">
        <f t="shared" si="232"/>
        <v>1.4285714285714286</v>
      </c>
      <c r="AP961" s="31">
        <f t="shared" si="233"/>
        <v>1.0475870186648728</v>
      </c>
      <c r="AQ961" s="31">
        <f t="shared" si="234"/>
        <v>0.97303370786516852</v>
      </c>
      <c r="AR961" s="31">
        <f t="shared" si="235"/>
        <v>0.95060373216245853</v>
      </c>
      <c r="AS961" s="29">
        <f t="shared" si="236"/>
        <v>22.964426966292134</v>
      </c>
      <c r="AT961" s="29">
        <f t="shared" si="237"/>
        <v>8.900850208307034</v>
      </c>
      <c r="AU961" s="27" t="str">
        <f t="shared" si="238"/>
        <v>Medium</v>
      </c>
      <c r="AV961" s="27" t="str">
        <f t="shared" si="239"/>
        <v>Normal</v>
      </c>
      <c r="AW961" s="27"/>
    </row>
    <row r="962" spans="1:49" x14ac:dyDescent="0.25">
      <c r="A962" s="27">
        <v>961</v>
      </c>
      <c r="B962" s="28">
        <v>46026</v>
      </c>
      <c r="C962" s="28" t="str">
        <f t="shared" ref="C962:C1001" si="240">TEXT(B962,"mmmm")</f>
        <v>January</v>
      </c>
      <c r="D962" s="27" t="s">
        <v>67</v>
      </c>
      <c r="E962" s="27" t="s">
        <v>76</v>
      </c>
      <c r="F962" s="27" t="s">
        <v>77</v>
      </c>
      <c r="G962" s="27" t="s">
        <v>63</v>
      </c>
      <c r="H962" s="27" t="s">
        <v>51</v>
      </c>
      <c r="I962" s="27" t="s">
        <v>1085</v>
      </c>
      <c r="J962" s="27" t="s">
        <v>191</v>
      </c>
      <c r="K962" s="27">
        <v>883</v>
      </c>
      <c r="L962" s="27">
        <v>735</v>
      </c>
      <c r="M962" s="27">
        <v>687</v>
      </c>
      <c r="N962" s="27">
        <v>48</v>
      </c>
      <c r="O962" s="27">
        <v>11</v>
      </c>
      <c r="P962" s="27">
        <v>47</v>
      </c>
      <c r="Q962" s="27" t="s">
        <v>82</v>
      </c>
      <c r="R962" s="27">
        <v>42</v>
      </c>
      <c r="S962" s="27">
        <v>43</v>
      </c>
      <c r="T962" s="29">
        <v>69.2</v>
      </c>
      <c r="U962" s="29">
        <v>2.39</v>
      </c>
      <c r="V962" s="29">
        <v>32.409999999999997</v>
      </c>
      <c r="W962" s="30">
        <v>13389.11</v>
      </c>
      <c r="X962" s="27">
        <v>6.72</v>
      </c>
      <c r="Y962" s="27" t="s">
        <v>110</v>
      </c>
      <c r="Z962" s="29">
        <v>38</v>
      </c>
      <c r="AA962" s="30">
        <v>21583.24</v>
      </c>
      <c r="AB962" s="29">
        <v>0.93469387755101996</v>
      </c>
      <c r="AC962" s="30">
        <v>16704.8</v>
      </c>
      <c r="AD962" s="30">
        <v>200.38123809523799</v>
      </c>
      <c r="AE962" s="27">
        <v>618.1</v>
      </c>
      <c r="AF962" s="29">
        <v>0.92396052418702501</v>
      </c>
      <c r="AG962" s="30">
        <v>4678.0587619047701</v>
      </c>
      <c r="AH962" s="31">
        <f t="shared" ref="AH962:AH1001" si="241">IFERROR(L962/K962,0)</f>
        <v>0.83238958097395244</v>
      </c>
      <c r="AI962" s="31">
        <f t="shared" ref="AI962:AI1001" si="242">IFERROR(N962/L962,0)</f>
        <v>6.5306122448979598E-2</v>
      </c>
      <c r="AJ962" s="31">
        <f t="shared" ref="AJ962:AJ1001" si="243">IFERROR(O962/L962,0)</f>
        <v>1.4965986394557823E-2</v>
      </c>
      <c r="AK962" s="31">
        <f t="shared" ref="AK962:AK1001" si="244">IFERROR(M962/L962,0)</f>
        <v>0.9346938775510204</v>
      </c>
      <c r="AL962" s="29">
        <f t="shared" ref="AL962:AL1001" si="245">P962/60</f>
        <v>0.78333333333333333</v>
      </c>
      <c r="AM962" s="29">
        <f t="shared" ref="AM962:AM1001" si="246">MAX(0,AE962-P962)</f>
        <v>571.1</v>
      </c>
      <c r="AN962" s="29">
        <f t="shared" ref="AN962:AN1001" si="247">IFERROR(L962/AM962,0)</f>
        <v>1.286990019261075</v>
      </c>
      <c r="AO962" s="29">
        <f t="shared" ref="AO962:AO1001" si="248">IFERROR(60/R962,0)</f>
        <v>1.4285714285714286</v>
      </c>
      <c r="AP962" s="31">
        <f t="shared" ref="AP962:AP1001" si="249">IFERROR(AN962/AO962,0)</f>
        <v>0.90089301348275252</v>
      </c>
      <c r="AQ962" s="31">
        <f t="shared" ref="AQ962:AQ1001" si="250">IFERROR(M962/L962,0)</f>
        <v>0.9346938775510204</v>
      </c>
      <c r="AR962" s="31">
        <f t="shared" ref="AR962:AR1001" si="251">AF962*AP962*AQ962</f>
        <v>0.77802944507361294</v>
      </c>
      <c r="AS962" s="29">
        <f t="shared" ref="AS962:AS1001" si="252">IFERROR(AC962/L962,0)</f>
        <v>22.727619047619047</v>
      </c>
      <c r="AT962" s="29">
        <f t="shared" ref="AT962:AT1001" si="253">IFERROR(AG962/L962,0)</f>
        <v>6.3647057985098909</v>
      </c>
      <c r="AU962" s="27" t="str">
        <f t="shared" ref="AU962:AU1001" si="254">IF(OR(Y962="Overdue",P962&gt;=120,T962&gt;=85,U962&gt;=4,AI962&gt;=0.12,AR962&lt;0.8),"High",IF(OR(Y962="Pending",Z962&gt;=30,P962&gt;=60,T962&gt;=80,U962&gt;=3,AI962&gt;=0.08,AR962&lt;0.85),"Medium","Low"))</f>
        <v>High</v>
      </c>
      <c r="AV962" s="27" t="str">
        <f t="shared" ref="AV962:AV1001" si="255">IF(OR(P962&gt;=120,T962&gt;=90,U962&gt;=4.5,AI962&gt;=0.15,AR962&lt;0.75),"Critical",IF(OR(P962&gt;=60,T962&gt;=80,U962&gt;=3,AI962&gt;=0.08,AR962&lt;0.85),"Warning","Normal"))</f>
        <v>Warning</v>
      </c>
      <c r="AW962" s="27"/>
    </row>
    <row r="963" spans="1:49" x14ac:dyDescent="0.25">
      <c r="A963" s="27">
        <v>962</v>
      </c>
      <c r="B963" s="28">
        <v>46126</v>
      </c>
      <c r="C963" s="28" t="str">
        <f t="shared" si="240"/>
        <v>April</v>
      </c>
      <c r="D963" s="27" t="s">
        <v>47</v>
      </c>
      <c r="E963" s="27" t="s">
        <v>48</v>
      </c>
      <c r="F963" s="27" t="s">
        <v>72</v>
      </c>
      <c r="G963" s="27" t="s">
        <v>50</v>
      </c>
      <c r="H963" s="27" t="s">
        <v>51</v>
      </c>
      <c r="I963" s="27" t="s">
        <v>1086</v>
      </c>
      <c r="J963" s="27" t="s">
        <v>81</v>
      </c>
      <c r="K963" s="27">
        <v>941</v>
      </c>
      <c r="L963" s="27">
        <v>959</v>
      </c>
      <c r="M963" s="27">
        <v>933</v>
      </c>
      <c r="N963" s="27">
        <v>26</v>
      </c>
      <c r="O963" s="27">
        <v>6</v>
      </c>
      <c r="P963" s="27">
        <v>46</v>
      </c>
      <c r="Q963" s="27" t="s">
        <v>75</v>
      </c>
      <c r="R963" s="27">
        <v>42</v>
      </c>
      <c r="S963" s="27">
        <v>44</v>
      </c>
      <c r="T963" s="29">
        <v>67</v>
      </c>
      <c r="U963" s="29">
        <v>1.1399999999999999</v>
      </c>
      <c r="V963" s="29">
        <v>30.19</v>
      </c>
      <c r="W963" s="30">
        <v>17003.599999999999</v>
      </c>
      <c r="X963" s="27">
        <v>8.6999999999999993</v>
      </c>
      <c r="Y963" s="27" t="s">
        <v>66</v>
      </c>
      <c r="Z963" s="29">
        <v>33</v>
      </c>
      <c r="AA963" s="30">
        <v>29145</v>
      </c>
      <c r="AB963" s="29">
        <v>0.97288842544317</v>
      </c>
      <c r="AC963" s="30">
        <v>21190.31</v>
      </c>
      <c r="AD963" s="30">
        <v>106.383315954119</v>
      </c>
      <c r="AE963" s="27">
        <v>658.7</v>
      </c>
      <c r="AF963" s="29">
        <v>0.93016547745559397</v>
      </c>
      <c r="AG963" s="30">
        <v>7848.3066840458796</v>
      </c>
      <c r="AH963" s="31">
        <f t="shared" si="241"/>
        <v>1.0191285866099893</v>
      </c>
      <c r="AI963" s="31">
        <f t="shared" si="242"/>
        <v>2.7111574556830033E-2</v>
      </c>
      <c r="AJ963" s="31">
        <f t="shared" si="243"/>
        <v>6.2565172054223151E-3</v>
      </c>
      <c r="AK963" s="31">
        <f t="shared" si="244"/>
        <v>0.97288842544317</v>
      </c>
      <c r="AL963" s="29">
        <f t="shared" si="245"/>
        <v>0.76666666666666672</v>
      </c>
      <c r="AM963" s="29">
        <f t="shared" si="246"/>
        <v>612.70000000000005</v>
      </c>
      <c r="AN963" s="29">
        <f t="shared" si="247"/>
        <v>1.5652031989554429</v>
      </c>
      <c r="AO963" s="29">
        <f t="shared" si="248"/>
        <v>1.4285714285714286</v>
      </c>
      <c r="AP963" s="31">
        <f t="shared" si="249"/>
        <v>1.0956422392688101</v>
      </c>
      <c r="AQ963" s="31">
        <f t="shared" si="250"/>
        <v>0.97288842544317</v>
      </c>
      <c r="AR963" s="31">
        <f t="shared" si="251"/>
        <v>0.99149840595111538</v>
      </c>
      <c r="AS963" s="29">
        <f t="shared" si="252"/>
        <v>22.096256517205422</v>
      </c>
      <c r="AT963" s="29">
        <f t="shared" si="253"/>
        <v>8.1838443003606667</v>
      </c>
      <c r="AU963" s="27" t="str">
        <f t="shared" si="254"/>
        <v>Medium</v>
      </c>
      <c r="AV963" s="27" t="str">
        <f t="shared" si="255"/>
        <v>Normal</v>
      </c>
      <c r="AW963" s="27"/>
    </row>
    <row r="964" spans="1:49" x14ac:dyDescent="0.25">
      <c r="A964" s="27">
        <v>963</v>
      </c>
      <c r="B964" s="28">
        <v>46042</v>
      </c>
      <c r="C964" s="28" t="str">
        <f t="shared" si="240"/>
        <v>January</v>
      </c>
      <c r="D964" s="27" t="s">
        <v>67</v>
      </c>
      <c r="E964" s="27" t="s">
        <v>129</v>
      </c>
      <c r="F964" s="27" t="s">
        <v>130</v>
      </c>
      <c r="G964" s="27" t="s">
        <v>63</v>
      </c>
      <c r="H964" s="27" t="s">
        <v>51</v>
      </c>
      <c r="I964" s="27" t="s">
        <v>1087</v>
      </c>
      <c r="J964" s="27" t="s">
        <v>53</v>
      </c>
      <c r="K964" s="27">
        <v>925</v>
      </c>
      <c r="L964" s="27">
        <v>827</v>
      </c>
      <c r="M964" s="27">
        <v>730</v>
      </c>
      <c r="N964" s="27">
        <v>97</v>
      </c>
      <c r="O964" s="27">
        <v>26</v>
      </c>
      <c r="P964" s="27">
        <v>69</v>
      </c>
      <c r="Q964" s="27" t="s">
        <v>54</v>
      </c>
      <c r="R964" s="27">
        <v>42</v>
      </c>
      <c r="S964" s="27">
        <v>43</v>
      </c>
      <c r="T964" s="29">
        <v>79.2</v>
      </c>
      <c r="U964" s="29">
        <v>3.42</v>
      </c>
      <c r="V964" s="29">
        <v>32.880000000000003</v>
      </c>
      <c r="W964" s="30">
        <v>15599.23</v>
      </c>
      <c r="X964" s="27">
        <v>8.25</v>
      </c>
      <c r="Y964" s="27" t="s">
        <v>55</v>
      </c>
      <c r="Z964" s="29">
        <v>45</v>
      </c>
      <c r="AA964" s="30">
        <v>22765.06</v>
      </c>
      <c r="AB964" s="29">
        <v>0.88270858524788398</v>
      </c>
      <c r="AC964" s="30">
        <v>19607.650000000001</v>
      </c>
      <c r="AD964" s="30">
        <v>490.42319226118502</v>
      </c>
      <c r="AE964" s="27">
        <v>647.5</v>
      </c>
      <c r="AF964" s="29">
        <v>0.89343629343629305</v>
      </c>
      <c r="AG964" s="30">
        <v>2666.9868077388201</v>
      </c>
      <c r="AH964" s="31">
        <f t="shared" si="241"/>
        <v>0.89405405405405403</v>
      </c>
      <c r="AI964" s="31">
        <f t="shared" si="242"/>
        <v>0.11729141475211609</v>
      </c>
      <c r="AJ964" s="31">
        <f t="shared" si="243"/>
        <v>3.143893591293833E-2</v>
      </c>
      <c r="AK964" s="31">
        <f t="shared" si="244"/>
        <v>0.88270858524788387</v>
      </c>
      <c r="AL964" s="29">
        <f t="shared" si="245"/>
        <v>1.1499999999999999</v>
      </c>
      <c r="AM964" s="29">
        <f t="shared" si="246"/>
        <v>578.5</v>
      </c>
      <c r="AN964" s="29">
        <f t="shared" si="247"/>
        <v>1.4295592048401038</v>
      </c>
      <c r="AO964" s="29">
        <f t="shared" si="248"/>
        <v>1.4285714285714286</v>
      </c>
      <c r="AP964" s="31">
        <f t="shared" si="249"/>
        <v>1.0006914433880727</v>
      </c>
      <c r="AQ964" s="31">
        <f t="shared" si="250"/>
        <v>0.88270858524788387</v>
      </c>
      <c r="AR964" s="31">
        <f t="shared" si="251"/>
        <v>0.7891891891891889</v>
      </c>
      <c r="AS964" s="29">
        <f t="shared" si="252"/>
        <v>23.709371221281742</v>
      </c>
      <c r="AT964" s="29">
        <f t="shared" si="253"/>
        <v>3.2248933588135671</v>
      </c>
      <c r="AU964" s="27" t="str">
        <f t="shared" si="254"/>
        <v>High</v>
      </c>
      <c r="AV964" s="27" t="str">
        <f t="shared" si="255"/>
        <v>Warning</v>
      </c>
      <c r="AW964" s="27"/>
    </row>
    <row r="965" spans="1:49" x14ac:dyDescent="0.25">
      <c r="A965" s="27">
        <v>964</v>
      </c>
      <c r="B965" s="28">
        <v>46076</v>
      </c>
      <c r="C965" s="28" t="str">
        <f t="shared" si="240"/>
        <v>February</v>
      </c>
      <c r="D965" s="27" t="s">
        <v>67</v>
      </c>
      <c r="E965" s="27" t="s">
        <v>76</v>
      </c>
      <c r="F965" s="27" t="s">
        <v>119</v>
      </c>
      <c r="G965" s="27" t="s">
        <v>50</v>
      </c>
      <c r="H965" s="27" t="s">
        <v>124</v>
      </c>
      <c r="I965" s="27" t="s">
        <v>1088</v>
      </c>
      <c r="J965" s="27" t="s">
        <v>138</v>
      </c>
      <c r="K965" s="27">
        <v>578</v>
      </c>
      <c r="L965" s="27">
        <v>598</v>
      </c>
      <c r="M965" s="27">
        <v>519</v>
      </c>
      <c r="N965" s="27">
        <v>79</v>
      </c>
      <c r="O965" s="27">
        <v>21</v>
      </c>
      <c r="P965" s="27">
        <v>31</v>
      </c>
      <c r="Q965" s="27" t="s">
        <v>54</v>
      </c>
      <c r="R965" s="27">
        <v>57</v>
      </c>
      <c r="S965" s="27">
        <v>59</v>
      </c>
      <c r="T965" s="29">
        <v>76</v>
      </c>
      <c r="U965" s="29">
        <v>3.74</v>
      </c>
      <c r="V965" s="29">
        <v>19.739999999999998</v>
      </c>
      <c r="W965" s="30">
        <v>16247.12</v>
      </c>
      <c r="X965" s="27">
        <v>10.09</v>
      </c>
      <c r="Y965" s="27" t="s">
        <v>66</v>
      </c>
      <c r="Z965" s="29">
        <v>56</v>
      </c>
      <c r="AA965" s="30">
        <v>23791.95</v>
      </c>
      <c r="AB965" s="29">
        <v>0.86789297658862896</v>
      </c>
      <c r="AC965" s="30">
        <v>20965.28</v>
      </c>
      <c r="AD965" s="30">
        <v>570.551036789298</v>
      </c>
      <c r="AE965" s="27">
        <v>549.1</v>
      </c>
      <c r="AF965" s="29">
        <v>0.94354398105991599</v>
      </c>
      <c r="AG965" s="30">
        <v>2256.1189632106998</v>
      </c>
      <c r="AH965" s="31">
        <f t="shared" si="241"/>
        <v>1.0346020761245676</v>
      </c>
      <c r="AI965" s="31">
        <f t="shared" si="242"/>
        <v>0.13210702341137123</v>
      </c>
      <c r="AJ965" s="31">
        <f t="shared" si="243"/>
        <v>3.5117056856187288E-2</v>
      </c>
      <c r="AK965" s="31">
        <f t="shared" si="244"/>
        <v>0.86789297658862874</v>
      </c>
      <c r="AL965" s="29">
        <f t="shared" si="245"/>
        <v>0.51666666666666672</v>
      </c>
      <c r="AM965" s="29">
        <f t="shared" si="246"/>
        <v>518.1</v>
      </c>
      <c r="AN965" s="29">
        <f t="shared" si="247"/>
        <v>1.1542173325612815</v>
      </c>
      <c r="AO965" s="29">
        <f t="shared" si="248"/>
        <v>1.0526315789473684</v>
      </c>
      <c r="AP965" s="31">
        <f t="shared" si="249"/>
        <v>1.0965064659332175</v>
      </c>
      <c r="AQ965" s="31">
        <f t="shared" si="250"/>
        <v>0.86789297658862874</v>
      </c>
      <c r="AR965" s="31">
        <f t="shared" si="251"/>
        <v>0.89792387543252583</v>
      </c>
      <c r="AS965" s="29">
        <f t="shared" si="252"/>
        <v>35.058996655518392</v>
      </c>
      <c r="AT965" s="29">
        <f t="shared" si="253"/>
        <v>3.7727741859710697</v>
      </c>
      <c r="AU965" s="27" t="str">
        <f t="shared" si="254"/>
        <v>High</v>
      </c>
      <c r="AV965" s="27" t="str">
        <f t="shared" si="255"/>
        <v>Warning</v>
      </c>
      <c r="AW965" s="27"/>
    </row>
    <row r="966" spans="1:49" x14ac:dyDescent="0.25">
      <c r="A966" s="27">
        <v>965</v>
      </c>
      <c r="B966" s="28">
        <v>46024</v>
      </c>
      <c r="C966" s="28" t="str">
        <f t="shared" si="240"/>
        <v>January</v>
      </c>
      <c r="D966" s="27" t="s">
        <v>47</v>
      </c>
      <c r="E966" s="27" t="s">
        <v>129</v>
      </c>
      <c r="F966" s="27" t="s">
        <v>130</v>
      </c>
      <c r="G966" s="27" t="s">
        <v>63</v>
      </c>
      <c r="H966" s="27" t="s">
        <v>79</v>
      </c>
      <c r="I966" s="27" t="s">
        <v>1089</v>
      </c>
      <c r="J966" s="27" t="s">
        <v>109</v>
      </c>
      <c r="K966" s="27">
        <v>709</v>
      </c>
      <c r="L966" s="27">
        <v>612</v>
      </c>
      <c r="M966" s="27">
        <v>537</v>
      </c>
      <c r="N966" s="27">
        <v>75</v>
      </c>
      <c r="O966" s="27">
        <v>25</v>
      </c>
      <c r="P966" s="27">
        <v>11</v>
      </c>
      <c r="Q966" s="27" t="s">
        <v>91</v>
      </c>
      <c r="R966" s="27">
        <v>49</v>
      </c>
      <c r="S966" s="27">
        <v>53</v>
      </c>
      <c r="T966" s="29">
        <v>79.7</v>
      </c>
      <c r="U966" s="29">
        <v>3.41</v>
      </c>
      <c r="V966" s="29">
        <v>24.28</v>
      </c>
      <c r="W966" s="30">
        <v>14004.99</v>
      </c>
      <c r="X966" s="27">
        <v>6.48</v>
      </c>
      <c r="Y966" s="27" t="s">
        <v>110</v>
      </c>
      <c r="Z966" s="29">
        <v>37</v>
      </c>
      <c r="AA966" s="30">
        <v>21014.85</v>
      </c>
      <c r="AB966" s="29">
        <v>0.87745098039215697</v>
      </c>
      <c r="AC966" s="30">
        <v>17139.509999999998</v>
      </c>
      <c r="AD966" s="30">
        <v>572.09926470588198</v>
      </c>
      <c r="AE966" s="27">
        <v>579.01666666666699</v>
      </c>
      <c r="AF966" s="29">
        <v>0.98100227397023698</v>
      </c>
      <c r="AG966" s="30">
        <v>3303.24073529412</v>
      </c>
      <c r="AH966" s="31">
        <f t="shared" si="241"/>
        <v>0.86318758815232721</v>
      </c>
      <c r="AI966" s="31">
        <f t="shared" si="242"/>
        <v>0.12254901960784313</v>
      </c>
      <c r="AJ966" s="31">
        <f t="shared" si="243"/>
        <v>4.084967320261438E-2</v>
      </c>
      <c r="AK966" s="31">
        <f t="shared" si="244"/>
        <v>0.87745098039215685</v>
      </c>
      <c r="AL966" s="29">
        <f t="shared" si="245"/>
        <v>0.18333333333333332</v>
      </c>
      <c r="AM966" s="29">
        <f t="shared" si="246"/>
        <v>568.01666666666699</v>
      </c>
      <c r="AN966" s="29">
        <f t="shared" si="247"/>
        <v>1.0774331739092156</v>
      </c>
      <c r="AO966" s="29">
        <f t="shared" si="248"/>
        <v>1.2244897959183674</v>
      </c>
      <c r="AP966" s="31">
        <f t="shared" si="249"/>
        <v>0.87990375869252602</v>
      </c>
      <c r="AQ966" s="31">
        <f t="shared" si="250"/>
        <v>0.87745098039215685</v>
      </c>
      <c r="AR966" s="31">
        <f t="shared" si="251"/>
        <v>0.75740479548660034</v>
      </c>
      <c r="AS966" s="29">
        <f t="shared" si="252"/>
        <v>28.005735294117645</v>
      </c>
      <c r="AT966" s="29">
        <f t="shared" si="253"/>
        <v>5.3974521818531374</v>
      </c>
      <c r="AU966" s="27" t="str">
        <f t="shared" si="254"/>
        <v>High</v>
      </c>
      <c r="AV966" s="27" t="str">
        <f t="shared" si="255"/>
        <v>Warning</v>
      </c>
      <c r="AW966" s="27"/>
    </row>
    <row r="967" spans="1:49" x14ac:dyDescent="0.25">
      <c r="A967" s="27">
        <v>966</v>
      </c>
      <c r="B967" s="28">
        <v>46126</v>
      </c>
      <c r="C967" s="28" t="str">
        <f t="shared" si="240"/>
        <v>April</v>
      </c>
      <c r="D967" s="27" t="s">
        <v>67</v>
      </c>
      <c r="E967" s="27" t="s">
        <v>129</v>
      </c>
      <c r="F967" s="27" t="s">
        <v>130</v>
      </c>
      <c r="G967" s="27" t="s">
        <v>78</v>
      </c>
      <c r="H967" s="27" t="s">
        <v>79</v>
      </c>
      <c r="I967" s="27" t="s">
        <v>1090</v>
      </c>
      <c r="J967" s="27" t="s">
        <v>90</v>
      </c>
      <c r="K967" s="27">
        <v>700</v>
      </c>
      <c r="L967" s="27">
        <v>516</v>
      </c>
      <c r="M967" s="27">
        <v>441</v>
      </c>
      <c r="N967" s="27">
        <v>75</v>
      </c>
      <c r="O967" s="27">
        <v>26</v>
      </c>
      <c r="P967" s="27">
        <v>40</v>
      </c>
      <c r="Q967" s="27" t="s">
        <v>104</v>
      </c>
      <c r="R967" s="27">
        <v>49</v>
      </c>
      <c r="S967" s="27">
        <v>53</v>
      </c>
      <c r="T967" s="29">
        <v>75.900000000000006</v>
      </c>
      <c r="U967" s="29">
        <v>3.69</v>
      </c>
      <c r="V967" s="29">
        <v>18.32</v>
      </c>
      <c r="W967" s="30">
        <v>11729.96</v>
      </c>
      <c r="X967" s="27">
        <v>7.62</v>
      </c>
      <c r="Y967" s="27" t="s">
        <v>71</v>
      </c>
      <c r="Z967" s="29">
        <v>27</v>
      </c>
      <c r="AA967" s="30">
        <v>16651.22</v>
      </c>
      <c r="AB967" s="29">
        <v>0.85465116279069797</v>
      </c>
      <c r="AC967" s="30">
        <v>15323.84</v>
      </c>
      <c r="AD967" s="30">
        <v>591.04449612403096</v>
      </c>
      <c r="AE967" s="27">
        <v>571.66666666666697</v>
      </c>
      <c r="AF967" s="29">
        <v>0.93002915451894996</v>
      </c>
      <c r="AG967" s="30">
        <v>736.33550387597199</v>
      </c>
      <c r="AH967" s="31">
        <f t="shared" si="241"/>
        <v>0.7371428571428571</v>
      </c>
      <c r="AI967" s="31">
        <f t="shared" si="242"/>
        <v>0.14534883720930233</v>
      </c>
      <c r="AJ967" s="31">
        <f t="shared" si="243"/>
        <v>5.0387596899224806E-2</v>
      </c>
      <c r="AK967" s="31">
        <f t="shared" si="244"/>
        <v>0.85465116279069764</v>
      </c>
      <c r="AL967" s="29">
        <f t="shared" si="245"/>
        <v>0.66666666666666663</v>
      </c>
      <c r="AM967" s="29">
        <f t="shared" si="246"/>
        <v>531.66666666666697</v>
      </c>
      <c r="AN967" s="29">
        <f t="shared" si="247"/>
        <v>0.97053291536050101</v>
      </c>
      <c r="AO967" s="29">
        <f t="shared" si="248"/>
        <v>1.2244897959183674</v>
      </c>
      <c r="AP967" s="31">
        <f t="shared" si="249"/>
        <v>0.79260188087774253</v>
      </c>
      <c r="AQ967" s="31">
        <f t="shared" si="250"/>
        <v>0.85465116279069764</v>
      </c>
      <c r="AR967" s="31">
        <f t="shared" si="251"/>
        <v>0.62999999999999923</v>
      </c>
      <c r="AS967" s="29">
        <f t="shared" si="252"/>
        <v>29.697364341085272</v>
      </c>
      <c r="AT967" s="29">
        <f t="shared" si="253"/>
        <v>1.42700679045731</v>
      </c>
      <c r="AU967" s="27" t="str">
        <f t="shared" si="254"/>
        <v>High</v>
      </c>
      <c r="AV967" s="27" t="str">
        <f t="shared" si="255"/>
        <v>Critical</v>
      </c>
      <c r="AW967" s="27"/>
    </row>
    <row r="968" spans="1:49" x14ac:dyDescent="0.25">
      <c r="A968" s="27">
        <v>967</v>
      </c>
      <c r="B968" s="28">
        <v>46104</v>
      </c>
      <c r="C968" s="28" t="str">
        <f t="shared" si="240"/>
        <v>March</v>
      </c>
      <c r="D968" s="27" t="s">
        <v>47</v>
      </c>
      <c r="E968" s="27" t="s">
        <v>129</v>
      </c>
      <c r="F968" s="27" t="s">
        <v>167</v>
      </c>
      <c r="G968" s="27" t="s">
        <v>63</v>
      </c>
      <c r="H968" s="27" t="s">
        <v>57</v>
      </c>
      <c r="I968" s="27" t="s">
        <v>1091</v>
      </c>
      <c r="J968" s="27" t="s">
        <v>107</v>
      </c>
      <c r="K968" s="27">
        <v>745</v>
      </c>
      <c r="L968" s="27">
        <v>716</v>
      </c>
      <c r="M968" s="27">
        <v>657</v>
      </c>
      <c r="N968" s="27">
        <v>59</v>
      </c>
      <c r="O968" s="27">
        <v>24</v>
      </c>
      <c r="P968" s="27">
        <v>13</v>
      </c>
      <c r="Q968" s="27" t="s">
        <v>97</v>
      </c>
      <c r="R968" s="27">
        <v>45</v>
      </c>
      <c r="S968" s="27">
        <v>48</v>
      </c>
      <c r="T968" s="29">
        <v>74.8</v>
      </c>
      <c r="U968" s="29">
        <v>2.77</v>
      </c>
      <c r="V968" s="29">
        <v>21.96</v>
      </c>
      <c r="W968" s="30">
        <v>14633.65</v>
      </c>
      <c r="X968" s="27">
        <v>7.42</v>
      </c>
      <c r="Y968" s="27" t="s">
        <v>66</v>
      </c>
      <c r="Z968" s="29">
        <v>35</v>
      </c>
      <c r="AA968" s="30">
        <v>23194.87</v>
      </c>
      <c r="AB968" s="29">
        <v>0.91759776536312898</v>
      </c>
      <c r="AC968" s="30">
        <v>18170.29</v>
      </c>
      <c r="AD968" s="30">
        <v>490.51340782122901</v>
      </c>
      <c r="AE968" s="27">
        <v>558.75</v>
      </c>
      <c r="AF968" s="29">
        <v>0.976733780760626</v>
      </c>
      <c r="AG968" s="30">
        <v>4534.0665921787704</v>
      </c>
      <c r="AH968" s="31">
        <f t="shared" si="241"/>
        <v>0.96107382550335574</v>
      </c>
      <c r="AI968" s="31">
        <f t="shared" si="242"/>
        <v>8.2402234636871505E-2</v>
      </c>
      <c r="AJ968" s="31">
        <f t="shared" si="243"/>
        <v>3.3519553072625698E-2</v>
      </c>
      <c r="AK968" s="31">
        <f t="shared" si="244"/>
        <v>0.91759776536312854</v>
      </c>
      <c r="AL968" s="29">
        <f t="shared" si="245"/>
        <v>0.21666666666666667</v>
      </c>
      <c r="AM968" s="29">
        <f t="shared" si="246"/>
        <v>545.75</v>
      </c>
      <c r="AN968" s="29">
        <f t="shared" si="247"/>
        <v>1.3119560238204306</v>
      </c>
      <c r="AO968" s="29">
        <f t="shared" si="248"/>
        <v>1.3333333333333333</v>
      </c>
      <c r="AP968" s="31">
        <f t="shared" si="249"/>
        <v>0.98396701786532303</v>
      </c>
      <c r="AQ968" s="31">
        <f t="shared" si="250"/>
        <v>0.91759776536312854</v>
      </c>
      <c r="AR968" s="31">
        <f t="shared" si="251"/>
        <v>0.88187919463087228</v>
      </c>
      <c r="AS968" s="29">
        <f t="shared" si="252"/>
        <v>25.377500000000001</v>
      </c>
      <c r="AT968" s="29">
        <f t="shared" si="253"/>
        <v>6.3324952404731434</v>
      </c>
      <c r="AU968" s="27" t="str">
        <f t="shared" si="254"/>
        <v>Medium</v>
      </c>
      <c r="AV968" s="27" t="str">
        <f t="shared" si="255"/>
        <v>Warning</v>
      </c>
      <c r="AW968" s="27"/>
    </row>
    <row r="969" spans="1:49" x14ac:dyDescent="0.25">
      <c r="A969" s="27">
        <v>968</v>
      </c>
      <c r="B969" s="28">
        <v>46130</v>
      </c>
      <c r="C969" s="28" t="str">
        <f t="shared" si="240"/>
        <v>April</v>
      </c>
      <c r="D969" s="27" t="s">
        <v>47</v>
      </c>
      <c r="E969" s="27" t="s">
        <v>76</v>
      </c>
      <c r="F969" s="27" t="s">
        <v>77</v>
      </c>
      <c r="G969" s="27" t="s">
        <v>50</v>
      </c>
      <c r="H969" s="27" t="s">
        <v>51</v>
      </c>
      <c r="I969" s="27" t="s">
        <v>1092</v>
      </c>
      <c r="J969" s="27" t="s">
        <v>143</v>
      </c>
      <c r="K969" s="27">
        <v>930</v>
      </c>
      <c r="L969" s="27">
        <v>947</v>
      </c>
      <c r="M969" s="27">
        <v>885</v>
      </c>
      <c r="N969" s="27">
        <v>62</v>
      </c>
      <c r="O969" s="27">
        <v>16</v>
      </c>
      <c r="P969" s="27">
        <v>5</v>
      </c>
      <c r="Q969" s="27" t="s">
        <v>102</v>
      </c>
      <c r="R969" s="27">
        <v>42</v>
      </c>
      <c r="S969" s="27">
        <v>40</v>
      </c>
      <c r="T969" s="29">
        <v>73.099999999999994</v>
      </c>
      <c r="U969" s="29">
        <v>1.65</v>
      </c>
      <c r="V969" s="29">
        <v>32.61</v>
      </c>
      <c r="W969" s="30">
        <v>17763.18</v>
      </c>
      <c r="X969" s="27">
        <v>9.86</v>
      </c>
      <c r="Y969" s="27" t="s">
        <v>66</v>
      </c>
      <c r="Z969" s="29">
        <v>13</v>
      </c>
      <c r="AA969" s="30">
        <v>28808.23</v>
      </c>
      <c r="AB969" s="29">
        <v>0.93453009503695905</v>
      </c>
      <c r="AC969" s="30">
        <v>22493.67</v>
      </c>
      <c r="AD969" s="30">
        <v>300.11708553326298</v>
      </c>
      <c r="AE969" s="27">
        <v>651</v>
      </c>
      <c r="AF969" s="29">
        <v>0.992319508448541</v>
      </c>
      <c r="AG969" s="30">
        <v>6014.4429144667401</v>
      </c>
      <c r="AH969" s="31">
        <f t="shared" si="241"/>
        <v>1.0182795698924731</v>
      </c>
      <c r="AI969" s="31">
        <f t="shared" si="242"/>
        <v>6.5469904963041184E-2</v>
      </c>
      <c r="AJ969" s="31">
        <f t="shared" si="243"/>
        <v>1.6895459345300949E-2</v>
      </c>
      <c r="AK969" s="31">
        <f t="shared" si="244"/>
        <v>0.93453009503695883</v>
      </c>
      <c r="AL969" s="29">
        <f t="shared" si="245"/>
        <v>8.3333333333333329E-2</v>
      </c>
      <c r="AM969" s="29">
        <f t="shared" si="246"/>
        <v>646</v>
      </c>
      <c r="AN969" s="29">
        <f t="shared" si="247"/>
        <v>1.4659442724458205</v>
      </c>
      <c r="AO969" s="29">
        <f t="shared" si="248"/>
        <v>1.4285714285714286</v>
      </c>
      <c r="AP969" s="31">
        <f t="shared" si="249"/>
        <v>1.0261609907120743</v>
      </c>
      <c r="AQ969" s="31">
        <f t="shared" si="250"/>
        <v>0.93453009503695883</v>
      </c>
      <c r="AR969" s="31">
        <f t="shared" si="251"/>
        <v>0.95161290322580672</v>
      </c>
      <c r="AS969" s="29">
        <f t="shared" si="252"/>
        <v>23.752555438225976</v>
      </c>
      <c r="AT969" s="29">
        <f t="shared" si="253"/>
        <v>6.3510484841253856</v>
      </c>
      <c r="AU969" s="27" t="str">
        <f t="shared" si="254"/>
        <v>Low</v>
      </c>
      <c r="AV969" s="27" t="str">
        <f t="shared" si="255"/>
        <v>Normal</v>
      </c>
      <c r="AW969" s="27"/>
    </row>
    <row r="970" spans="1:49" x14ac:dyDescent="0.25">
      <c r="A970" s="27">
        <v>969</v>
      </c>
      <c r="B970" s="28">
        <v>46042</v>
      </c>
      <c r="C970" s="28" t="str">
        <f t="shared" si="240"/>
        <v>January</v>
      </c>
      <c r="D970" s="27" t="s">
        <v>67</v>
      </c>
      <c r="E970" s="27" t="s">
        <v>48</v>
      </c>
      <c r="F970" s="27" t="s">
        <v>56</v>
      </c>
      <c r="G970" s="27" t="s">
        <v>78</v>
      </c>
      <c r="H970" s="27" t="s">
        <v>57</v>
      </c>
      <c r="I970" s="27" t="s">
        <v>1093</v>
      </c>
      <c r="J970" s="27" t="s">
        <v>81</v>
      </c>
      <c r="K970" s="27">
        <v>722</v>
      </c>
      <c r="L970" s="27">
        <v>612</v>
      </c>
      <c r="M970" s="27">
        <v>575</v>
      </c>
      <c r="N970" s="27">
        <v>37</v>
      </c>
      <c r="O970" s="27">
        <v>11</v>
      </c>
      <c r="P970" s="27">
        <v>13</v>
      </c>
      <c r="Q970" s="27" t="s">
        <v>54</v>
      </c>
      <c r="R970" s="27">
        <v>45</v>
      </c>
      <c r="S970" s="27">
        <v>47</v>
      </c>
      <c r="T970" s="29">
        <v>72.2</v>
      </c>
      <c r="U970" s="29">
        <v>2.25</v>
      </c>
      <c r="V970" s="29">
        <v>19.34</v>
      </c>
      <c r="W970" s="30">
        <v>11799.36</v>
      </c>
      <c r="X970" s="27">
        <v>6.37</v>
      </c>
      <c r="Y970" s="27" t="s">
        <v>66</v>
      </c>
      <c r="Z970" s="29">
        <v>35</v>
      </c>
      <c r="AA970" s="30">
        <v>20032.759999999998</v>
      </c>
      <c r="AB970" s="29">
        <v>0.93954248366013104</v>
      </c>
      <c r="AC970" s="30">
        <v>14839.92</v>
      </c>
      <c r="AD970" s="30">
        <v>212.08</v>
      </c>
      <c r="AE970" s="27">
        <v>541.5</v>
      </c>
      <c r="AF970" s="29">
        <v>0.97599261311172703</v>
      </c>
      <c r="AG970" s="30">
        <v>4980.76</v>
      </c>
      <c r="AH970" s="31">
        <f t="shared" si="241"/>
        <v>0.8476454293628809</v>
      </c>
      <c r="AI970" s="31">
        <f t="shared" si="242"/>
        <v>6.0457516339869281E-2</v>
      </c>
      <c r="AJ970" s="31">
        <f t="shared" si="243"/>
        <v>1.7973856209150325E-2</v>
      </c>
      <c r="AK970" s="31">
        <f t="shared" si="244"/>
        <v>0.93954248366013071</v>
      </c>
      <c r="AL970" s="29">
        <f t="shared" si="245"/>
        <v>0.21666666666666667</v>
      </c>
      <c r="AM970" s="29">
        <f t="shared" si="246"/>
        <v>528.5</v>
      </c>
      <c r="AN970" s="29">
        <f t="shared" si="247"/>
        <v>1.1579943235572374</v>
      </c>
      <c r="AO970" s="29">
        <f t="shared" si="248"/>
        <v>1.3333333333333333</v>
      </c>
      <c r="AP970" s="31">
        <f t="shared" si="249"/>
        <v>0.86849574266792806</v>
      </c>
      <c r="AQ970" s="31">
        <f t="shared" si="250"/>
        <v>0.93954248366013071</v>
      </c>
      <c r="AR970" s="31">
        <f t="shared" si="251"/>
        <v>0.79639889196675917</v>
      </c>
      <c r="AS970" s="29">
        <f t="shared" si="252"/>
        <v>24.248235294117649</v>
      </c>
      <c r="AT970" s="29">
        <f t="shared" si="253"/>
        <v>8.1384967320261445</v>
      </c>
      <c r="AU970" s="27" t="str">
        <f t="shared" si="254"/>
        <v>High</v>
      </c>
      <c r="AV970" s="27" t="str">
        <f t="shared" si="255"/>
        <v>Warning</v>
      </c>
      <c r="AW970" s="27"/>
    </row>
    <row r="971" spans="1:49" x14ac:dyDescent="0.25">
      <c r="A971" s="27">
        <v>970</v>
      </c>
      <c r="B971" s="28">
        <v>46146</v>
      </c>
      <c r="C971" s="28" t="str">
        <f t="shared" si="240"/>
        <v>May</v>
      </c>
      <c r="D971" s="27" t="s">
        <v>47</v>
      </c>
      <c r="E971" s="27" t="s">
        <v>76</v>
      </c>
      <c r="F971" s="27" t="s">
        <v>77</v>
      </c>
      <c r="G971" s="27" t="s">
        <v>50</v>
      </c>
      <c r="H971" s="27" t="s">
        <v>79</v>
      </c>
      <c r="I971" s="27" t="s">
        <v>1094</v>
      </c>
      <c r="J971" s="27" t="s">
        <v>161</v>
      </c>
      <c r="K971" s="27">
        <v>680</v>
      </c>
      <c r="L971" s="27">
        <v>632</v>
      </c>
      <c r="M971" s="27">
        <v>592</v>
      </c>
      <c r="N971" s="27">
        <v>40</v>
      </c>
      <c r="O971" s="27">
        <v>10</v>
      </c>
      <c r="P971" s="27">
        <v>32</v>
      </c>
      <c r="Q971" s="27" t="s">
        <v>82</v>
      </c>
      <c r="R971" s="27">
        <v>49</v>
      </c>
      <c r="S971" s="27">
        <v>51</v>
      </c>
      <c r="T971" s="29">
        <v>69.400000000000006</v>
      </c>
      <c r="U971" s="29">
        <v>2.83</v>
      </c>
      <c r="V971" s="29">
        <v>21.28</v>
      </c>
      <c r="W971" s="30">
        <v>14034.4</v>
      </c>
      <c r="X971" s="27">
        <v>9.24</v>
      </c>
      <c r="Y971" s="27" t="s">
        <v>55</v>
      </c>
      <c r="Z971" s="29">
        <v>11</v>
      </c>
      <c r="AA971" s="30">
        <v>22958.22</v>
      </c>
      <c r="AB971" s="29">
        <v>0.936708860759494</v>
      </c>
      <c r="AC971" s="30">
        <v>18383.919999999998</v>
      </c>
      <c r="AD971" s="30">
        <v>222.06329113924099</v>
      </c>
      <c r="AE971" s="27">
        <v>555.33333333333303</v>
      </c>
      <c r="AF971" s="29">
        <v>0.94237695078031203</v>
      </c>
      <c r="AG971" s="30">
        <v>4352.2367088607598</v>
      </c>
      <c r="AH971" s="31">
        <f t="shared" si="241"/>
        <v>0.92941176470588238</v>
      </c>
      <c r="AI971" s="31">
        <f t="shared" si="242"/>
        <v>6.3291139240506333E-2</v>
      </c>
      <c r="AJ971" s="31">
        <f t="shared" si="243"/>
        <v>1.5822784810126583E-2</v>
      </c>
      <c r="AK971" s="31">
        <f t="shared" si="244"/>
        <v>0.93670886075949367</v>
      </c>
      <c r="AL971" s="29">
        <f t="shared" si="245"/>
        <v>0.53333333333333333</v>
      </c>
      <c r="AM971" s="29">
        <f t="shared" si="246"/>
        <v>523.33333333333303</v>
      </c>
      <c r="AN971" s="29">
        <f t="shared" si="247"/>
        <v>1.2076433121019114</v>
      </c>
      <c r="AO971" s="29">
        <f t="shared" si="248"/>
        <v>1.2244897959183674</v>
      </c>
      <c r="AP971" s="31">
        <f t="shared" si="249"/>
        <v>0.98624203821656098</v>
      </c>
      <c r="AQ971" s="31">
        <f t="shared" si="250"/>
        <v>0.93670886075949367</v>
      </c>
      <c r="AR971" s="31">
        <f t="shared" si="251"/>
        <v>0.870588235294118</v>
      </c>
      <c r="AS971" s="29">
        <f t="shared" si="252"/>
        <v>29.088481012658225</v>
      </c>
      <c r="AT971" s="29">
        <f t="shared" si="253"/>
        <v>6.8864504887037334</v>
      </c>
      <c r="AU971" s="27" t="str">
        <f t="shared" si="254"/>
        <v>Low</v>
      </c>
      <c r="AV971" s="27" t="str">
        <f t="shared" si="255"/>
        <v>Normal</v>
      </c>
      <c r="AW971" s="27"/>
    </row>
    <row r="972" spans="1:49" x14ac:dyDescent="0.25">
      <c r="A972" s="27">
        <v>971</v>
      </c>
      <c r="B972" s="28">
        <v>46098</v>
      </c>
      <c r="C972" s="28" t="str">
        <f t="shared" si="240"/>
        <v>March</v>
      </c>
      <c r="D972" s="27" t="s">
        <v>67</v>
      </c>
      <c r="E972" s="27" t="s">
        <v>61</v>
      </c>
      <c r="F972" s="27" t="s">
        <v>88</v>
      </c>
      <c r="G972" s="27" t="s">
        <v>78</v>
      </c>
      <c r="H972" s="27" t="s">
        <v>51</v>
      </c>
      <c r="I972" s="27" t="s">
        <v>1095</v>
      </c>
      <c r="J972" s="27" t="s">
        <v>53</v>
      </c>
      <c r="K972" s="27">
        <v>955</v>
      </c>
      <c r="L972" s="27">
        <v>854</v>
      </c>
      <c r="M972" s="27">
        <v>815</v>
      </c>
      <c r="N972" s="27">
        <v>39</v>
      </c>
      <c r="O972" s="27">
        <v>16</v>
      </c>
      <c r="P972" s="27">
        <v>17</v>
      </c>
      <c r="Q972" s="27" t="s">
        <v>94</v>
      </c>
      <c r="R972" s="27">
        <v>42</v>
      </c>
      <c r="S972" s="27">
        <v>47</v>
      </c>
      <c r="T972" s="29">
        <v>72.400000000000006</v>
      </c>
      <c r="U972" s="29">
        <v>1.56</v>
      </c>
      <c r="V972" s="29">
        <v>26.16</v>
      </c>
      <c r="W972" s="30">
        <v>16182.95</v>
      </c>
      <c r="X972" s="27">
        <v>7.57</v>
      </c>
      <c r="Y972" s="27" t="s">
        <v>66</v>
      </c>
      <c r="Z972" s="29">
        <v>45</v>
      </c>
      <c r="AA972" s="30">
        <v>26017.67</v>
      </c>
      <c r="AB972" s="29">
        <v>0.95433255269320805</v>
      </c>
      <c r="AC972" s="30">
        <v>19824.89</v>
      </c>
      <c r="AD972" s="30">
        <v>303.19344262295101</v>
      </c>
      <c r="AE972" s="27">
        <v>668.5</v>
      </c>
      <c r="AF972" s="29">
        <v>0.97456993268511605</v>
      </c>
      <c r="AG972" s="30">
        <v>5889.5865573770498</v>
      </c>
      <c r="AH972" s="31">
        <f t="shared" si="241"/>
        <v>0.89424083769633511</v>
      </c>
      <c r="AI972" s="31">
        <f t="shared" si="242"/>
        <v>4.5667447306791571E-2</v>
      </c>
      <c r="AJ972" s="31">
        <f t="shared" si="243"/>
        <v>1.873536299765808E-2</v>
      </c>
      <c r="AK972" s="31">
        <f t="shared" si="244"/>
        <v>0.95433255269320838</v>
      </c>
      <c r="AL972" s="29">
        <f t="shared" si="245"/>
        <v>0.28333333333333333</v>
      </c>
      <c r="AM972" s="29">
        <f t="shared" si="246"/>
        <v>651.5</v>
      </c>
      <c r="AN972" s="29">
        <f t="shared" si="247"/>
        <v>1.3108211818879509</v>
      </c>
      <c r="AO972" s="29">
        <f t="shared" si="248"/>
        <v>1.4285714285714286</v>
      </c>
      <c r="AP972" s="31">
        <f t="shared" si="249"/>
        <v>0.91757482732156559</v>
      </c>
      <c r="AQ972" s="31">
        <f t="shared" si="250"/>
        <v>0.95433255269320838</v>
      </c>
      <c r="AR972" s="31">
        <f t="shared" si="251"/>
        <v>0.8534031413612565</v>
      </c>
      <c r="AS972" s="29">
        <f t="shared" si="252"/>
        <v>23.214156908665103</v>
      </c>
      <c r="AT972" s="29">
        <f t="shared" si="253"/>
        <v>6.8964713786616505</v>
      </c>
      <c r="AU972" s="27" t="str">
        <f t="shared" si="254"/>
        <v>Medium</v>
      </c>
      <c r="AV972" s="27" t="str">
        <f t="shared" si="255"/>
        <v>Normal</v>
      </c>
      <c r="AW972" s="27"/>
    </row>
    <row r="973" spans="1:49" x14ac:dyDescent="0.25">
      <c r="A973" s="27">
        <v>972</v>
      </c>
      <c r="B973" s="28">
        <v>46181</v>
      </c>
      <c r="C973" s="28" t="str">
        <f t="shared" si="240"/>
        <v>June</v>
      </c>
      <c r="D973" s="27" t="s">
        <v>67</v>
      </c>
      <c r="E973" s="27" t="s">
        <v>61</v>
      </c>
      <c r="F973" s="27" t="s">
        <v>95</v>
      </c>
      <c r="G973" s="27" t="s">
        <v>50</v>
      </c>
      <c r="H973" s="27" t="s">
        <v>57</v>
      </c>
      <c r="I973" s="27" t="s">
        <v>1096</v>
      </c>
      <c r="J973" s="27" t="s">
        <v>286</v>
      </c>
      <c r="K973" s="27">
        <v>791</v>
      </c>
      <c r="L973" s="27">
        <v>796</v>
      </c>
      <c r="M973" s="27">
        <v>760</v>
      </c>
      <c r="N973" s="27">
        <v>36</v>
      </c>
      <c r="O973" s="27">
        <v>10</v>
      </c>
      <c r="P973" s="27">
        <v>18</v>
      </c>
      <c r="Q973" s="27" t="s">
        <v>97</v>
      </c>
      <c r="R973" s="27">
        <v>45</v>
      </c>
      <c r="S973" s="27">
        <v>44</v>
      </c>
      <c r="T973" s="29">
        <v>66.900000000000006</v>
      </c>
      <c r="U973" s="29">
        <v>2.7</v>
      </c>
      <c r="V973" s="29">
        <v>30.76</v>
      </c>
      <c r="W973" s="30">
        <v>15871.75</v>
      </c>
      <c r="X973" s="27">
        <v>9.19</v>
      </c>
      <c r="Y973" s="27" t="s">
        <v>66</v>
      </c>
      <c r="Z973" s="29">
        <v>17</v>
      </c>
      <c r="AA973" s="30">
        <v>25931.759999999998</v>
      </c>
      <c r="AB973" s="29">
        <v>0.95477386934673403</v>
      </c>
      <c r="AC973" s="30">
        <v>20284.09</v>
      </c>
      <c r="AD973" s="30">
        <v>199.39384422110601</v>
      </c>
      <c r="AE973" s="27">
        <v>593.25</v>
      </c>
      <c r="AF973" s="29">
        <v>0.96965865992414702</v>
      </c>
      <c r="AG973" s="30">
        <v>5448.2761557788899</v>
      </c>
      <c r="AH973" s="31">
        <f t="shared" si="241"/>
        <v>1.0063211125158027</v>
      </c>
      <c r="AI973" s="31">
        <f t="shared" si="242"/>
        <v>4.5226130653266333E-2</v>
      </c>
      <c r="AJ973" s="31">
        <f t="shared" si="243"/>
        <v>1.2562814070351759E-2</v>
      </c>
      <c r="AK973" s="31">
        <f t="shared" si="244"/>
        <v>0.95477386934673369</v>
      </c>
      <c r="AL973" s="29">
        <f t="shared" si="245"/>
        <v>0.3</v>
      </c>
      <c r="AM973" s="29">
        <f t="shared" si="246"/>
        <v>575.25</v>
      </c>
      <c r="AN973" s="29">
        <f t="shared" si="247"/>
        <v>1.3837461973055194</v>
      </c>
      <c r="AO973" s="29">
        <f t="shared" si="248"/>
        <v>1.3333333333333333</v>
      </c>
      <c r="AP973" s="31">
        <f t="shared" si="249"/>
        <v>1.0378096479791397</v>
      </c>
      <c r="AQ973" s="31">
        <f t="shared" si="250"/>
        <v>0.95477386934673369</v>
      </c>
      <c r="AR973" s="31">
        <f t="shared" si="251"/>
        <v>0.96080910240202333</v>
      </c>
      <c r="AS973" s="29">
        <f t="shared" si="252"/>
        <v>25.48252512562814</v>
      </c>
      <c r="AT973" s="29">
        <f t="shared" si="253"/>
        <v>6.8445680348981028</v>
      </c>
      <c r="AU973" s="27" t="str">
        <f t="shared" si="254"/>
        <v>Low</v>
      </c>
      <c r="AV973" s="27" t="str">
        <f t="shared" si="255"/>
        <v>Normal</v>
      </c>
      <c r="AW973" s="27"/>
    </row>
    <row r="974" spans="1:49" x14ac:dyDescent="0.25">
      <c r="A974" s="27">
        <v>973</v>
      </c>
      <c r="B974" s="28">
        <v>46080</v>
      </c>
      <c r="C974" s="28" t="str">
        <f t="shared" si="240"/>
        <v>February</v>
      </c>
      <c r="D974" s="27" t="s">
        <v>47</v>
      </c>
      <c r="E974" s="27" t="s">
        <v>129</v>
      </c>
      <c r="F974" s="27" t="s">
        <v>151</v>
      </c>
      <c r="G974" s="27" t="s">
        <v>50</v>
      </c>
      <c r="H974" s="27" t="s">
        <v>68</v>
      </c>
      <c r="I974" s="27" t="s">
        <v>1097</v>
      </c>
      <c r="J974" s="27" t="s">
        <v>107</v>
      </c>
      <c r="K974" s="27">
        <v>663</v>
      </c>
      <c r="L974" s="27">
        <v>646</v>
      </c>
      <c r="M974" s="27">
        <v>603</v>
      </c>
      <c r="N974" s="27">
        <v>43</v>
      </c>
      <c r="O974" s="27">
        <v>9</v>
      </c>
      <c r="P974" s="27">
        <v>0</v>
      </c>
      <c r="Q974" s="27" t="s">
        <v>60</v>
      </c>
      <c r="R974" s="27">
        <v>64</v>
      </c>
      <c r="S974" s="27">
        <v>64</v>
      </c>
      <c r="T974" s="29">
        <v>68.099999999999994</v>
      </c>
      <c r="U974" s="29">
        <v>2.33</v>
      </c>
      <c r="V974" s="29">
        <v>18.61</v>
      </c>
      <c r="W974" s="30">
        <v>19867.78</v>
      </c>
      <c r="X974" s="27">
        <v>8.9499999999999993</v>
      </c>
      <c r="Y974" s="27" t="s">
        <v>55</v>
      </c>
      <c r="Z974" s="29">
        <v>33</v>
      </c>
      <c r="AA974" s="30">
        <v>32285.35</v>
      </c>
      <c r="AB974" s="29">
        <v>0.93343653250773995</v>
      </c>
      <c r="AC974" s="30">
        <v>24062.77</v>
      </c>
      <c r="AD974" s="30">
        <v>276.795696594427</v>
      </c>
      <c r="AE974" s="27">
        <v>707.2</v>
      </c>
      <c r="AF974" s="29">
        <v>1</v>
      </c>
      <c r="AG974" s="30">
        <v>7945.7843034055704</v>
      </c>
      <c r="AH974" s="31">
        <f t="shared" si="241"/>
        <v>0.97435897435897434</v>
      </c>
      <c r="AI974" s="31">
        <f t="shared" si="242"/>
        <v>6.6563467492260067E-2</v>
      </c>
      <c r="AJ974" s="31">
        <f t="shared" si="243"/>
        <v>1.393188854489164E-2</v>
      </c>
      <c r="AK974" s="31">
        <f t="shared" si="244"/>
        <v>0.93343653250773995</v>
      </c>
      <c r="AL974" s="29">
        <f t="shared" si="245"/>
        <v>0</v>
      </c>
      <c r="AM974" s="29">
        <f t="shared" si="246"/>
        <v>707.2</v>
      </c>
      <c r="AN974" s="29">
        <f t="shared" si="247"/>
        <v>0.91346153846153844</v>
      </c>
      <c r="AO974" s="29">
        <f t="shared" si="248"/>
        <v>0.9375</v>
      </c>
      <c r="AP974" s="31">
        <f t="shared" si="249"/>
        <v>0.97435897435897434</v>
      </c>
      <c r="AQ974" s="31">
        <f t="shared" si="250"/>
        <v>0.93343653250773995</v>
      </c>
      <c r="AR974" s="31">
        <f t="shared" si="251"/>
        <v>0.9095022624434389</v>
      </c>
      <c r="AS974" s="29">
        <f t="shared" si="252"/>
        <v>37.24886996904025</v>
      </c>
      <c r="AT974" s="29">
        <f t="shared" si="253"/>
        <v>12.299975701866208</v>
      </c>
      <c r="AU974" s="27" t="str">
        <f t="shared" si="254"/>
        <v>Medium</v>
      </c>
      <c r="AV974" s="27" t="str">
        <f t="shared" si="255"/>
        <v>Normal</v>
      </c>
      <c r="AW974" s="27"/>
    </row>
    <row r="975" spans="1:49" x14ac:dyDescent="0.25">
      <c r="A975" s="27">
        <v>974</v>
      </c>
      <c r="B975" s="28">
        <v>46162</v>
      </c>
      <c r="C975" s="28" t="str">
        <f t="shared" si="240"/>
        <v>May</v>
      </c>
      <c r="D975" s="27" t="s">
        <v>47</v>
      </c>
      <c r="E975" s="27" t="s">
        <v>48</v>
      </c>
      <c r="F975" s="27" t="s">
        <v>56</v>
      </c>
      <c r="G975" s="27" t="s">
        <v>50</v>
      </c>
      <c r="H975" s="27" t="s">
        <v>79</v>
      </c>
      <c r="I975" s="27" t="s">
        <v>1098</v>
      </c>
      <c r="J975" s="27" t="s">
        <v>140</v>
      </c>
      <c r="K975" s="27">
        <v>632</v>
      </c>
      <c r="L975" s="27">
        <v>657</v>
      </c>
      <c r="M975" s="27">
        <v>616</v>
      </c>
      <c r="N975" s="27">
        <v>41</v>
      </c>
      <c r="O975" s="27">
        <v>16</v>
      </c>
      <c r="P975" s="27">
        <v>8</v>
      </c>
      <c r="Q975" s="27" t="s">
        <v>54</v>
      </c>
      <c r="R975" s="27">
        <v>49</v>
      </c>
      <c r="S975" s="27">
        <v>53</v>
      </c>
      <c r="T975" s="29">
        <v>75.8</v>
      </c>
      <c r="U975" s="29">
        <v>2.54</v>
      </c>
      <c r="V975" s="29">
        <v>26.71</v>
      </c>
      <c r="W975" s="30">
        <v>14530.82</v>
      </c>
      <c r="X975" s="27">
        <v>7.6</v>
      </c>
      <c r="Y975" s="27" t="s">
        <v>71</v>
      </c>
      <c r="Z975" s="29">
        <v>10</v>
      </c>
      <c r="AA975" s="30">
        <v>23936.32</v>
      </c>
      <c r="AB975" s="29">
        <v>0.93759512937595102</v>
      </c>
      <c r="AC975" s="30">
        <v>18191.21</v>
      </c>
      <c r="AD975" s="30">
        <v>353.87080669710798</v>
      </c>
      <c r="AE975" s="27">
        <v>516.13333333333298</v>
      </c>
      <c r="AF975" s="29">
        <v>0.98450012916559004</v>
      </c>
      <c r="AG975" s="30">
        <v>5391.2391933028903</v>
      </c>
      <c r="AH975" s="31">
        <f t="shared" si="241"/>
        <v>1.0395569620253164</v>
      </c>
      <c r="AI975" s="31">
        <f t="shared" si="242"/>
        <v>6.2404870624048703E-2</v>
      </c>
      <c r="AJ975" s="31">
        <f t="shared" si="243"/>
        <v>2.4353120243531201E-2</v>
      </c>
      <c r="AK975" s="31">
        <f t="shared" si="244"/>
        <v>0.93759512937595124</v>
      </c>
      <c r="AL975" s="29">
        <f t="shared" si="245"/>
        <v>0.13333333333333333</v>
      </c>
      <c r="AM975" s="29">
        <f t="shared" si="246"/>
        <v>508.13333333333298</v>
      </c>
      <c r="AN975" s="29">
        <f t="shared" si="247"/>
        <v>1.2929677250065608</v>
      </c>
      <c r="AO975" s="29">
        <f t="shared" si="248"/>
        <v>1.2244897959183674</v>
      </c>
      <c r="AP975" s="31">
        <f t="shared" si="249"/>
        <v>1.0559236420886913</v>
      </c>
      <c r="AQ975" s="31">
        <f t="shared" si="250"/>
        <v>0.93759512937595124</v>
      </c>
      <c r="AR975" s="31">
        <f t="shared" si="251"/>
        <v>0.97468354430379778</v>
      </c>
      <c r="AS975" s="29">
        <f t="shared" si="252"/>
        <v>27.688295281582953</v>
      </c>
      <c r="AT975" s="29">
        <f t="shared" si="253"/>
        <v>8.2058435210089655</v>
      </c>
      <c r="AU975" s="27" t="str">
        <f t="shared" si="254"/>
        <v>High</v>
      </c>
      <c r="AV975" s="27" t="str">
        <f t="shared" si="255"/>
        <v>Normal</v>
      </c>
      <c r="AW975" s="27"/>
    </row>
    <row r="976" spans="1:49" x14ac:dyDescent="0.25">
      <c r="A976" s="27">
        <v>975</v>
      </c>
      <c r="B976" s="28">
        <v>46177</v>
      </c>
      <c r="C976" s="28" t="str">
        <f t="shared" si="240"/>
        <v>June</v>
      </c>
      <c r="D976" s="27" t="s">
        <v>47</v>
      </c>
      <c r="E976" s="27" t="s">
        <v>98</v>
      </c>
      <c r="F976" s="27" t="s">
        <v>99</v>
      </c>
      <c r="G976" s="27" t="s">
        <v>50</v>
      </c>
      <c r="H976" s="27" t="s">
        <v>68</v>
      </c>
      <c r="I976" s="27" t="s">
        <v>1099</v>
      </c>
      <c r="J976" s="27" t="s">
        <v>138</v>
      </c>
      <c r="K976" s="27">
        <v>516</v>
      </c>
      <c r="L976" s="27">
        <v>529</v>
      </c>
      <c r="M976" s="27">
        <v>499</v>
      </c>
      <c r="N976" s="27">
        <v>30</v>
      </c>
      <c r="O976" s="27">
        <v>9</v>
      </c>
      <c r="P976" s="27">
        <v>6</v>
      </c>
      <c r="Q976" s="27" t="s">
        <v>94</v>
      </c>
      <c r="R976" s="27">
        <v>64</v>
      </c>
      <c r="S976" s="27">
        <v>69</v>
      </c>
      <c r="T976" s="29">
        <v>71.900000000000006</v>
      </c>
      <c r="U976" s="29">
        <v>2.21</v>
      </c>
      <c r="V976" s="29">
        <v>19.760000000000002</v>
      </c>
      <c r="W976" s="30">
        <v>17263.32</v>
      </c>
      <c r="X976" s="27">
        <v>9.3800000000000008</v>
      </c>
      <c r="Y976" s="27" t="s">
        <v>55</v>
      </c>
      <c r="Z976" s="29">
        <v>23</v>
      </c>
      <c r="AA976" s="30">
        <v>26015.79</v>
      </c>
      <c r="AB976" s="29">
        <v>0.94328922495274103</v>
      </c>
      <c r="AC976" s="30">
        <v>21662.16</v>
      </c>
      <c r="AD976" s="30">
        <v>293.70487712665403</v>
      </c>
      <c r="AE976" s="27">
        <v>550.4</v>
      </c>
      <c r="AF976" s="29">
        <v>0.98909883720930203</v>
      </c>
      <c r="AG976" s="30">
        <v>4059.9251228733501</v>
      </c>
      <c r="AH976" s="31">
        <f t="shared" si="241"/>
        <v>1.0251937984496124</v>
      </c>
      <c r="AI976" s="31">
        <f t="shared" si="242"/>
        <v>5.6710775047258979E-2</v>
      </c>
      <c r="AJ976" s="31">
        <f t="shared" si="243"/>
        <v>1.7013232514177693E-2</v>
      </c>
      <c r="AK976" s="31">
        <f t="shared" si="244"/>
        <v>0.94328922495274103</v>
      </c>
      <c r="AL976" s="29">
        <f t="shared" si="245"/>
        <v>0.1</v>
      </c>
      <c r="AM976" s="29">
        <f t="shared" si="246"/>
        <v>544.4</v>
      </c>
      <c r="AN976" s="29">
        <f t="shared" si="247"/>
        <v>0.97171197648787655</v>
      </c>
      <c r="AO976" s="29">
        <f t="shared" si="248"/>
        <v>0.9375</v>
      </c>
      <c r="AP976" s="31">
        <f t="shared" si="249"/>
        <v>1.0364927749204016</v>
      </c>
      <c r="AQ976" s="31">
        <f t="shared" si="250"/>
        <v>0.94328922495274103</v>
      </c>
      <c r="AR976" s="31">
        <f t="shared" si="251"/>
        <v>0.96705426356589108</v>
      </c>
      <c r="AS976" s="29">
        <f t="shared" si="252"/>
        <v>40.949262759924387</v>
      </c>
      <c r="AT976" s="29">
        <f t="shared" si="253"/>
        <v>7.6747166783995278</v>
      </c>
      <c r="AU976" s="27" t="str">
        <f t="shared" si="254"/>
        <v>Low</v>
      </c>
      <c r="AV976" s="27" t="str">
        <f t="shared" si="255"/>
        <v>Normal</v>
      </c>
      <c r="AW976" s="27"/>
    </row>
    <row r="977" spans="1:49" x14ac:dyDescent="0.25">
      <c r="A977" s="27">
        <v>976</v>
      </c>
      <c r="B977" s="28">
        <v>46038</v>
      </c>
      <c r="C977" s="28" t="str">
        <f t="shared" si="240"/>
        <v>January</v>
      </c>
      <c r="D977" s="27" t="s">
        <v>47</v>
      </c>
      <c r="E977" s="27" t="s">
        <v>129</v>
      </c>
      <c r="F977" s="27" t="s">
        <v>151</v>
      </c>
      <c r="G977" s="27" t="s">
        <v>50</v>
      </c>
      <c r="H977" s="27" t="s">
        <v>57</v>
      </c>
      <c r="I977" s="27" t="s">
        <v>1100</v>
      </c>
      <c r="J977" s="27" t="s">
        <v>140</v>
      </c>
      <c r="K977" s="27">
        <v>933</v>
      </c>
      <c r="L977" s="27">
        <v>743</v>
      </c>
      <c r="M977" s="27">
        <v>695</v>
      </c>
      <c r="N977" s="27">
        <v>48</v>
      </c>
      <c r="O977" s="27">
        <v>12</v>
      </c>
      <c r="P977" s="27">
        <v>45</v>
      </c>
      <c r="Q977" s="27" t="s">
        <v>54</v>
      </c>
      <c r="R977" s="27">
        <v>45</v>
      </c>
      <c r="S977" s="27">
        <v>47</v>
      </c>
      <c r="T977" s="29">
        <v>80.2</v>
      </c>
      <c r="U977" s="29">
        <v>1.7</v>
      </c>
      <c r="V977" s="29">
        <v>28.42</v>
      </c>
      <c r="W977" s="30">
        <v>14612.93</v>
      </c>
      <c r="X977" s="27">
        <v>8.19</v>
      </c>
      <c r="Y977" s="27" t="s">
        <v>66</v>
      </c>
      <c r="Z977" s="29">
        <v>35</v>
      </c>
      <c r="AA977" s="30">
        <v>24551.52</v>
      </c>
      <c r="AB977" s="29">
        <v>0.93539703903095595</v>
      </c>
      <c r="AC977" s="30">
        <v>18554.21</v>
      </c>
      <c r="AD977" s="30">
        <v>236.00963660834501</v>
      </c>
      <c r="AE977" s="27">
        <v>699.75</v>
      </c>
      <c r="AF977" s="29">
        <v>0.93569131832797403</v>
      </c>
      <c r="AG977" s="30">
        <v>5761.3003633916596</v>
      </c>
      <c r="AH977" s="31">
        <f t="shared" si="241"/>
        <v>0.7963558413719185</v>
      </c>
      <c r="AI977" s="31">
        <f t="shared" si="242"/>
        <v>6.4602960969044415E-2</v>
      </c>
      <c r="AJ977" s="31">
        <f t="shared" si="243"/>
        <v>1.6150740242261104E-2</v>
      </c>
      <c r="AK977" s="31">
        <f t="shared" si="244"/>
        <v>0.93539703903095561</v>
      </c>
      <c r="AL977" s="29">
        <f t="shared" si="245"/>
        <v>0.75</v>
      </c>
      <c r="AM977" s="29">
        <f t="shared" si="246"/>
        <v>654.75</v>
      </c>
      <c r="AN977" s="29">
        <f t="shared" si="247"/>
        <v>1.1347842688048873</v>
      </c>
      <c r="AO977" s="29">
        <f t="shared" si="248"/>
        <v>1.3333333333333333</v>
      </c>
      <c r="AP977" s="31">
        <f t="shared" si="249"/>
        <v>0.8510882016036655</v>
      </c>
      <c r="AQ977" s="31">
        <f t="shared" si="250"/>
        <v>0.93539703903095561</v>
      </c>
      <c r="AR977" s="31">
        <f t="shared" si="251"/>
        <v>0.74490889603429777</v>
      </c>
      <c r="AS977" s="29">
        <f t="shared" si="252"/>
        <v>24.972018842530282</v>
      </c>
      <c r="AT977" s="29">
        <f t="shared" si="253"/>
        <v>7.7541054688986</v>
      </c>
      <c r="AU977" s="27" t="str">
        <f t="shared" si="254"/>
        <v>High</v>
      </c>
      <c r="AV977" s="27" t="str">
        <f t="shared" si="255"/>
        <v>Critical</v>
      </c>
      <c r="AW977" s="27"/>
    </row>
    <row r="978" spans="1:49" x14ac:dyDescent="0.25">
      <c r="A978" s="27">
        <v>977</v>
      </c>
      <c r="B978" s="28">
        <v>46097</v>
      </c>
      <c r="C978" s="28" t="str">
        <f t="shared" si="240"/>
        <v>March</v>
      </c>
      <c r="D978" s="27" t="s">
        <v>47</v>
      </c>
      <c r="E978" s="27" t="s">
        <v>48</v>
      </c>
      <c r="F978" s="27" t="s">
        <v>72</v>
      </c>
      <c r="G978" s="27" t="s">
        <v>78</v>
      </c>
      <c r="H978" s="27" t="s">
        <v>79</v>
      </c>
      <c r="I978" s="27" t="s">
        <v>1101</v>
      </c>
      <c r="J978" s="27" t="s">
        <v>121</v>
      </c>
      <c r="K978" s="27">
        <v>782</v>
      </c>
      <c r="L978" s="27">
        <v>680</v>
      </c>
      <c r="M978" s="27">
        <v>654</v>
      </c>
      <c r="N978" s="27">
        <v>26</v>
      </c>
      <c r="O978" s="27">
        <v>7</v>
      </c>
      <c r="P978" s="27">
        <v>22</v>
      </c>
      <c r="Q978" s="27" t="s">
        <v>82</v>
      </c>
      <c r="R978" s="27">
        <v>49</v>
      </c>
      <c r="S978" s="27">
        <v>53</v>
      </c>
      <c r="T978" s="29">
        <v>70.900000000000006</v>
      </c>
      <c r="U978" s="29">
        <v>1.51</v>
      </c>
      <c r="V978" s="29">
        <v>25.37</v>
      </c>
      <c r="W978" s="30">
        <v>15478.13</v>
      </c>
      <c r="X978" s="27">
        <v>6.49</v>
      </c>
      <c r="Y978" s="27" t="s">
        <v>110</v>
      </c>
      <c r="Z978" s="29">
        <v>5</v>
      </c>
      <c r="AA978" s="30">
        <v>24850.98</v>
      </c>
      <c r="AB978" s="29">
        <v>0.96176470588235297</v>
      </c>
      <c r="AC978" s="30">
        <v>18626.96</v>
      </c>
      <c r="AD978" s="30">
        <v>159.33369117647101</v>
      </c>
      <c r="AE978" s="27">
        <v>638.63333333333298</v>
      </c>
      <c r="AF978" s="29">
        <v>0.96555143796649101</v>
      </c>
      <c r="AG978" s="30">
        <v>6064.6863088235305</v>
      </c>
      <c r="AH978" s="31">
        <f t="shared" si="241"/>
        <v>0.86956521739130432</v>
      </c>
      <c r="AI978" s="31">
        <f t="shared" si="242"/>
        <v>3.8235294117647062E-2</v>
      </c>
      <c r="AJ978" s="31">
        <f t="shared" si="243"/>
        <v>1.0294117647058823E-2</v>
      </c>
      <c r="AK978" s="31">
        <f t="shared" si="244"/>
        <v>0.96176470588235297</v>
      </c>
      <c r="AL978" s="29">
        <f t="shared" si="245"/>
        <v>0.36666666666666664</v>
      </c>
      <c r="AM978" s="29">
        <f t="shared" si="246"/>
        <v>616.63333333333298</v>
      </c>
      <c r="AN978" s="29">
        <f t="shared" si="247"/>
        <v>1.1027623114762966</v>
      </c>
      <c r="AO978" s="29">
        <f t="shared" si="248"/>
        <v>1.2244897959183674</v>
      </c>
      <c r="AP978" s="31">
        <f t="shared" si="249"/>
        <v>0.90058922103897554</v>
      </c>
      <c r="AQ978" s="31">
        <f t="shared" si="250"/>
        <v>0.96176470588235297</v>
      </c>
      <c r="AR978" s="31">
        <f t="shared" si="251"/>
        <v>0.83631713554987264</v>
      </c>
      <c r="AS978" s="29">
        <f t="shared" si="252"/>
        <v>27.392588235294117</v>
      </c>
      <c r="AT978" s="29">
        <f t="shared" si="253"/>
        <v>8.9186563365051921</v>
      </c>
      <c r="AU978" s="27" t="str">
        <f t="shared" si="254"/>
        <v>Medium</v>
      </c>
      <c r="AV978" s="27" t="str">
        <f t="shared" si="255"/>
        <v>Warning</v>
      </c>
      <c r="AW978" s="27"/>
    </row>
    <row r="979" spans="1:49" x14ac:dyDescent="0.25">
      <c r="A979" s="27">
        <v>978</v>
      </c>
      <c r="B979" s="28">
        <v>46180</v>
      </c>
      <c r="C979" s="28" t="str">
        <f t="shared" si="240"/>
        <v>June</v>
      </c>
      <c r="D979" s="27" t="s">
        <v>47</v>
      </c>
      <c r="E979" s="27" t="s">
        <v>61</v>
      </c>
      <c r="F979" s="27" t="s">
        <v>88</v>
      </c>
      <c r="G979" s="27" t="s">
        <v>78</v>
      </c>
      <c r="H979" s="27" t="s">
        <v>68</v>
      </c>
      <c r="I979" s="27" t="s">
        <v>1102</v>
      </c>
      <c r="J979" s="27" t="s">
        <v>65</v>
      </c>
      <c r="K979" s="27">
        <v>513</v>
      </c>
      <c r="L979" s="27">
        <v>488</v>
      </c>
      <c r="M979" s="27">
        <v>465</v>
      </c>
      <c r="N979" s="27">
        <v>23</v>
      </c>
      <c r="O979" s="27">
        <v>6</v>
      </c>
      <c r="P979" s="27">
        <v>29</v>
      </c>
      <c r="Q979" s="27" t="s">
        <v>54</v>
      </c>
      <c r="R979" s="27">
        <v>64</v>
      </c>
      <c r="S979" s="27">
        <v>70</v>
      </c>
      <c r="T979" s="29">
        <v>75.900000000000006</v>
      </c>
      <c r="U979" s="29">
        <v>2.2400000000000002</v>
      </c>
      <c r="V979" s="29">
        <v>20.010000000000002</v>
      </c>
      <c r="W979" s="30">
        <v>14557.15</v>
      </c>
      <c r="X979" s="27">
        <v>7.06</v>
      </c>
      <c r="Y979" s="27" t="s">
        <v>66</v>
      </c>
      <c r="Z979" s="29">
        <v>23</v>
      </c>
      <c r="AA979" s="30">
        <v>24635.77</v>
      </c>
      <c r="AB979" s="29">
        <v>0.95286885245901598</v>
      </c>
      <c r="AC979" s="30">
        <v>17914.240000000002</v>
      </c>
      <c r="AD979" s="30">
        <v>178.98135245901599</v>
      </c>
      <c r="AE979" s="27">
        <v>547.20000000000005</v>
      </c>
      <c r="AF979" s="29">
        <v>0.94700292397660801</v>
      </c>
      <c r="AG979" s="30">
        <v>6542.5486475409798</v>
      </c>
      <c r="AH979" s="31">
        <f t="shared" si="241"/>
        <v>0.95126705653021437</v>
      </c>
      <c r="AI979" s="31">
        <f t="shared" si="242"/>
        <v>4.7131147540983603E-2</v>
      </c>
      <c r="AJ979" s="31">
        <f t="shared" si="243"/>
        <v>1.2295081967213115E-2</v>
      </c>
      <c r="AK979" s="31">
        <f t="shared" si="244"/>
        <v>0.95286885245901642</v>
      </c>
      <c r="AL979" s="29">
        <f t="shared" si="245"/>
        <v>0.48333333333333334</v>
      </c>
      <c r="AM979" s="29">
        <f t="shared" si="246"/>
        <v>518.20000000000005</v>
      </c>
      <c r="AN979" s="29">
        <f t="shared" si="247"/>
        <v>0.94172134311076794</v>
      </c>
      <c r="AO979" s="29">
        <f t="shared" si="248"/>
        <v>0.9375</v>
      </c>
      <c r="AP979" s="31">
        <f t="shared" si="249"/>
        <v>1.0045027659848191</v>
      </c>
      <c r="AQ979" s="31">
        <f t="shared" si="250"/>
        <v>0.95286885245901642</v>
      </c>
      <c r="AR979" s="31">
        <f t="shared" si="251"/>
        <v>0.90643274853801148</v>
      </c>
      <c r="AS979" s="29">
        <f t="shared" si="252"/>
        <v>36.709508196721316</v>
      </c>
      <c r="AT979" s="29">
        <f t="shared" si="253"/>
        <v>13.406861982665943</v>
      </c>
      <c r="AU979" s="27" t="str">
        <f t="shared" si="254"/>
        <v>Low</v>
      </c>
      <c r="AV979" s="27" t="str">
        <f t="shared" si="255"/>
        <v>Normal</v>
      </c>
      <c r="AW979" s="27"/>
    </row>
    <row r="980" spans="1:49" x14ac:dyDescent="0.25">
      <c r="A980" s="27">
        <v>979</v>
      </c>
      <c r="B980" s="28">
        <v>46109</v>
      </c>
      <c r="C980" s="28" t="str">
        <f t="shared" si="240"/>
        <v>March</v>
      </c>
      <c r="D980" s="27" t="s">
        <v>47</v>
      </c>
      <c r="E980" s="27" t="s">
        <v>129</v>
      </c>
      <c r="F980" s="27" t="s">
        <v>167</v>
      </c>
      <c r="G980" s="27" t="s">
        <v>63</v>
      </c>
      <c r="H980" s="27" t="s">
        <v>124</v>
      </c>
      <c r="I980" s="27" t="s">
        <v>1103</v>
      </c>
      <c r="J980" s="27" t="s">
        <v>121</v>
      </c>
      <c r="K980" s="27">
        <v>748</v>
      </c>
      <c r="L980" s="27">
        <v>632</v>
      </c>
      <c r="M980" s="27">
        <v>581</v>
      </c>
      <c r="N980" s="27">
        <v>51</v>
      </c>
      <c r="O980" s="27">
        <v>16</v>
      </c>
      <c r="P980" s="27">
        <v>36</v>
      </c>
      <c r="Q980" s="27" t="s">
        <v>94</v>
      </c>
      <c r="R980" s="27">
        <v>57</v>
      </c>
      <c r="S980" s="27">
        <v>61</v>
      </c>
      <c r="T980" s="29">
        <v>69.7</v>
      </c>
      <c r="U980" s="29">
        <v>1.45</v>
      </c>
      <c r="V980" s="29">
        <v>27.04</v>
      </c>
      <c r="W980" s="30">
        <v>17597.96</v>
      </c>
      <c r="X980" s="27">
        <v>7.5</v>
      </c>
      <c r="Y980" s="27" t="s">
        <v>71</v>
      </c>
      <c r="Z980" s="29">
        <v>31</v>
      </c>
      <c r="AA980" s="30">
        <v>26882.959999999999</v>
      </c>
      <c r="AB980" s="29">
        <v>0.919303797468354</v>
      </c>
      <c r="AC980" s="30">
        <v>21216.32</v>
      </c>
      <c r="AD980" s="30">
        <v>445.51797468354403</v>
      </c>
      <c r="AE980" s="27">
        <v>710.6</v>
      </c>
      <c r="AF980" s="29">
        <v>0.94933858710948504</v>
      </c>
      <c r="AG980" s="30">
        <v>5221.1220253164602</v>
      </c>
      <c r="AH980" s="31">
        <f t="shared" si="241"/>
        <v>0.84491978609625673</v>
      </c>
      <c r="AI980" s="31">
        <f t="shared" si="242"/>
        <v>8.0696202531645569E-2</v>
      </c>
      <c r="AJ980" s="31">
        <f t="shared" si="243"/>
        <v>2.5316455696202531E-2</v>
      </c>
      <c r="AK980" s="31">
        <f t="shared" si="244"/>
        <v>0.91930379746835444</v>
      </c>
      <c r="AL980" s="29">
        <f t="shared" si="245"/>
        <v>0.6</v>
      </c>
      <c r="AM980" s="29">
        <f t="shared" si="246"/>
        <v>674.6</v>
      </c>
      <c r="AN980" s="29">
        <f t="shared" si="247"/>
        <v>0.93685146753631776</v>
      </c>
      <c r="AO980" s="29">
        <f t="shared" si="248"/>
        <v>1.0526315789473684</v>
      </c>
      <c r="AP980" s="31">
        <f t="shared" si="249"/>
        <v>0.89000889415950191</v>
      </c>
      <c r="AQ980" s="31">
        <f t="shared" si="250"/>
        <v>0.91930379746835444</v>
      </c>
      <c r="AR980" s="31">
        <f t="shared" si="251"/>
        <v>0.77673796791443861</v>
      </c>
      <c r="AS980" s="29">
        <f t="shared" si="252"/>
        <v>33.570126582278483</v>
      </c>
      <c r="AT980" s="29">
        <f t="shared" si="253"/>
        <v>8.2612690273994627</v>
      </c>
      <c r="AU980" s="27" t="str">
        <f t="shared" si="254"/>
        <v>High</v>
      </c>
      <c r="AV980" s="27" t="str">
        <f t="shared" si="255"/>
        <v>Warning</v>
      </c>
      <c r="AW980" s="27"/>
    </row>
    <row r="981" spans="1:49" x14ac:dyDescent="0.25">
      <c r="A981" s="27">
        <v>980</v>
      </c>
      <c r="B981" s="28">
        <v>46037</v>
      </c>
      <c r="C981" s="28" t="str">
        <f t="shared" si="240"/>
        <v>January</v>
      </c>
      <c r="D981" s="27" t="s">
        <v>47</v>
      </c>
      <c r="E981" s="27" t="s">
        <v>129</v>
      </c>
      <c r="F981" s="27" t="s">
        <v>167</v>
      </c>
      <c r="G981" s="27" t="s">
        <v>63</v>
      </c>
      <c r="H981" s="27" t="s">
        <v>124</v>
      </c>
      <c r="I981" s="27" t="s">
        <v>1104</v>
      </c>
      <c r="J981" s="27" t="s">
        <v>226</v>
      </c>
      <c r="K981" s="27">
        <v>630</v>
      </c>
      <c r="L981" s="27">
        <v>498</v>
      </c>
      <c r="M981" s="27">
        <v>453</v>
      </c>
      <c r="N981" s="27">
        <v>45</v>
      </c>
      <c r="O981" s="27">
        <v>10</v>
      </c>
      <c r="P981" s="27">
        <v>57</v>
      </c>
      <c r="Q981" s="27" t="s">
        <v>54</v>
      </c>
      <c r="R981" s="27">
        <v>57</v>
      </c>
      <c r="S981" s="27">
        <v>58</v>
      </c>
      <c r="T981" s="29">
        <v>61.6</v>
      </c>
      <c r="U981" s="29">
        <v>2.1</v>
      </c>
      <c r="V981" s="29">
        <v>20.27</v>
      </c>
      <c r="W981" s="30">
        <v>13129.77</v>
      </c>
      <c r="X981" s="27">
        <v>6.75</v>
      </c>
      <c r="Y981" s="27" t="s">
        <v>66</v>
      </c>
      <c r="Z981" s="29">
        <v>19</v>
      </c>
      <c r="AA981" s="30">
        <v>20664.990000000002</v>
      </c>
      <c r="AB981" s="29">
        <v>0.90963855421686801</v>
      </c>
      <c r="AC981" s="30">
        <v>16349.7</v>
      </c>
      <c r="AD981" s="30">
        <v>263.64999999999998</v>
      </c>
      <c r="AE981" s="27">
        <v>598.5</v>
      </c>
      <c r="AF981" s="29">
        <v>0.90476190476190499</v>
      </c>
      <c r="AG981" s="30">
        <v>4051.64</v>
      </c>
      <c r="AH981" s="31">
        <f t="shared" si="241"/>
        <v>0.79047619047619044</v>
      </c>
      <c r="AI981" s="31">
        <f t="shared" si="242"/>
        <v>9.036144578313253E-2</v>
      </c>
      <c r="AJ981" s="31">
        <f t="shared" si="243"/>
        <v>2.0080321285140562E-2</v>
      </c>
      <c r="AK981" s="31">
        <f t="shared" si="244"/>
        <v>0.90963855421686746</v>
      </c>
      <c r="AL981" s="29">
        <f t="shared" si="245"/>
        <v>0.95</v>
      </c>
      <c r="AM981" s="29">
        <f t="shared" si="246"/>
        <v>541.5</v>
      </c>
      <c r="AN981" s="29">
        <f t="shared" si="247"/>
        <v>0.91966759002770082</v>
      </c>
      <c r="AO981" s="29">
        <f t="shared" si="248"/>
        <v>1.0526315789473684</v>
      </c>
      <c r="AP981" s="31">
        <f t="shared" si="249"/>
        <v>0.87368421052631584</v>
      </c>
      <c r="AQ981" s="31">
        <f t="shared" si="250"/>
        <v>0.90963855421686746</v>
      </c>
      <c r="AR981" s="31">
        <f t="shared" si="251"/>
        <v>0.71904761904761927</v>
      </c>
      <c r="AS981" s="29">
        <f t="shared" si="252"/>
        <v>32.830722891566268</v>
      </c>
      <c r="AT981" s="29">
        <f t="shared" si="253"/>
        <v>8.1358232931726899</v>
      </c>
      <c r="AU981" s="27" t="str">
        <f t="shared" si="254"/>
        <v>High</v>
      </c>
      <c r="AV981" s="27" t="str">
        <f t="shared" si="255"/>
        <v>Critical</v>
      </c>
      <c r="AW981" s="27"/>
    </row>
    <row r="982" spans="1:49" x14ac:dyDescent="0.25">
      <c r="A982" s="27">
        <v>981</v>
      </c>
      <c r="B982" s="28">
        <v>46116</v>
      </c>
      <c r="C982" s="28" t="str">
        <f t="shared" si="240"/>
        <v>April</v>
      </c>
      <c r="D982" s="27" t="s">
        <v>47</v>
      </c>
      <c r="E982" s="27" t="s">
        <v>129</v>
      </c>
      <c r="F982" s="27" t="s">
        <v>151</v>
      </c>
      <c r="G982" s="27" t="s">
        <v>78</v>
      </c>
      <c r="H982" s="27" t="s">
        <v>124</v>
      </c>
      <c r="I982" s="27" t="s">
        <v>1105</v>
      </c>
      <c r="J982" s="27" t="s">
        <v>86</v>
      </c>
      <c r="K982" s="27">
        <v>541</v>
      </c>
      <c r="L982" s="27">
        <v>442</v>
      </c>
      <c r="M982" s="27">
        <v>404</v>
      </c>
      <c r="N982" s="27">
        <v>38</v>
      </c>
      <c r="O982" s="27">
        <v>12</v>
      </c>
      <c r="P982" s="27">
        <v>36</v>
      </c>
      <c r="Q982" s="27" t="s">
        <v>54</v>
      </c>
      <c r="R982" s="27">
        <v>57</v>
      </c>
      <c r="S982" s="27">
        <v>58</v>
      </c>
      <c r="T982" s="29">
        <v>77.900000000000006</v>
      </c>
      <c r="U982" s="29">
        <v>1.9</v>
      </c>
      <c r="V982" s="29">
        <v>18.25</v>
      </c>
      <c r="W982" s="30">
        <v>11433.21</v>
      </c>
      <c r="X982" s="27">
        <v>8.49</v>
      </c>
      <c r="Y982" s="27" t="s">
        <v>71</v>
      </c>
      <c r="Z982" s="29">
        <v>51</v>
      </c>
      <c r="AA982" s="30">
        <v>18485.71</v>
      </c>
      <c r="AB982" s="29">
        <v>0.91402714932126705</v>
      </c>
      <c r="AC982" s="30">
        <v>15417.96</v>
      </c>
      <c r="AD982" s="30">
        <v>310.40389140271498</v>
      </c>
      <c r="AE982" s="27">
        <v>513.95000000000005</v>
      </c>
      <c r="AF982" s="29">
        <v>0.92995427570775402</v>
      </c>
      <c r="AG982" s="30">
        <v>2757.3461085972899</v>
      </c>
      <c r="AH982" s="31">
        <f t="shared" si="241"/>
        <v>0.81700554528650648</v>
      </c>
      <c r="AI982" s="31">
        <f t="shared" si="242"/>
        <v>8.5972850678733032E-2</v>
      </c>
      <c r="AJ982" s="31">
        <f t="shared" si="243"/>
        <v>2.7149321266968326E-2</v>
      </c>
      <c r="AK982" s="31">
        <f t="shared" si="244"/>
        <v>0.91402714932126694</v>
      </c>
      <c r="AL982" s="29">
        <f t="shared" si="245"/>
        <v>0.6</v>
      </c>
      <c r="AM982" s="29">
        <f t="shared" si="246"/>
        <v>477.95000000000005</v>
      </c>
      <c r="AN982" s="29">
        <f t="shared" si="247"/>
        <v>0.924782927084423</v>
      </c>
      <c r="AO982" s="29">
        <f t="shared" si="248"/>
        <v>1.0526315789473684</v>
      </c>
      <c r="AP982" s="31">
        <f t="shared" si="249"/>
        <v>0.8785437807302019</v>
      </c>
      <c r="AQ982" s="31">
        <f t="shared" si="250"/>
        <v>0.91402714932126694</v>
      </c>
      <c r="AR982" s="31">
        <f t="shared" si="251"/>
        <v>0.74676524953789314</v>
      </c>
      <c r="AS982" s="29">
        <f t="shared" si="252"/>
        <v>34.882262443438911</v>
      </c>
      <c r="AT982" s="29">
        <f t="shared" si="253"/>
        <v>6.238339612211063</v>
      </c>
      <c r="AU982" s="27" t="str">
        <f t="shared" si="254"/>
        <v>High</v>
      </c>
      <c r="AV982" s="27" t="str">
        <f t="shared" si="255"/>
        <v>Critical</v>
      </c>
      <c r="AW982" s="27"/>
    </row>
    <row r="983" spans="1:49" x14ac:dyDescent="0.25">
      <c r="A983" s="27">
        <v>982</v>
      </c>
      <c r="B983" s="28">
        <v>46161</v>
      </c>
      <c r="C983" s="28" t="str">
        <f t="shared" si="240"/>
        <v>May</v>
      </c>
      <c r="D983" s="27" t="s">
        <v>47</v>
      </c>
      <c r="E983" s="27" t="s">
        <v>129</v>
      </c>
      <c r="F983" s="27" t="s">
        <v>167</v>
      </c>
      <c r="G983" s="27" t="s">
        <v>63</v>
      </c>
      <c r="H983" s="27" t="s">
        <v>124</v>
      </c>
      <c r="I983" s="27" t="s">
        <v>1106</v>
      </c>
      <c r="J983" s="27" t="s">
        <v>132</v>
      </c>
      <c r="K983" s="27">
        <v>640</v>
      </c>
      <c r="L983" s="27">
        <v>593</v>
      </c>
      <c r="M983" s="27">
        <v>547</v>
      </c>
      <c r="N983" s="27">
        <v>46</v>
      </c>
      <c r="O983" s="27">
        <v>10</v>
      </c>
      <c r="P983" s="27">
        <v>33</v>
      </c>
      <c r="Q983" s="27" t="s">
        <v>54</v>
      </c>
      <c r="R983" s="27">
        <v>57</v>
      </c>
      <c r="S983" s="27">
        <v>62</v>
      </c>
      <c r="T983" s="29">
        <v>70.5</v>
      </c>
      <c r="U983" s="29">
        <v>1.92</v>
      </c>
      <c r="V983" s="29">
        <v>19.309999999999999</v>
      </c>
      <c r="W983" s="30">
        <v>15354.82</v>
      </c>
      <c r="X983" s="27">
        <v>7.52</v>
      </c>
      <c r="Y983" s="27" t="s">
        <v>55</v>
      </c>
      <c r="Z983" s="29">
        <v>1</v>
      </c>
      <c r="AA983" s="30">
        <v>24641.97</v>
      </c>
      <c r="AB983" s="29">
        <v>0.92242833052276596</v>
      </c>
      <c r="AC983" s="30">
        <v>18912.61</v>
      </c>
      <c r="AD983" s="30">
        <v>258.93456998313701</v>
      </c>
      <c r="AE983" s="27">
        <v>608</v>
      </c>
      <c r="AF983" s="29">
        <v>0.94572368421052599</v>
      </c>
      <c r="AG983" s="30">
        <v>5470.4254300168604</v>
      </c>
      <c r="AH983" s="31">
        <f t="shared" si="241"/>
        <v>0.92656249999999996</v>
      </c>
      <c r="AI983" s="31">
        <f t="shared" si="242"/>
        <v>7.7571669477234401E-2</v>
      </c>
      <c r="AJ983" s="31">
        <f t="shared" si="243"/>
        <v>1.6863406408094434E-2</v>
      </c>
      <c r="AK983" s="31">
        <f t="shared" si="244"/>
        <v>0.92242833052276563</v>
      </c>
      <c r="AL983" s="29">
        <f t="shared" si="245"/>
        <v>0.55000000000000004</v>
      </c>
      <c r="AM983" s="29">
        <f t="shared" si="246"/>
        <v>575</v>
      </c>
      <c r="AN983" s="29">
        <f t="shared" si="247"/>
        <v>1.031304347826087</v>
      </c>
      <c r="AO983" s="29">
        <f t="shared" si="248"/>
        <v>1.0526315789473684</v>
      </c>
      <c r="AP983" s="31">
        <f t="shared" si="249"/>
        <v>0.97973913043478278</v>
      </c>
      <c r="AQ983" s="31">
        <f t="shared" si="250"/>
        <v>0.92242833052276563</v>
      </c>
      <c r="AR983" s="31">
        <f t="shared" si="251"/>
        <v>0.85468749999999993</v>
      </c>
      <c r="AS983" s="29">
        <f t="shared" si="252"/>
        <v>31.893102866779092</v>
      </c>
      <c r="AT983" s="29">
        <f t="shared" si="253"/>
        <v>9.2250007251549082</v>
      </c>
      <c r="AU983" s="27" t="str">
        <f t="shared" si="254"/>
        <v>Low</v>
      </c>
      <c r="AV983" s="27" t="str">
        <f t="shared" si="255"/>
        <v>Normal</v>
      </c>
      <c r="AW983" s="27"/>
    </row>
    <row r="984" spans="1:49" x14ac:dyDescent="0.25">
      <c r="A984" s="27">
        <v>983</v>
      </c>
      <c r="B984" s="28">
        <v>46072</v>
      </c>
      <c r="C984" s="28" t="str">
        <f t="shared" si="240"/>
        <v>February</v>
      </c>
      <c r="D984" s="27" t="s">
        <v>67</v>
      </c>
      <c r="E984" s="27" t="s">
        <v>76</v>
      </c>
      <c r="F984" s="27" t="s">
        <v>113</v>
      </c>
      <c r="G984" s="27" t="s">
        <v>63</v>
      </c>
      <c r="H984" s="27" t="s">
        <v>51</v>
      </c>
      <c r="I984" s="27" t="s">
        <v>1107</v>
      </c>
      <c r="J984" s="27" t="s">
        <v>109</v>
      </c>
      <c r="K984" s="27">
        <v>767</v>
      </c>
      <c r="L984" s="27">
        <v>652</v>
      </c>
      <c r="M984" s="27">
        <v>625</v>
      </c>
      <c r="N984" s="27">
        <v>27</v>
      </c>
      <c r="O984" s="27">
        <v>5</v>
      </c>
      <c r="P984" s="27">
        <v>8</v>
      </c>
      <c r="Q984" s="27" t="s">
        <v>102</v>
      </c>
      <c r="R984" s="27">
        <v>42</v>
      </c>
      <c r="S984" s="27">
        <v>41</v>
      </c>
      <c r="T984" s="29">
        <v>78.2</v>
      </c>
      <c r="U984" s="29">
        <v>1.76</v>
      </c>
      <c r="V984" s="29">
        <v>26.01</v>
      </c>
      <c r="W984" s="30">
        <v>11619.43</v>
      </c>
      <c r="X984" s="27">
        <v>8.83</v>
      </c>
      <c r="Y984" s="27" t="s">
        <v>71</v>
      </c>
      <c r="Z984" s="29">
        <v>24</v>
      </c>
      <c r="AA984" s="30">
        <v>20513.169999999998</v>
      </c>
      <c r="AB984" s="29">
        <v>0.95858895705521496</v>
      </c>
      <c r="AC984" s="30">
        <v>15827.02</v>
      </c>
      <c r="AD984" s="30">
        <v>89.106058282208593</v>
      </c>
      <c r="AE984" s="27">
        <v>536.9</v>
      </c>
      <c r="AF984" s="29">
        <v>0.98509964611659495</v>
      </c>
      <c r="AG984" s="30">
        <v>4597.0439417177904</v>
      </c>
      <c r="AH984" s="31">
        <f t="shared" si="241"/>
        <v>0.85006518904823991</v>
      </c>
      <c r="AI984" s="31">
        <f t="shared" si="242"/>
        <v>4.1411042944785273E-2</v>
      </c>
      <c r="AJ984" s="31">
        <f t="shared" si="243"/>
        <v>7.6687116564417178E-3</v>
      </c>
      <c r="AK984" s="31">
        <f t="shared" si="244"/>
        <v>0.95858895705521474</v>
      </c>
      <c r="AL984" s="29">
        <f t="shared" si="245"/>
        <v>0.13333333333333333</v>
      </c>
      <c r="AM984" s="29">
        <f t="shared" si="246"/>
        <v>528.9</v>
      </c>
      <c r="AN984" s="29">
        <f t="shared" si="247"/>
        <v>1.2327472111930422</v>
      </c>
      <c r="AO984" s="29">
        <f t="shared" si="248"/>
        <v>1.4285714285714286</v>
      </c>
      <c r="AP984" s="31">
        <f t="shared" si="249"/>
        <v>0.86292304783512952</v>
      </c>
      <c r="AQ984" s="31">
        <f t="shared" si="250"/>
        <v>0.95858895705521474</v>
      </c>
      <c r="AR984" s="31">
        <f t="shared" si="251"/>
        <v>0.81486310299869591</v>
      </c>
      <c r="AS984" s="29">
        <f t="shared" si="252"/>
        <v>24.274570552147239</v>
      </c>
      <c r="AT984" s="29">
        <f t="shared" si="253"/>
        <v>7.0506808922052002</v>
      </c>
      <c r="AU984" s="27" t="str">
        <f t="shared" si="254"/>
        <v>High</v>
      </c>
      <c r="AV984" s="27" t="str">
        <f t="shared" si="255"/>
        <v>Warning</v>
      </c>
      <c r="AW984" s="27"/>
    </row>
    <row r="985" spans="1:49" x14ac:dyDescent="0.25">
      <c r="A985" s="27">
        <v>984</v>
      </c>
      <c r="B985" s="28">
        <v>46065</v>
      </c>
      <c r="C985" s="28" t="str">
        <f t="shared" si="240"/>
        <v>February</v>
      </c>
      <c r="D985" s="27" t="s">
        <v>47</v>
      </c>
      <c r="E985" s="27" t="s">
        <v>48</v>
      </c>
      <c r="F985" s="27" t="s">
        <v>56</v>
      </c>
      <c r="G985" s="27" t="s">
        <v>50</v>
      </c>
      <c r="H985" s="27" t="s">
        <v>124</v>
      </c>
      <c r="I985" s="27" t="s">
        <v>1108</v>
      </c>
      <c r="J985" s="27" t="s">
        <v>155</v>
      </c>
      <c r="K985" s="27">
        <v>645</v>
      </c>
      <c r="L985" s="27">
        <v>638</v>
      </c>
      <c r="M985" s="27">
        <v>608</v>
      </c>
      <c r="N985" s="27">
        <v>30</v>
      </c>
      <c r="O985" s="27">
        <v>12</v>
      </c>
      <c r="P985" s="27">
        <v>47</v>
      </c>
      <c r="Q985" s="27" t="s">
        <v>94</v>
      </c>
      <c r="R985" s="27">
        <v>57</v>
      </c>
      <c r="S985" s="27">
        <v>55</v>
      </c>
      <c r="T985" s="29">
        <v>72.8</v>
      </c>
      <c r="U985" s="29">
        <v>2.0299999999999998</v>
      </c>
      <c r="V985" s="29">
        <v>20.9</v>
      </c>
      <c r="W985" s="30">
        <v>18317.099999999999</v>
      </c>
      <c r="X985" s="27">
        <v>10.199999999999999</v>
      </c>
      <c r="Y985" s="27" t="s">
        <v>55</v>
      </c>
      <c r="Z985" s="29">
        <v>1</v>
      </c>
      <c r="AA985" s="30">
        <v>27258.51</v>
      </c>
      <c r="AB985" s="29">
        <v>0.95297805642633204</v>
      </c>
      <c r="AC985" s="30">
        <v>23095.200000000001</v>
      </c>
      <c r="AD985" s="30">
        <v>344.52225705329101</v>
      </c>
      <c r="AE985" s="27">
        <v>612.75</v>
      </c>
      <c r="AF985" s="29">
        <v>0.92329661362709103</v>
      </c>
      <c r="AG985" s="30">
        <v>3818.7877429467098</v>
      </c>
      <c r="AH985" s="31">
        <f t="shared" si="241"/>
        <v>0.98914728682170538</v>
      </c>
      <c r="AI985" s="31">
        <f t="shared" si="242"/>
        <v>4.7021943573667714E-2</v>
      </c>
      <c r="AJ985" s="31">
        <f t="shared" si="243"/>
        <v>1.8808777429467086E-2</v>
      </c>
      <c r="AK985" s="31">
        <f t="shared" si="244"/>
        <v>0.95297805642633227</v>
      </c>
      <c r="AL985" s="29">
        <f t="shared" si="245"/>
        <v>0.78333333333333333</v>
      </c>
      <c r="AM985" s="29">
        <f t="shared" si="246"/>
        <v>565.75</v>
      </c>
      <c r="AN985" s="29">
        <f t="shared" si="247"/>
        <v>1.1277065841802916</v>
      </c>
      <c r="AO985" s="29">
        <f t="shared" si="248"/>
        <v>1.0526315789473684</v>
      </c>
      <c r="AP985" s="31">
        <f t="shared" si="249"/>
        <v>1.0713212549712769</v>
      </c>
      <c r="AQ985" s="31">
        <f t="shared" si="250"/>
        <v>0.95297805642633227</v>
      </c>
      <c r="AR985" s="31">
        <f t="shared" si="251"/>
        <v>0.94263565891472867</v>
      </c>
      <c r="AS985" s="29">
        <f t="shared" si="252"/>
        <v>36.199373040752356</v>
      </c>
      <c r="AT985" s="29">
        <f t="shared" si="253"/>
        <v>5.9855607256218022</v>
      </c>
      <c r="AU985" s="27" t="str">
        <f t="shared" si="254"/>
        <v>Low</v>
      </c>
      <c r="AV985" s="27" t="str">
        <f t="shared" si="255"/>
        <v>Normal</v>
      </c>
      <c r="AW985" s="27"/>
    </row>
    <row r="986" spans="1:49" x14ac:dyDescent="0.25">
      <c r="A986" s="27">
        <v>985</v>
      </c>
      <c r="B986" s="28">
        <v>46108</v>
      </c>
      <c r="C986" s="28" t="str">
        <f t="shared" si="240"/>
        <v>March</v>
      </c>
      <c r="D986" s="27" t="s">
        <v>47</v>
      </c>
      <c r="E986" s="27" t="s">
        <v>76</v>
      </c>
      <c r="F986" s="27" t="s">
        <v>77</v>
      </c>
      <c r="G986" s="27" t="s">
        <v>78</v>
      </c>
      <c r="H986" s="27" t="s">
        <v>79</v>
      </c>
      <c r="I986" s="27" t="s">
        <v>1109</v>
      </c>
      <c r="J986" s="27" t="s">
        <v>84</v>
      </c>
      <c r="K986" s="27">
        <v>829</v>
      </c>
      <c r="L986" s="27">
        <v>736</v>
      </c>
      <c r="M986" s="27">
        <v>689</v>
      </c>
      <c r="N986" s="27">
        <v>47</v>
      </c>
      <c r="O986" s="27">
        <v>11</v>
      </c>
      <c r="P986" s="27">
        <v>55</v>
      </c>
      <c r="Q986" s="27" t="s">
        <v>54</v>
      </c>
      <c r="R986" s="27">
        <v>49</v>
      </c>
      <c r="S986" s="27">
        <v>49</v>
      </c>
      <c r="T986" s="29">
        <v>75</v>
      </c>
      <c r="U986" s="29">
        <v>1.51</v>
      </c>
      <c r="V986" s="29">
        <v>27.99</v>
      </c>
      <c r="W986" s="30">
        <v>16307.12</v>
      </c>
      <c r="X986" s="27">
        <v>8.4700000000000006</v>
      </c>
      <c r="Y986" s="27" t="s">
        <v>55</v>
      </c>
      <c r="Z986" s="29">
        <v>18</v>
      </c>
      <c r="AA986" s="30">
        <v>26960.21</v>
      </c>
      <c r="AB986" s="29">
        <v>0.93614130434782605</v>
      </c>
      <c r="AC986" s="30">
        <v>20370.53</v>
      </c>
      <c r="AD986" s="30">
        <v>243.72054347826099</v>
      </c>
      <c r="AE986" s="27">
        <v>677.01666666666699</v>
      </c>
      <c r="AF986" s="29">
        <v>0.91876123187513903</v>
      </c>
      <c r="AG986" s="30">
        <v>6345.9594565217403</v>
      </c>
      <c r="AH986" s="31">
        <f t="shared" si="241"/>
        <v>0.887816646562123</v>
      </c>
      <c r="AI986" s="31">
        <f t="shared" si="242"/>
        <v>6.3858695652173919E-2</v>
      </c>
      <c r="AJ986" s="31">
        <f t="shared" si="243"/>
        <v>1.4945652173913044E-2</v>
      </c>
      <c r="AK986" s="31">
        <f t="shared" si="244"/>
        <v>0.93614130434782605</v>
      </c>
      <c r="AL986" s="29">
        <f t="shared" si="245"/>
        <v>0.91666666666666663</v>
      </c>
      <c r="AM986" s="29">
        <f t="shared" si="246"/>
        <v>622.01666666666699</v>
      </c>
      <c r="AN986" s="29">
        <f t="shared" si="247"/>
        <v>1.1832480372980354</v>
      </c>
      <c r="AO986" s="29">
        <f t="shared" si="248"/>
        <v>1.2244897959183674</v>
      </c>
      <c r="AP986" s="31">
        <f t="shared" si="249"/>
        <v>0.96631923046006218</v>
      </c>
      <c r="AQ986" s="31">
        <f t="shared" si="250"/>
        <v>0.93614130434782605</v>
      </c>
      <c r="AR986" s="31">
        <f t="shared" si="251"/>
        <v>0.83112183353437885</v>
      </c>
      <c r="AS986" s="29">
        <f t="shared" si="252"/>
        <v>27.677350543478259</v>
      </c>
      <c r="AT986" s="29">
        <f t="shared" si="253"/>
        <v>8.622227522448016</v>
      </c>
      <c r="AU986" s="27" t="str">
        <f t="shared" si="254"/>
        <v>Medium</v>
      </c>
      <c r="AV986" s="27" t="str">
        <f t="shared" si="255"/>
        <v>Warning</v>
      </c>
      <c r="AW986" s="27"/>
    </row>
    <row r="987" spans="1:49" x14ac:dyDescent="0.25">
      <c r="A987" s="27">
        <v>986</v>
      </c>
      <c r="B987" s="28">
        <v>46141</v>
      </c>
      <c r="C987" s="28" t="str">
        <f t="shared" si="240"/>
        <v>April</v>
      </c>
      <c r="D987" s="27" t="s">
        <v>47</v>
      </c>
      <c r="E987" s="27" t="s">
        <v>98</v>
      </c>
      <c r="F987" s="27" t="s">
        <v>105</v>
      </c>
      <c r="G987" s="27" t="s">
        <v>50</v>
      </c>
      <c r="H987" s="27" t="s">
        <v>57</v>
      </c>
      <c r="I987" s="27" t="s">
        <v>1110</v>
      </c>
      <c r="J987" s="27" t="s">
        <v>218</v>
      </c>
      <c r="K987" s="27">
        <v>808</v>
      </c>
      <c r="L987" s="27">
        <v>770</v>
      </c>
      <c r="M987" s="27">
        <v>723</v>
      </c>
      <c r="N987" s="27">
        <v>47</v>
      </c>
      <c r="O987" s="27">
        <v>12</v>
      </c>
      <c r="P987" s="27">
        <v>47</v>
      </c>
      <c r="Q987" s="27" t="s">
        <v>104</v>
      </c>
      <c r="R987" s="27">
        <v>45</v>
      </c>
      <c r="S987" s="27">
        <v>47</v>
      </c>
      <c r="T987" s="29">
        <v>70.099999999999994</v>
      </c>
      <c r="U987" s="29">
        <v>2.46</v>
      </c>
      <c r="V987" s="29">
        <v>28.84</v>
      </c>
      <c r="W987" s="30">
        <v>15921.7</v>
      </c>
      <c r="X987" s="27">
        <v>9.06</v>
      </c>
      <c r="Y987" s="27" t="s">
        <v>55</v>
      </c>
      <c r="Z987" s="29">
        <v>18</v>
      </c>
      <c r="AA987" s="30">
        <v>25699.09</v>
      </c>
      <c r="AB987" s="29">
        <v>0.938961038961039</v>
      </c>
      <c r="AC987" s="30">
        <v>20258.259999999998</v>
      </c>
      <c r="AD987" s="30">
        <v>248.13038961039001</v>
      </c>
      <c r="AE987" s="27">
        <v>606</v>
      </c>
      <c r="AF987" s="29">
        <v>0.922442244224422</v>
      </c>
      <c r="AG987" s="30">
        <v>5192.6996103896099</v>
      </c>
      <c r="AH987" s="31">
        <f t="shared" si="241"/>
        <v>0.95297029702970293</v>
      </c>
      <c r="AI987" s="31">
        <f t="shared" si="242"/>
        <v>6.1038961038961038E-2</v>
      </c>
      <c r="AJ987" s="31">
        <f t="shared" si="243"/>
        <v>1.5584415584415584E-2</v>
      </c>
      <c r="AK987" s="31">
        <f t="shared" si="244"/>
        <v>0.938961038961039</v>
      </c>
      <c r="AL987" s="29">
        <f t="shared" si="245"/>
        <v>0.78333333333333333</v>
      </c>
      <c r="AM987" s="29">
        <f t="shared" si="246"/>
        <v>559</v>
      </c>
      <c r="AN987" s="29">
        <f t="shared" si="247"/>
        <v>1.3774597495527727</v>
      </c>
      <c r="AO987" s="29">
        <f t="shared" si="248"/>
        <v>1.3333333333333333</v>
      </c>
      <c r="AP987" s="31">
        <f t="shared" si="249"/>
        <v>1.0330948121645795</v>
      </c>
      <c r="AQ987" s="31">
        <f t="shared" si="250"/>
        <v>0.938961038961039</v>
      </c>
      <c r="AR987" s="31">
        <f t="shared" si="251"/>
        <v>0.89480198019801938</v>
      </c>
      <c r="AS987" s="29">
        <f t="shared" si="252"/>
        <v>26.309428571428569</v>
      </c>
      <c r="AT987" s="29">
        <f t="shared" si="253"/>
        <v>6.7437657277787144</v>
      </c>
      <c r="AU987" s="27" t="str">
        <f t="shared" si="254"/>
        <v>Low</v>
      </c>
      <c r="AV987" s="27" t="str">
        <f t="shared" si="255"/>
        <v>Normal</v>
      </c>
      <c r="AW987" s="27"/>
    </row>
    <row r="988" spans="1:49" x14ac:dyDescent="0.25">
      <c r="A988" s="27">
        <v>987</v>
      </c>
      <c r="B988" s="28">
        <v>46070</v>
      </c>
      <c r="C988" s="28" t="str">
        <f t="shared" si="240"/>
        <v>February</v>
      </c>
      <c r="D988" s="27" t="s">
        <v>47</v>
      </c>
      <c r="E988" s="27" t="s">
        <v>61</v>
      </c>
      <c r="F988" s="27" t="s">
        <v>95</v>
      </c>
      <c r="G988" s="27" t="s">
        <v>78</v>
      </c>
      <c r="H988" s="27" t="s">
        <v>124</v>
      </c>
      <c r="I988" s="27" t="s">
        <v>1111</v>
      </c>
      <c r="J988" s="27" t="s">
        <v>150</v>
      </c>
      <c r="K988" s="27">
        <v>696</v>
      </c>
      <c r="L988" s="27">
        <v>591</v>
      </c>
      <c r="M988" s="27">
        <v>557</v>
      </c>
      <c r="N988" s="27">
        <v>34</v>
      </c>
      <c r="O988" s="27">
        <v>10</v>
      </c>
      <c r="P988" s="27">
        <v>13</v>
      </c>
      <c r="Q988" s="27" t="s">
        <v>82</v>
      </c>
      <c r="R988" s="27">
        <v>57</v>
      </c>
      <c r="S988" s="27">
        <v>60</v>
      </c>
      <c r="T988" s="29">
        <v>77.599999999999994</v>
      </c>
      <c r="U988" s="29">
        <v>1.71</v>
      </c>
      <c r="V988" s="29">
        <v>19.329999999999998</v>
      </c>
      <c r="W988" s="30">
        <v>15361.66</v>
      </c>
      <c r="X988" s="27">
        <v>7.23</v>
      </c>
      <c r="Y988" s="27" t="s">
        <v>55</v>
      </c>
      <c r="Z988" s="29">
        <v>35</v>
      </c>
      <c r="AA988" s="30">
        <v>25490.37</v>
      </c>
      <c r="AB988" s="29">
        <v>0.94247038917089698</v>
      </c>
      <c r="AC988" s="30">
        <v>18789.13</v>
      </c>
      <c r="AD988" s="30">
        <v>259.92656514382401</v>
      </c>
      <c r="AE988" s="27">
        <v>661.2</v>
      </c>
      <c r="AF988" s="29">
        <v>0.98033877797943103</v>
      </c>
      <c r="AG988" s="30">
        <v>6441.3134348561698</v>
      </c>
      <c r="AH988" s="31">
        <f t="shared" si="241"/>
        <v>0.84913793103448276</v>
      </c>
      <c r="AI988" s="31">
        <f t="shared" si="242"/>
        <v>5.7529610829103212E-2</v>
      </c>
      <c r="AJ988" s="31">
        <f t="shared" si="243"/>
        <v>1.6920473773265651E-2</v>
      </c>
      <c r="AK988" s="31">
        <f t="shared" si="244"/>
        <v>0.94247038917089676</v>
      </c>
      <c r="AL988" s="29">
        <f t="shared" si="245"/>
        <v>0.21666666666666667</v>
      </c>
      <c r="AM988" s="29">
        <f t="shared" si="246"/>
        <v>648.20000000000005</v>
      </c>
      <c r="AN988" s="29">
        <f t="shared" si="247"/>
        <v>0.91175563097809309</v>
      </c>
      <c r="AO988" s="29">
        <f t="shared" si="248"/>
        <v>1.0526315789473684</v>
      </c>
      <c r="AP988" s="31">
        <f t="shared" si="249"/>
        <v>0.86616784942918845</v>
      </c>
      <c r="AQ988" s="31">
        <f t="shared" si="250"/>
        <v>0.94247038917089676</v>
      </c>
      <c r="AR988" s="31">
        <f t="shared" si="251"/>
        <v>0.80028735632183878</v>
      </c>
      <c r="AS988" s="29">
        <f t="shared" si="252"/>
        <v>31.792098138747885</v>
      </c>
      <c r="AT988" s="29">
        <f t="shared" si="253"/>
        <v>10.89900750398675</v>
      </c>
      <c r="AU988" s="27" t="str">
        <f t="shared" si="254"/>
        <v>Medium</v>
      </c>
      <c r="AV988" s="27" t="str">
        <f t="shared" si="255"/>
        <v>Warning</v>
      </c>
      <c r="AW988" s="27"/>
    </row>
    <row r="989" spans="1:49" x14ac:dyDescent="0.25">
      <c r="A989" s="27">
        <v>988</v>
      </c>
      <c r="B989" s="28">
        <v>46080</v>
      </c>
      <c r="C989" s="28" t="str">
        <f t="shared" si="240"/>
        <v>February</v>
      </c>
      <c r="D989" s="27" t="s">
        <v>67</v>
      </c>
      <c r="E989" s="27" t="s">
        <v>76</v>
      </c>
      <c r="F989" s="27" t="s">
        <v>77</v>
      </c>
      <c r="G989" s="27" t="s">
        <v>50</v>
      </c>
      <c r="H989" s="27" t="s">
        <v>68</v>
      </c>
      <c r="I989" s="27" t="s">
        <v>1112</v>
      </c>
      <c r="J989" s="27" t="s">
        <v>150</v>
      </c>
      <c r="K989" s="27">
        <v>485</v>
      </c>
      <c r="L989" s="27">
        <v>449</v>
      </c>
      <c r="M989" s="27">
        <v>415</v>
      </c>
      <c r="N989" s="27">
        <v>34</v>
      </c>
      <c r="O989" s="27">
        <v>9</v>
      </c>
      <c r="P989" s="27">
        <v>11</v>
      </c>
      <c r="Q989" s="27" t="s">
        <v>54</v>
      </c>
      <c r="R989" s="27">
        <v>64</v>
      </c>
      <c r="S989" s="27">
        <v>68</v>
      </c>
      <c r="T989" s="29">
        <v>69.8</v>
      </c>
      <c r="U989" s="29">
        <v>1.91</v>
      </c>
      <c r="V989" s="29">
        <v>15</v>
      </c>
      <c r="W989" s="30">
        <v>14482.49</v>
      </c>
      <c r="X989" s="27">
        <v>9.2899999999999991</v>
      </c>
      <c r="Y989" s="27" t="s">
        <v>55</v>
      </c>
      <c r="Z989" s="29">
        <v>32</v>
      </c>
      <c r="AA989" s="30">
        <v>21971.95</v>
      </c>
      <c r="AB989" s="29">
        <v>0.92427616926503298</v>
      </c>
      <c r="AC989" s="30">
        <v>18797.990000000002</v>
      </c>
      <c r="AD989" s="30">
        <v>290.29489977728298</v>
      </c>
      <c r="AE989" s="27">
        <v>517.33333333333303</v>
      </c>
      <c r="AF989" s="29">
        <v>0.97873711340206204</v>
      </c>
      <c r="AG989" s="30">
        <v>2883.66510022272</v>
      </c>
      <c r="AH989" s="31">
        <f t="shared" si="241"/>
        <v>0.9257731958762887</v>
      </c>
      <c r="AI989" s="31">
        <f t="shared" si="242"/>
        <v>7.5723830734966593E-2</v>
      </c>
      <c r="AJ989" s="31">
        <f t="shared" si="243"/>
        <v>2.0044543429844099E-2</v>
      </c>
      <c r="AK989" s="31">
        <f t="shared" si="244"/>
        <v>0.92427616926503342</v>
      </c>
      <c r="AL989" s="29">
        <f t="shared" si="245"/>
        <v>0.18333333333333332</v>
      </c>
      <c r="AM989" s="29">
        <f t="shared" si="246"/>
        <v>506.33333333333303</v>
      </c>
      <c r="AN989" s="29">
        <f t="shared" si="247"/>
        <v>0.88676761026991491</v>
      </c>
      <c r="AO989" s="29">
        <f t="shared" si="248"/>
        <v>0.9375</v>
      </c>
      <c r="AP989" s="31">
        <f t="shared" si="249"/>
        <v>0.94588545095457588</v>
      </c>
      <c r="AQ989" s="31">
        <f t="shared" si="250"/>
        <v>0.92427616926503342</v>
      </c>
      <c r="AR989" s="31">
        <f t="shared" si="251"/>
        <v>0.85567010309278413</v>
      </c>
      <c r="AS989" s="29">
        <f t="shared" si="252"/>
        <v>41.86634743875279</v>
      </c>
      <c r="AT989" s="29">
        <f t="shared" si="253"/>
        <v>6.4224167042822273</v>
      </c>
      <c r="AU989" s="27" t="str">
        <f t="shared" si="254"/>
        <v>Medium</v>
      </c>
      <c r="AV989" s="27" t="str">
        <f t="shared" si="255"/>
        <v>Normal</v>
      </c>
      <c r="AW989" s="27"/>
    </row>
    <row r="990" spans="1:49" x14ac:dyDescent="0.25">
      <c r="A990" s="27">
        <v>989</v>
      </c>
      <c r="B990" s="28">
        <v>46025</v>
      </c>
      <c r="C990" s="28" t="str">
        <f t="shared" si="240"/>
        <v>January</v>
      </c>
      <c r="D990" s="27" t="s">
        <v>67</v>
      </c>
      <c r="E990" s="27" t="s">
        <v>98</v>
      </c>
      <c r="F990" s="27" t="s">
        <v>105</v>
      </c>
      <c r="G990" s="27" t="s">
        <v>63</v>
      </c>
      <c r="H990" s="27" t="s">
        <v>68</v>
      </c>
      <c r="I990" s="27" t="s">
        <v>1113</v>
      </c>
      <c r="J990" s="27" t="s">
        <v>134</v>
      </c>
      <c r="K990" s="27">
        <v>504</v>
      </c>
      <c r="L990" s="27">
        <v>434</v>
      </c>
      <c r="M990" s="27">
        <v>403</v>
      </c>
      <c r="N990" s="27">
        <v>31</v>
      </c>
      <c r="O990" s="27">
        <v>6</v>
      </c>
      <c r="P990" s="27">
        <v>22</v>
      </c>
      <c r="Q990" s="27" t="s">
        <v>54</v>
      </c>
      <c r="R990" s="27">
        <v>64</v>
      </c>
      <c r="S990" s="27">
        <v>68</v>
      </c>
      <c r="T990" s="29">
        <v>79.5</v>
      </c>
      <c r="U990" s="29">
        <v>1.5</v>
      </c>
      <c r="V990" s="29">
        <v>16.22</v>
      </c>
      <c r="W990" s="30">
        <v>13101.7</v>
      </c>
      <c r="X990" s="27">
        <v>8.92</v>
      </c>
      <c r="Y990" s="27" t="s">
        <v>71</v>
      </c>
      <c r="Z990" s="29">
        <v>27</v>
      </c>
      <c r="AA990" s="30">
        <v>20810.36</v>
      </c>
      <c r="AB990" s="29">
        <v>0.92857142857142905</v>
      </c>
      <c r="AC990" s="30">
        <v>17261.68</v>
      </c>
      <c r="AD990" s="30">
        <v>181.12949308755799</v>
      </c>
      <c r="AE990" s="27">
        <v>537.6</v>
      </c>
      <c r="AF990" s="29">
        <v>0.95907738095238104</v>
      </c>
      <c r="AG990" s="30">
        <v>3367.5505069124401</v>
      </c>
      <c r="AH990" s="31">
        <f t="shared" si="241"/>
        <v>0.86111111111111116</v>
      </c>
      <c r="AI990" s="31">
        <f t="shared" si="242"/>
        <v>7.1428571428571425E-2</v>
      </c>
      <c r="AJ990" s="31">
        <f t="shared" si="243"/>
        <v>1.3824884792626729E-2</v>
      </c>
      <c r="AK990" s="31">
        <f t="shared" si="244"/>
        <v>0.9285714285714286</v>
      </c>
      <c r="AL990" s="29">
        <f t="shared" si="245"/>
        <v>0.36666666666666664</v>
      </c>
      <c r="AM990" s="29">
        <f t="shared" si="246"/>
        <v>515.6</v>
      </c>
      <c r="AN990" s="29">
        <f t="shared" si="247"/>
        <v>0.84173778122575638</v>
      </c>
      <c r="AO990" s="29">
        <f t="shared" si="248"/>
        <v>0.9375</v>
      </c>
      <c r="AP990" s="31">
        <f t="shared" si="249"/>
        <v>0.89785363330747348</v>
      </c>
      <c r="AQ990" s="31">
        <f t="shared" si="250"/>
        <v>0.9285714285714286</v>
      </c>
      <c r="AR990" s="31">
        <f t="shared" si="251"/>
        <v>0.79960317460317465</v>
      </c>
      <c r="AS990" s="29">
        <f t="shared" si="252"/>
        <v>39.77345622119816</v>
      </c>
      <c r="AT990" s="29">
        <f t="shared" si="253"/>
        <v>7.7593329652360374</v>
      </c>
      <c r="AU990" s="27" t="str">
        <f t="shared" si="254"/>
        <v>High</v>
      </c>
      <c r="AV990" s="27" t="str">
        <f t="shared" si="255"/>
        <v>Warning</v>
      </c>
      <c r="AW990" s="27"/>
    </row>
    <row r="991" spans="1:49" x14ac:dyDescent="0.25">
      <c r="A991" s="27">
        <v>990</v>
      </c>
      <c r="B991" s="28">
        <v>46150</v>
      </c>
      <c r="C991" s="28" t="str">
        <f t="shared" si="240"/>
        <v>May</v>
      </c>
      <c r="D991" s="27" t="s">
        <v>67</v>
      </c>
      <c r="E991" s="27" t="s">
        <v>48</v>
      </c>
      <c r="F991" s="27" t="s">
        <v>72</v>
      </c>
      <c r="G991" s="27" t="s">
        <v>50</v>
      </c>
      <c r="H991" s="27" t="s">
        <v>79</v>
      </c>
      <c r="I991" s="27" t="s">
        <v>1114</v>
      </c>
      <c r="J991" s="27" t="s">
        <v>150</v>
      </c>
      <c r="K991" s="27">
        <v>742</v>
      </c>
      <c r="L991" s="27">
        <v>827</v>
      </c>
      <c r="M991" s="27">
        <v>786</v>
      </c>
      <c r="N991" s="27">
        <v>41</v>
      </c>
      <c r="O991" s="27">
        <v>13</v>
      </c>
      <c r="P991" s="27">
        <v>37</v>
      </c>
      <c r="Q991" s="27" t="s">
        <v>102</v>
      </c>
      <c r="R991" s="27">
        <v>49</v>
      </c>
      <c r="S991" s="27">
        <v>49</v>
      </c>
      <c r="T991" s="29">
        <v>74.8</v>
      </c>
      <c r="U991" s="29">
        <v>2.77</v>
      </c>
      <c r="V991" s="29">
        <v>33.94</v>
      </c>
      <c r="W991" s="30">
        <v>17596.57</v>
      </c>
      <c r="X991" s="27">
        <v>9.0500000000000007</v>
      </c>
      <c r="Y991" s="27" t="s">
        <v>71</v>
      </c>
      <c r="Z991" s="29">
        <v>48</v>
      </c>
      <c r="AA991" s="30">
        <v>29222.53</v>
      </c>
      <c r="AB991" s="29">
        <v>0.95042321644498196</v>
      </c>
      <c r="AC991" s="30">
        <v>21974.53</v>
      </c>
      <c r="AD991" s="30">
        <v>276.608718258767</v>
      </c>
      <c r="AE991" s="27">
        <v>605.96666666666704</v>
      </c>
      <c r="AF991" s="29">
        <v>0.93894053578304604</v>
      </c>
      <c r="AG991" s="30">
        <v>6971.3912817412302</v>
      </c>
      <c r="AH991" s="31">
        <f t="shared" si="241"/>
        <v>1.1145552560646901</v>
      </c>
      <c r="AI991" s="31">
        <f t="shared" si="242"/>
        <v>4.9576783555018135E-2</v>
      </c>
      <c r="AJ991" s="31">
        <f t="shared" si="243"/>
        <v>1.5719467956469165E-2</v>
      </c>
      <c r="AK991" s="31">
        <f t="shared" si="244"/>
        <v>0.95042321644498184</v>
      </c>
      <c r="AL991" s="29">
        <f t="shared" si="245"/>
        <v>0.6166666666666667</v>
      </c>
      <c r="AM991" s="29">
        <f t="shared" si="246"/>
        <v>568.96666666666704</v>
      </c>
      <c r="AN991" s="29">
        <f t="shared" si="247"/>
        <v>1.4535122151268371</v>
      </c>
      <c r="AO991" s="29">
        <f t="shared" si="248"/>
        <v>1.2244897959183674</v>
      </c>
      <c r="AP991" s="31">
        <f t="shared" si="249"/>
        <v>1.187034975686917</v>
      </c>
      <c r="AQ991" s="31">
        <f t="shared" si="250"/>
        <v>0.95042321644498184</v>
      </c>
      <c r="AR991" s="31">
        <f t="shared" si="251"/>
        <v>1.0592991913746619</v>
      </c>
      <c r="AS991" s="29">
        <f t="shared" si="252"/>
        <v>26.571378476420797</v>
      </c>
      <c r="AT991" s="29">
        <f t="shared" si="253"/>
        <v>8.429735528103059</v>
      </c>
      <c r="AU991" s="27" t="str">
        <f t="shared" si="254"/>
        <v>High</v>
      </c>
      <c r="AV991" s="27" t="str">
        <f t="shared" si="255"/>
        <v>Normal</v>
      </c>
      <c r="AW991" s="27"/>
    </row>
    <row r="992" spans="1:49" x14ac:dyDescent="0.25">
      <c r="A992" s="27">
        <v>991</v>
      </c>
      <c r="B992" s="28">
        <v>46134</v>
      </c>
      <c r="C992" s="28" t="str">
        <f t="shared" si="240"/>
        <v>April</v>
      </c>
      <c r="D992" s="27" t="s">
        <v>67</v>
      </c>
      <c r="E992" s="27" t="s">
        <v>98</v>
      </c>
      <c r="F992" s="27" t="s">
        <v>126</v>
      </c>
      <c r="G992" s="27" t="s">
        <v>63</v>
      </c>
      <c r="H992" s="27" t="s">
        <v>51</v>
      </c>
      <c r="I992" s="27" t="s">
        <v>1115</v>
      </c>
      <c r="J992" s="27" t="s">
        <v>65</v>
      </c>
      <c r="K992" s="27">
        <v>770</v>
      </c>
      <c r="L992" s="27">
        <v>645</v>
      </c>
      <c r="M992" s="27">
        <v>595</v>
      </c>
      <c r="N992" s="27">
        <v>50</v>
      </c>
      <c r="O992" s="27">
        <v>16</v>
      </c>
      <c r="P992" s="27">
        <v>23</v>
      </c>
      <c r="Q992" s="27" t="s">
        <v>54</v>
      </c>
      <c r="R992" s="27">
        <v>42</v>
      </c>
      <c r="S992" s="27">
        <v>41</v>
      </c>
      <c r="T992" s="29">
        <v>74.599999999999994</v>
      </c>
      <c r="U992" s="29">
        <v>2.21</v>
      </c>
      <c r="V992" s="29">
        <v>26.76</v>
      </c>
      <c r="W992" s="30">
        <v>11517.13</v>
      </c>
      <c r="X992" s="27">
        <v>8.4</v>
      </c>
      <c r="Y992" s="27" t="s">
        <v>110</v>
      </c>
      <c r="Z992" s="29">
        <v>39</v>
      </c>
      <c r="AA992" s="30">
        <v>18921.439999999999</v>
      </c>
      <c r="AB992" s="29">
        <v>0.92248062015503896</v>
      </c>
      <c r="AC992" s="30">
        <v>15537.97</v>
      </c>
      <c r="AD992" s="30">
        <v>285.696248062015</v>
      </c>
      <c r="AE992" s="27">
        <v>539</v>
      </c>
      <c r="AF992" s="29">
        <v>0.95732838589981495</v>
      </c>
      <c r="AG992" s="30">
        <v>3097.7737519379798</v>
      </c>
      <c r="AH992" s="31">
        <f t="shared" si="241"/>
        <v>0.83766233766233766</v>
      </c>
      <c r="AI992" s="31">
        <f t="shared" si="242"/>
        <v>7.7519379844961239E-2</v>
      </c>
      <c r="AJ992" s="31">
        <f t="shared" si="243"/>
        <v>2.4806201550387597E-2</v>
      </c>
      <c r="AK992" s="31">
        <f t="shared" si="244"/>
        <v>0.92248062015503873</v>
      </c>
      <c r="AL992" s="29">
        <f t="shared" si="245"/>
        <v>0.38333333333333336</v>
      </c>
      <c r="AM992" s="29">
        <f t="shared" si="246"/>
        <v>516</v>
      </c>
      <c r="AN992" s="29">
        <f t="shared" si="247"/>
        <v>1.25</v>
      </c>
      <c r="AO992" s="29">
        <f t="shared" si="248"/>
        <v>1.4285714285714286</v>
      </c>
      <c r="AP992" s="31">
        <f t="shared" si="249"/>
        <v>0.875</v>
      </c>
      <c r="AQ992" s="31">
        <f t="shared" si="250"/>
        <v>0.92248062015503873</v>
      </c>
      <c r="AR992" s="31">
        <f t="shared" si="251"/>
        <v>0.77272727272727315</v>
      </c>
      <c r="AS992" s="29">
        <f t="shared" si="252"/>
        <v>24.089875968992246</v>
      </c>
      <c r="AT992" s="29">
        <f t="shared" si="253"/>
        <v>4.8027500030046202</v>
      </c>
      <c r="AU992" s="27" t="str">
        <f t="shared" si="254"/>
        <v>High</v>
      </c>
      <c r="AV992" s="27" t="str">
        <f t="shared" si="255"/>
        <v>Warning</v>
      </c>
      <c r="AW992" s="27"/>
    </row>
    <row r="993" spans="1:49" x14ac:dyDescent="0.25">
      <c r="A993" s="27">
        <v>992</v>
      </c>
      <c r="B993" s="28">
        <v>46055</v>
      </c>
      <c r="C993" s="28" t="str">
        <f t="shared" si="240"/>
        <v>February</v>
      </c>
      <c r="D993" s="27" t="s">
        <v>67</v>
      </c>
      <c r="E993" s="27" t="s">
        <v>48</v>
      </c>
      <c r="F993" s="27" t="s">
        <v>72</v>
      </c>
      <c r="G993" s="27" t="s">
        <v>50</v>
      </c>
      <c r="H993" s="27" t="s">
        <v>51</v>
      </c>
      <c r="I993" s="27" t="s">
        <v>1116</v>
      </c>
      <c r="J993" s="27" t="s">
        <v>65</v>
      </c>
      <c r="K993" s="27">
        <v>976</v>
      </c>
      <c r="L993" s="27">
        <v>928</v>
      </c>
      <c r="M993" s="27">
        <v>903</v>
      </c>
      <c r="N993" s="27">
        <v>25</v>
      </c>
      <c r="O993" s="27">
        <v>8</v>
      </c>
      <c r="P993" s="27">
        <v>0</v>
      </c>
      <c r="Q993" s="27" t="s">
        <v>60</v>
      </c>
      <c r="R993" s="27">
        <v>42</v>
      </c>
      <c r="S993" s="27">
        <v>42</v>
      </c>
      <c r="T993" s="29">
        <v>72.599999999999994</v>
      </c>
      <c r="U993" s="29">
        <v>2.16</v>
      </c>
      <c r="V993" s="29">
        <v>27.27</v>
      </c>
      <c r="W993" s="30">
        <v>16639.61</v>
      </c>
      <c r="X993" s="27">
        <v>8.02</v>
      </c>
      <c r="Y993" s="27" t="s">
        <v>55</v>
      </c>
      <c r="Z993" s="29">
        <v>29</v>
      </c>
      <c r="AA993" s="30">
        <v>29076.65</v>
      </c>
      <c r="AB993" s="29">
        <v>0.97306034482758597</v>
      </c>
      <c r="AC993" s="30">
        <v>20494.04</v>
      </c>
      <c r="AD993" s="30">
        <v>143.44491379310301</v>
      </c>
      <c r="AE993" s="27">
        <v>683.2</v>
      </c>
      <c r="AF993" s="29">
        <v>1</v>
      </c>
      <c r="AG993" s="30">
        <v>8439.1650862069</v>
      </c>
      <c r="AH993" s="31">
        <f t="shared" si="241"/>
        <v>0.95081967213114749</v>
      </c>
      <c r="AI993" s="31">
        <f t="shared" si="242"/>
        <v>2.6939655172413791E-2</v>
      </c>
      <c r="AJ993" s="31">
        <f t="shared" si="243"/>
        <v>8.6206896551724137E-3</v>
      </c>
      <c r="AK993" s="31">
        <f t="shared" si="244"/>
        <v>0.97306034482758619</v>
      </c>
      <c r="AL993" s="29">
        <f t="shared" si="245"/>
        <v>0</v>
      </c>
      <c r="AM993" s="29">
        <f t="shared" si="246"/>
        <v>683.2</v>
      </c>
      <c r="AN993" s="29">
        <f t="shared" si="247"/>
        <v>1.3583138173302107</v>
      </c>
      <c r="AO993" s="29">
        <f t="shared" si="248"/>
        <v>1.4285714285714286</v>
      </c>
      <c r="AP993" s="31">
        <f t="shared" si="249"/>
        <v>0.95081967213114749</v>
      </c>
      <c r="AQ993" s="31">
        <f t="shared" si="250"/>
        <v>0.97306034482758619</v>
      </c>
      <c r="AR993" s="31">
        <f t="shared" si="251"/>
        <v>0.92520491803278682</v>
      </c>
      <c r="AS993" s="29">
        <f t="shared" si="252"/>
        <v>22.084094827586206</v>
      </c>
      <c r="AT993" s="29">
        <f t="shared" si="253"/>
        <v>9.0939278946195046</v>
      </c>
      <c r="AU993" s="27" t="str">
        <f t="shared" si="254"/>
        <v>Low</v>
      </c>
      <c r="AV993" s="27" t="str">
        <f t="shared" si="255"/>
        <v>Normal</v>
      </c>
      <c r="AW993" s="27"/>
    </row>
    <row r="994" spans="1:49" x14ac:dyDescent="0.25">
      <c r="A994" s="27">
        <v>993</v>
      </c>
      <c r="B994" s="28">
        <v>46044</v>
      </c>
      <c r="C994" s="28" t="str">
        <f t="shared" si="240"/>
        <v>January</v>
      </c>
      <c r="D994" s="27" t="s">
        <v>47</v>
      </c>
      <c r="E994" s="27" t="s">
        <v>48</v>
      </c>
      <c r="F994" s="27" t="s">
        <v>72</v>
      </c>
      <c r="G994" s="27" t="s">
        <v>63</v>
      </c>
      <c r="H994" s="27" t="s">
        <v>51</v>
      </c>
      <c r="I994" s="27" t="s">
        <v>1117</v>
      </c>
      <c r="J994" s="27" t="s">
        <v>226</v>
      </c>
      <c r="K994" s="27">
        <v>940</v>
      </c>
      <c r="L994" s="27">
        <v>797</v>
      </c>
      <c r="M994" s="27">
        <v>762</v>
      </c>
      <c r="N994" s="27">
        <v>35</v>
      </c>
      <c r="O994" s="27">
        <v>9</v>
      </c>
      <c r="P994" s="27">
        <v>49</v>
      </c>
      <c r="Q994" s="27" t="s">
        <v>75</v>
      </c>
      <c r="R994" s="27">
        <v>42</v>
      </c>
      <c r="S994" s="27">
        <v>45</v>
      </c>
      <c r="T994" s="29">
        <v>77.7</v>
      </c>
      <c r="U994" s="29">
        <v>1.61</v>
      </c>
      <c r="V994" s="29">
        <v>32.700000000000003</v>
      </c>
      <c r="W994" s="30">
        <v>14959.74</v>
      </c>
      <c r="X994" s="27">
        <v>8.6199999999999992</v>
      </c>
      <c r="Y994" s="27" t="s">
        <v>55</v>
      </c>
      <c r="Z994" s="29">
        <v>37</v>
      </c>
      <c r="AA994" s="30">
        <v>24070.400000000001</v>
      </c>
      <c r="AB994" s="29">
        <v>0.95608531994981205</v>
      </c>
      <c r="AC994" s="30">
        <v>19133.04</v>
      </c>
      <c r="AD994" s="30">
        <v>168.93056461731501</v>
      </c>
      <c r="AE994" s="27">
        <v>658</v>
      </c>
      <c r="AF994" s="29">
        <v>0.92553191489361697</v>
      </c>
      <c r="AG994" s="30">
        <v>4768.4294353826899</v>
      </c>
      <c r="AH994" s="31">
        <f t="shared" si="241"/>
        <v>0.84787234042553195</v>
      </c>
      <c r="AI994" s="31">
        <f t="shared" si="242"/>
        <v>4.3914680050188205E-2</v>
      </c>
      <c r="AJ994" s="31">
        <f t="shared" si="243"/>
        <v>1.1292346298619825E-2</v>
      </c>
      <c r="AK994" s="31">
        <f t="shared" si="244"/>
        <v>0.95608531994981183</v>
      </c>
      <c r="AL994" s="29">
        <f t="shared" si="245"/>
        <v>0.81666666666666665</v>
      </c>
      <c r="AM994" s="29">
        <f t="shared" si="246"/>
        <v>609</v>
      </c>
      <c r="AN994" s="29">
        <f t="shared" si="247"/>
        <v>1.3087027914614122</v>
      </c>
      <c r="AO994" s="29">
        <f t="shared" si="248"/>
        <v>1.4285714285714286</v>
      </c>
      <c r="AP994" s="31">
        <f t="shared" si="249"/>
        <v>0.91609195402298849</v>
      </c>
      <c r="AQ994" s="31">
        <f t="shared" si="250"/>
        <v>0.95608531994981183</v>
      </c>
      <c r="AR994" s="31">
        <f t="shared" si="251"/>
        <v>0.81063829787234043</v>
      </c>
      <c r="AS994" s="29">
        <f t="shared" si="252"/>
        <v>24.006323713927227</v>
      </c>
      <c r="AT994" s="29">
        <f t="shared" si="253"/>
        <v>5.9829729427637259</v>
      </c>
      <c r="AU994" s="27" t="str">
        <f t="shared" si="254"/>
        <v>Medium</v>
      </c>
      <c r="AV994" s="27" t="str">
        <f t="shared" si="255"/>
        <v>Warning</v>
      </c>
      <c r="AW994" s="27"/>
    </row>
    <row r="995" spans="1:49" x14ac:dyDescent="0.25">
      <c r="A995" s="27">
        <v>994</v>
      </c>
      <c r="B995" s="28">
        <v>46111</v>
      </c>
      <c r="C995" s="28" t="str">
        <f t="shared" si="240"/>
        <v>March</v>
      </c>
      <c r="D995" s="27" t="s">
        <v>47</v>
      </c>
      <c r="E995" s="27" t="s">
        <v>98</v>
      </c>
      <c r="F995" s="27" t="s">
        <v>126</v>
      </c>
      <c r="G995" s="27" t="s">
        <v>50</v>
      </c>
      <c r="H995" s="27" t="s">
        <v>68</v>
      </c>
      <c r="I995" s="27" t="s">
        <v>1118</v>
      </c>
      <c r="J995" s="27" t="s">
        <v>117</v>
      </c>
      <c r="K995" s="27">
        <v>569</v>
      </c>
      <c r="L995" s="27">
        <v>587</v>
      </c>
      <c r="M995" s="27">
        <v>535</v>
      </c>
      <c r="N995" s="27">
        <v>52</v>
      </c>
      <c r="O995" s="27">
        <v>11</v>
      </c>
      <c r="P995" s="27">
        <v>17</v>
      </c>
      <c r="Q995" s="27" t="s">
        <v>75</v>
      </c>
      <c r="R995" s="27">
        <v>64</v>
      </c>
      <c r="S995" s="27">
        <v>68</v>
      </c>
      <c r="T995" s="29">
        <v>74.8</v>
      </c>
      <c r="U995" s="29">
        <v>1.69</v>
      </c>
      <c r="V995" s="29">
        <v>19.8</v>
      </c>
      <c r="W995" s="30">
        <v>17532.759999999998</v>
      </c>
      <c r="X995" s="27">
        <v>9.52</v>
      </c>
      <c r="Y995" s="27" t="s">
        <v>71</v>
      </c>
      <c r="Z995" s="29">
        <v>22</v>
      </c>
      <c r="AA995" s="30">
        <v>28521.06</v>
      </c>
      <c r="AB995" s="29">
        <v>0.91141396933560503</v>
      </c>
      <c r="AC995" s="30">
        <v>21994.959999999999</v>
      </c>
      <c r="AD995" s="30">
        <v>328.55257240204401</v>
      </c>
      <c r="AE995" s="27">
        <v>606.93333333333305</v>
      </c>
      <c r="AF995" s="29">
        <v>0.97199033391915701</v>
      </c>
      <c r="AG995" s="30">
        <v>6197.5474275979604</v>
      </c>
      <c r="AH995" s="31">
        <f t="shared" si="241"/>
        <v>1.031634446397188</v>
      </c>
      <c r="AI995" s="31">
        <f t="shared" si="242"/>
        <v>8.8586030664395229E-2</v>
      </c>
      <c r="AJ995" s="31">
        <f t="shared" si="243"/>
        <v>1.8739352640545145E-2</v>
      </c>
      <c r="AK995" s="31">
        <f t="shared" si="244"/>
        <v>0.91141396933560481</v>
      </c>
      <c r="AL995" s="29">
        <f t="shared" si="245"/>
        <v>0.28333333333333333</v>
      </c>
      <c r="AM995" s="29">
        <f t="shared" si="246"/>
        <v>589.93333333333305</v>
      </c>
      <c r="AN995" s="29">
        <f t="shared" si="247"/>
        <v>0.99502768674426534</v>
      </c>
      <c r="AO995" s="29">
        <f t="shared" si="248"/>
        <v>0.9375</v>
      </c>
      <c r="AP995" s="31">
        <f t="shared" si="249"/>
        <v>1.0613628658605496</v>
      </c>
      <c r="AQ995" s="31">
        <f t="shared" si="250"/>
        <v>0.91141396933560481</v>
      </c>
      <c r="AR995" s="31">
        <f t="shared" si="251"/>
        <v>0.94024604569420145</v>
      </c>
      <c r="AS995" s="29">
        <f t="shared" si="252"/>
        <v>37.470119250425896</v>
      </c>
      <c r="AT995" s="29">
        <f t="shared" si="253"/>
        <v>10.558002432023782</v>
      </c>
      <c r="AU995" s="27" t="str">
        <f t="shared" si="254"/>
        <v>High</v>
      </c>
      <c r="AV995" s="27" t="str">
        <f t="shared" si="255"/>
        <v>Warning</v>
      </c>
      <c r="AW995" s="27"/>
    </row>
    <row r="996" spans="1:49" x14ac:dyDescent="0.25">
      <c r="A996" s="27">
        <v>995</v>
      </c>
      <c r="B996" s="28">
        <v>46194</v>
      </c>
      <c r="C996" s="28" t="str">
        <f t="shared" si="240"/>
        <v>June</v>
      </c>
      <c r="D996" s="27" t="s">
        <v>67</v>
      </c>
      <c r="E996" s="27" t="s">
        <v>61</v>
      </c>
      <c r="F996" s="27" t="s">
        <v>62</v>
      </c>
      <c r="G996" s="27" t="s">
        <v>78</v>
      </c>
      <c r="H996" s="27" t="s">
        <v>57</v>
      </c>
      <c r="I996" s="27" t="s">
        <v>1119</v>
      </c>
      <c r="J996" s="27" t="s">
        <v>226</v>
      </c>
      <c r="K996" s="27">
        <v>709</v>
      </c>
      <c r="L996" s="27">
        <v>661</v>
      </c>
      <c r="M996" s="27">
        <v>622</v>
      </c>
      <c r="N996" s="27">
        <v>39</v>
      </c>
      <c r="O996" s="27">
        <v>13</v>
      </c>
      <c r="P996" s="27">
        <v>0</v>
      </c>
      <c r="Q996" s="27" t="s">
        <v>60</v>
      </c>
      <c r="R996" s="27">
        <v>45</v>
      </c>
      <c r="S996" s="27">
        <v>49</v>
      </c>
      <c r="T996" s="29">
        <v>72.5</v>
      </c>
      <c r="U996" s="29">
        <v>1.55</v>
      </c>
      <c r="V996" s="29">
        <v>22.61</v>
      </c>
      <c r="W996" s="30">
        <v>13814.22</v>
      </c>
      <c r="X996" s="27">
        <v>9.17</v>
      </c>
      <c r="Y996" s="27" t="s">
        <v>66</v>
      </c>
      <c r="Z996" s="29">
        <v>14</v>
      </c>
      <c r="AA996" s="30">
        <v>21320.51</v>
      </c>
      <c r="AB996" s="29">
        <v>0.940998487140696</v>
      </c>
      <c r="AC996" s="30">
        <v>18144.21</v>
      </c>
      <c r="AD996" s="30">
        <v>271.68662632375202</v>
      </c>
      <c r="AE996" s="27">
        <v>531.75</v>
      </c>
      <c r="AF996" s="29">
        <v>1</v>
      </c>
      <c r="AG996" s="30">
        <v>2904.6133736762399</v>
      </c>
      <c r="AH996" s="31">
        <f t="shared" si="241"/>
        <v>0.93229901269393511</v>
      </c>
      <c r="AI996" s="31">
        <f t="shared" si="242"/>
        <v>5.9001512859304085E-2</v>
      </c>
      <c r="AJ996" s="31">
        <f t="shared" si="243"/>
        <v>1.9667170953101363E-2</v>
      </c>
      <c r="AK996" s="31">
        <f t="shared" si="244"/>
        <v>0.94099848714069589</v>
      </c>
      <c r="AL996" s="29">
        <f t="shared" si="245"/>
        <v>0</v>
      </c>
      <c r="AM996" s="29">
        <f t="shared" si="246"/>
        <v>531.75</v>
      </c>
      <c r="AN996" s="29">
        <f t="shared" si="247"/>
        <v>1.2430653502585802</v>
      </c>
      <c r="AO996" s="29">
        <f t="shared" si="248"/>
        <v>1.3333333333333333</v>
      </c>
      <c r="AP996" s="31">
        <f t="shared" si="249"/>
        <v>0.93229901269393523</v>
      </c>
      <c r="AQ996" s="31">
        <f t="shared" si="250"/>
        <v>0.94099848714069589</v>
      </c>
      <c r="AR996" s="31">
        <f t="shared" si="251"/>
        <v>0.87729196050775748</v>
      </c>
      <c r="AS996" s="29">
        <f t="shared" si="252"/>
        <v>27.449636913767019</v>
      </c>
      <c r="AT996" s="29">
        <f t="shared" si="253"/>
        <v>4.3942713671350075</v>
      </c>
      <c r="AU996" s="27" t="str">
        <f t="shared" si="254"/>
        <v>Low</v>
      </c>
      <c r="AV996" s="27" t="str">
        <f t="shared" si="255"/>
        <v>Normal</v>
      </c>
      <c r="AW996" s="27"/>
    </row>
    <row r="997" spans="1:49" x14ac:dyDescent="0.25">
      <c r="A997" s="27">
        <v>996</v>
      </c>
      <c r="B997" s="28">
        <v>46085</v>
      </c>
      <c r="C997" s="28" t="str">
        <f t="shared" si="240"/>
        <v>March</v>
      </c>
      <c r="D997" s="27" t="s">
        <v>47</v>
      </c>
      <c r="E997" s="27" t="s">
        <v>48</v>
      </c>
      <c r="F997" s="27" t="s">
        <v>56</v>
      </c>
      <c r="G997" s="27" t="s">
        <v>63</v>
      </c>
      <c r="H997" s="27" t="s">
        <v>124</v>
      </c>
      <c r="I997" s="27" t="s">
        <v>1120</v>
      </c>
      <c r="J997" s="27" t="s">
        <v>218</v>
      </c>
      <c r="K997" s="27">
        <v>526</v>
      </c>
      <c r="L997" s="27">
        <v>453</v>
      </c>
      <c r="M997" s="27">
        <v>432</v>
      </c>
      <c r="N997" s="27">
        <v>21</v>
      </c>
      <c r="O997" s="27">
        <v>6</v>
      </c>
      <c r="P997" s="27">
        <v>32</v>
      </c>
      <c r="Q997" s="27" t="s">
        <v>54</v>
      </c>
      <c r="R997" s="27">
        <v>57</v>
      </c>
      <c r="S997" s="27">
        <v>57</v>
      </c>
      <c r="T997" s="29">
        <v>76.400000000000006</v>
      </c>
      <c r="U997" s="29">
        <v>2.63</v>
      </c>
      <c r="V997" s="29">
        <v>15.83</v>
      </c>
      <c r="W997" s="30">
        <v>12275.95</v>
      </c>
      <c r="X997" s="27">
        <v>8.01</v>
      </c>
      <c r="Y997" s="27" t="s">
        <v>66</v>
      </c>
      <c r="Z997" s="29">
        <v>17</v>
      </c>
      <c r="AA997" s="30">
        <v>20047.419999999998</v>
      </c>
      <c r="AB997" s="29">
        <v>0.95364238410596003</v>
      </c>
      <c r="AC997" s="30">
        <v>16022.92</v>
      </c>
      <c r="AD997" s="30">
        <v>162.59536423841101</v>
      </c>
      <c r="AE997" s="27">
        <v>499.7</v>
      </c>
      <c r="AF997" s="29">
        <v>0.93596157694616799</v>
      </c>
      <c r="AG997" s="30">
        <v>3861.9046357615898</v>
      </c>
      <c r="AH997" s="31">
        <f t="shared" si="241"/>
        <v>0.86121673003802279</v>
      </c>
      <c r="AI997" s="31">
        <f t="shared" si="242"/>
        <v>4.6357615894039736E-2</v>
      </c>
      <c r="AJ997" s="31">
        <f t="shared" si="243"/>
        <v>1.3245033112582781E-2</v>
      </c>
      <c r="AK997" s="31">
        <f t="shared" si="244"/>
        <v>0.95364238410596025</v>
      </c>
      <c r="AL997" s="29">
        <f t="shared" si="245"/>
        <v>0.53333333333333333</v>
      </c>
      <c r="AM997" s="29">
        <f t="shared" si="246"/>
        <v>467.7</v>
      </c>
      <c r="AN997" s="29">
        <f t="shared" si="247"/>
        <v>0.9685695958948044</v>
      </c>
      <c r="AO997" s="29">
        <f t="shared" si="248"/>
        <v>1.0526315789473684</v>
      </c>
      <c r="AP997" s="31">
        <f t="shared" si="249"/>
        <v>0.92014111610006422</v>
      </c>
      <c r="AQ997" s="31">
        <f t="shared" si="250"/>
        <v>0.95364238410596025</v>
      </c>
      <c r="AR997" s="31">
        <f t="shared" si="251"/>
        <v>0.82129277566539949</v>
      </c>
      <c r="AS997" s="29">
        <f t="shared" si="252"/>
        <v>35.370684326710816</v>
      </c>
      <c r="AT997" s="29">
        <f t="shared" si="253"/>
        <v>8.5251757963832002</v>
      </c>
      <c r="AU997" s="27" t="str">
        <f t="shared" si="254"/>
        <v>Medium</v>
      </c>
      <c r="AV997" s="27" t="str">
        <f t="shared" si="255"/>
        <v>Warning</v>
      </c>
      <c r="AW997" s="27"/>
    </row>
    <row r="998" spans="1:49" x14ac:dyDescent="0.25">
      <c r="A998" s="27">
        <v>997</v>
      </c>
      <c r="B998" s="28">
        <v>46117</v>
      </c>
      <c r="C998" s="28" t="str">
        <f t="shared" si="240"/>
        <v>April</v>
      </c>
      <c r="D998" s="27" t="s">
        <v>67</v>
      </c>
      <c r="E998" s="27" t="s">
        <v>98</v>
      </c>
      <c r="F998" s="27" t="s">
        <v>99</v>
      </c>
      <c r="G998" s="27" t="s">
        <v>50</v>
      </c>
      <c r="H998" s="27" t="s">
        <v>79</v>
      </c>
      <c r="I998" s="27" t="s">
        <v>1121</v>
      </c>
      <c r="J998" s="27" t="s">
        <v>101</v>
      </c>
      <c r="K998" s="27">
        <v>779</v>
      </c>
      <c r="L998" s="27">
        <v>685</v>
      </c>
      <c r="M998" s="27">
        <v>636</v>
      </c>
      <c r="N998" s="27">
        <v>49</v>
      </c>
      <c r="O998" s="27">
        <v>10</v>
      </c>
      <c r="P998" s="27">
        <v>44</v>
      </c>
      <c r="Q998" s="27" t="s">
        <v>75</v>
      </c>
      <c r="R998" s="27">
        <v>49</v>
      </c>
      <c r="S998" s="27">
        <v>53</v>
      </c>
      <c r="T998" s="29">
        <v>73.8</v>
      </c>
      <c r="U998" s="29">
        <v>3.06</v>
      </c>
      <c r="V998" s="29">
        <v>22.76</v>
      </c>
      <c r="W998" s="30">
        <v>15249.82</v>
      </c>
      <c r="X998" s="27">
        <v>8.15</v>
      </c>
      <c r="Y998" s="27" t="s">
        <v>71</v>
      </c>
      <c r="Z998" s="29">
        <v>51</v>
      </c>
      <c r="AA998" s="30">
        <v>23993.98</v>
      </c>
      <c r="AB998" s="29">
        <v>0.928467153284672</v>
      </c>
      <c r="AC998" s="30">
        <v>19122.16</v>
      </c>
      <c r="AD998" s="30">
        <v>222.625109489051</v>
      </c>
      <c r="AE998" s="27">
        <v>636.18333333333305</v>
      </c>
      <c r="AF998" s="29">
        <v>0.93083754682874398</v>
      </c>
      <c r="AG998" s="30">
        <v>4649.1948905109502</v>
      </c>
      <c r="AH998" s="31">
        <f t="shared" si="241"/>
        <v>0.87933247753530164</v>
      </c>
      <c r="AI998" s="31">
        <f t="shared" si="242"/>
        <v>7.153284671532846E-2</v>
      </c>
      <c r="AJ998" s="31">
        <f t="shared" si="243"/>
        <v>1.4598540145985401E-2</v>
      </c>
      <c r="AK998" s="31">
        <f t="shared" si="244"/>
        <v>0.92846715328467155</v>
      </c>
      <c r="AL998" s="29">
        <f t="shared" si="245"/>
        <v>0.73333333333333328</v>
      </c>
      <c r="AM998" s="29">
        <f t="shared" si="246"/>
        <v>592.18333333333305</v>
      </c>
      <c r="AN998" s="29">
        <f t="shared" si="247"/>
        <v>1.1567363710562613</v>
      </c>
      <c r="AO998" s="29">
        <f t="shared" si="248"/>
        <v>1.2244897959183674</v>
      </c>
      <c r="AP998" s="31">
        <f t="shared" si="249"/>
        <v>0.94466803636261332</v>
      </c>
      <c r="AQ998" s="31">
        <f t="shared" si="250"/>
        <v>0.92846715328467155</v>
      </c>
      <c r="AR998" s="31">
        <f t="shared" si="251"/>
        <v>0.81643132220795889</v>
      </c>
      <c r="AS998" s="29">
        <f t="shared" si="252"/>
        <v>27.915562043795621</v>
      </c>
      <c r="AT998" s="29">
        <f t="shared" si="253"/>
        <v>6.7871458255634307</v>
      </c>
      <c r="AU998" s="27" t="str">
        <f t="shared" si="254"/>
        <v>High</v>
      </c>
      <c r="AV998" s="27" t="str">
        <f t="shared" si="255"/>
        <v>Warning</v>
      </c>
      <c r="AW998" s="27"/>
    </row>
    <row r="999" spans="1:49" x14ac:dyDescent="0.25">
      <c r="A999" s="27">
        <v>998</v>
      </c>
      <c r="B999" s="28">
        <v>46076</v>
      </c>
      <c r="C999" s="28" t="str">
        <f t="shared" si="240"/>
        <v>February</v>
      </c>
      <c r="D999" s="27" t="s">
        <v>47</v>
      </c>
      <c r="E999" s="27" t="s">
        <v>61</v>
      </c>
      <c r="F999" s="27" t="s">
        <v>95</v>
      </c>
      <c r="G999" s="27" t="s">
        <v>63</v>
      </c>
      <c r="H999" s="27" t="s">
        <v>51</v>
      </c>
      <c r="I999" s="27" t="s">
        <v>1122</v>
      </c>
      <c r="J999" s="27" t="s">
        <v>138</v>
      </c>
      <c r="K999" s="27">
        <v>974</v>
      </c>
      <c r="L999" s="27">
        <v>965</v>
      </c>
      <c r="M999" s="27">
        <v>921</v>
      </c>
      <c r="N999" s="27">
        <v>44</v>
      </c>
      <c r="O999" s="27">
        <v>9</v>
      </c>
      <c r="P999" s="27">
        <v>0</v>
      </c>
      <c r="Q999" s="27" t="s">
        <v>60</v>
      </c>
      <c r="R999" s="27">
        <v>42</v>
      </c>
      <c r="S999" s="27">
        <v>42</v>
      </c>
      <c r="T999" s="29">
        <v>73.5</v>
      </c>
      <c r="U999" s="29">
        <v>2.6</v>
      </c>
      <c r="V999" s="29">
        <v>30.47</v>
      </c>
      <c r="W999" s="30">
        <v>18526.310000000001</v>
      </c>
      <c r="X999" s="27">
        <v>9.76</v>
      </c>
      <c r="Y999" s="27" t="s">
        <v>55</v>
      </c>
      <c r="Z999" s="29">
        <v>8</v>
      </c>
      <c r="AA999" s="30">
        <v>29344.63</v>
      </c>
      <c r="AB999" s="29">
        <v>0.95440414507771998</v>
      </c>
      <c r="AC999" s="30">
        <v>23192.54</v>
      </c>
      <c r="AD999" s="30">
        <v>172.784238341969</v>
      </c>
      <c r="AE999" s="27">
        <v>681.8</v>
      </c>
      <c r="AF999" s="29">
        <v>1</v>
      </c>
      <c r="AG999" s="30">
        <v>5979.30576165803</v>
      </c>
      <c r="AH999" s="31">
        <f t="shared" si="241"/>
        <v>0.99075975359342916</v>
      </c>
      <c r="AI999" s="31">
        <f t="shared" si="242"/>
        <v>4.5595854922279792E-2</v>
      </c>
      <c r="AJ999" s="31">
        <f t="shared" si="243"/>
        <v>9.3264248704663204E-3</v>
      </c>
      <c r="AK999" s="31">
        <f t="shared" si="244"/>
        <v>0.9544041450777202</v>
      </c>
      <c r="AL999" s="29">
        <f t="shared" si="245"/>
        <v>0</v>
      </c>
      <c r="AM999" s="29">
        <f t="shared" si="246"/>
        <v>681.8</v>
      </c>
      <c r="AN999" s="29">
        <f t="shared" si="247"/>
        <v>1.4153710765620418</v>
      </c>
      <c r="AO999" s="29">
        <f t="shared" si="248"/>
        <v>1.4285714285714286</v>
      </c>
      <c r="AP999" s="31">
        <f t="shared" si="249"/>
        <v>0.99075975359342916</v>
      </c>
      <c r="AQ999" s="31">
        <f t="shared" si="250"/>
        <v>0.9544041450777202</v>
      </c>
      <c r="AR999" s="31">
        <f t="shared" si="251"/>
        <v>0.94558521560574949</v>
      </c>
      <c r="AS999" s="29">
        <f t="shared" si="252"/>
        <v>24.033720207253886</v>
      </c>
      <c r="AT999" s="29">
        <f t="shared" si="253"/>
        <v>6.1961717737388913</v>
      </c>
      <c r="AU999" s="27" t="str">
        <f t="shared" si="254"/>
        <v>Low</v>
      </c>
      <c r="AV999" s="27" t="str">
        <f t="shared" si="255"/>
        <v>Normal</v>
      </c>
      <c r="AW999" s="27"/>
    </row>
    <row r="1000" spans="1:49" x14ac:dyDescent="0.25">
      <c r="A1000" s="27">
        <v>999</v>
      </c>
      <c r="B1000" s="28">
        <v>46097</v>
      </c>
      <c r="C1000" s="28" t="str">
        <f t="shared" si="240"/>
        <v>March</v>
      </c>
      <c r="D1000" s="27" t="s">
        <v>47</v>
      </c>
      <c r="E1000" s="27" t="s">
        <v>61</v>
      </c>
      <c r="F1000" s="27" t="s">
        <v>62</v>
      </c>
      <c r="G1000" s="27" t="s">
        <v>78</v>
      </c>
      <c r="H1000" s="27" t="s">
        <v>68</v>
      </c>
      <c r="I1000" s="27" t="s">
        <v>1123</v>
      </c>
      <c r="J1000" s="27" t="s">
        <v>155</v>
      </c>
      <c r="K1000" s="27">
        <v>466</v>
      </c>
      <c r="L1000" s="27">
        <v>504</v>
      </c>
      <c r="M1000" s="27">
        <v>472</v>
      </c>
      <c r="N1000" s="27">
        <v>32</v>
      </c>
      <c r="O1000" s="27">
        <v>8</v>
      </c>
      <c r="P1000" s="27">
        <v>24</v>
      </c>
      <c r="Q1000" s="27" t="s">
        <v>75</v>
      </c>
      <c r="R1000" s="27">
        <v>64</v>
      </c>
      <c r="S1000" s="27">
        <v>66</v>
      </c>
      <c r="T1000" s="29">
        <v>69.400000000000006</v>
      </c>
      <c r="U1000" s="29">
        <v>1.2</v>
      </c>
      <c r="V1000" s="29">
        <v>20.46</v>
      </c>
      <c r="W1000" s="30">
        <v>16519.12</v>
      </c>
      <c r="X1000" s="27">
        <v>8.7200000000000006</v>
      </c>
      <c r="Y1000" s="27" t="s">
        <v>55</v>
      </c>
      <c r="Z1000" s="29">
        <v>1</v>
      </c>
      <c r="AA1000" s="30">
        <v>24239.91</v>
      </c>
      <c r="AB1000" s="29">
        <v>0.93650793650793696</v>
      </c>
      <c r="AC1000" s="30">
        <v>20627.259999999998</v>
      </c>
      <c r="AD1000" s="30">
        <v>262.20825396825398</v>
      </c>
      <c r="AE1000" s="27">
        <v>497.066666666667</v>
      </c>
      <c r="AF1000" s="29">
        <v>0.95171673819742497</v>
      </c>
      <c r="AG1000" s="30">
        <v>3350.44174603175</v>
      </c>
      <c r="AH1000" s="31">
        <f t="shared" si="241"/>
        <v>1.0815450643776825</v>
      </c>
      <c r="AI1000" s="31">
        <f t="shared" si="242"/>
        <v>6.3492063492063489E-2</v>
      </c>
      <c r="AJ1000" s="31">
        <f t="shared" si="243"/>
        <v>1.5873015873015872E-2</v>
      </c>
      <c r="AK1000" s="31">
        <f t="shared" si="244"/>
        <v>0.93650793650793651</v>
      </c>
      <c r="AL1000" s="29">
        <f t="shared" si="245"/>
        <v>0.4</v>
      </c>
      <c r="AM1000" s="29">
        <f t="shared" si="246"/>
        <v>473.066666666667</v>
      </c>
      <c r="AN1000" s="29">
        <f t="shared" si="247"/>
        <v>1.0653889515219834</v>
      </c>
      <c r="AO1000" s="29">
        <f t="shared" si="248"/>
        <v>0.9375</v>
      </c>
      <c r="AP1000" s="31">
        <f t="shared" si="249"/>
        <v>1.1364148816234489</v>
      </c>
      <c r="AQ1000" s="31">
        <f t="shared" si="250"/>
        <v>0.93650793650793651</v>
      </c>
      <c r="AR1000" s="31">
        <f t="shared" si="251"/>
        <v>1.0128755364806858</v>
      </c>
      <c r="AS1000" s="29">
        <f t="shared" si="252"/>
        <v>40.927103174603168</v>
      </c>
      <c r="AT1000" s="29">
        <f t="shared" si="253"/>
        <v>6.6477018770471226</v>
      </c>
      <c r="AU1000" s="27" t="str">
        <f t="shared" si="254"/>
        <v>Low</v>
      </c>
      <c r="AV1000" s="27" t="str">
        <f t="shared" si="255"/>
        <v>Normal</v>
      </c>
      <c r="AW1000" s="27"/>
    </row>
    <row r="1001" spans="1:49" x14ac:dyDescent="0.25">
      <c r="A1001" s="27">
        <v>1000</v>
      </c>
      <c r="B1001" s="28">
        <v>46132</v>
      </c>
      <c r="C1001" s="28" t="str">
        <f t="shared" si="240"/>
        <v>April</v>
      </c>
      <c r="D1001" s="27" t="s">
        <v>47</v>
      </c>
      <c r="E1001" s="27" t="s">
        <v>98</v>
      </c>
      <c r="F1001" s="27" t="s">
        <v>99</v>
      </c>
      <c r="G1001" s="27" t="s">
        <v>78</v>
      </c>
      <c r="H1001" s="27" t="s">
        <v>124</v>
      </c>
      <c r="I1001" s="27" t="s">
        <v>1124</v>
      </c>
      <c r="J1001" s="27" t="s">
        <v>155</v>
      </c>
      <c r="K1001" s="27">
        <v>732</v>
      </c>
      <c r="L1001" s="27">
        <v>628</v>
      </c>
      <c r="M1001" s="27">
        <v>596</v>
      </c>
      <c r="N1001" s="27">
        <v>32</v>
      </c>
      <c r="O1001" s="27">
        <v>9</v>
      </c>
      <c r="P1001" s="27">
        <v>13</v>
      </c>
      <c r="Q1001" s="27" t="s">
        <v>75</v>
      </c>
      <c r="R1001" s="27">
        <v>57</v>
      </c>
      <c r="S1001" s="27">
        <v>64</v>
      </c>
      <c r="T1001" s="29">
        <v>60.3</v>
      </c>
      <c r="U1001" s="29">
        <v>1.49</v>
      </c>
      <c r="V1001" s="29">
        <v>26.07</v>
      </c>
      <c r="W1001" s="30">
        <v>16530.14</v>
      </c>
      <c r="X1001" s="27">
        <v>8.08</v>
      </c>
      <c r="Y1001" s="27" t="s">
        <v>71</v>
      </c>
      <c r="Z1001" s="29">
        <v>25</v>
      </c>
      <c r="AA1001" s="30">
        <v>27853.42</v>
      </c>
      <c r="AB1001" s="29">
        <v>0.94904458598726105</v>
      </c>
      <c r="AC1001" s="30">
        <v>20400.77</v>
      </c>
      <c r="AD1001" s="30">
        <v>236.896910828025</v>
      </c>
      <c r="AE1001" s="27">
        <v>695.4</v>
      </c>
      <c r="AF1001" s="29">
        <v>0.981305723324705</v>
      </c>
      <c r="AG1001" s="30">
        <v>7215.7530891719698</v>
      </c>
      <c r="AH1001" s="31">
        <f t="shared" si="241"/>
        <v>0.85792349726775952</v>
      </c>
      <c r="AI1001" s="31">
        <f t="shared" si="242"/>
        <v>5.0955414012738856E-2</v>
      </c>
      <c r="AJ1001" s="31">
        <f t="shared" si="243"/>
        <v>1.4331210191082803E-2</v>
      </c>
      <c r="AK1001" s="31">
        <f t="shared" si="244"/>
        <v>0.94904458598726116</v>
      </c>
      <c r="AL1001" s="29">
        <f t="shared" si="245"/>
        <v>0.21666666666666667</v>
      </c>
      <c r="AM1001" s="29">
        <f t="shared" si="246"/>
        <v>682.4</v>
      </c>
      <c r="AN1001" s="29">
        <f t="shared" si="247"/>
        <v>0.9202813599062134</v>
      </c>
      <c r="AO1001" s="29">
        <f t="shared" si="248"/>
        <v>1.0526315789473684</v>
      </c>
      <c r="AP1001" s="31">
        <f t="shared" si="249"/>
        <v>0.8742672919109028</v>
      </c>
      <c r="AQ1001" s="31">
        <f t="shared" si="250"/>
        <v>0.94904458598726116</v>
      </c>
      <c r="AR1001" s="31">
        <f t="shared" si="251"/>
        <v>0.81420765027322406</v>
      </c>
      <c r="AS1001" s="29">
        <f t="shared" si="252"/>
        <v>32.485302547770701</v>
      </c>
      <c r="AT1001" s="29">
        <f t="shared" si="253"/>
        <v>11.490052689764283</v>
      </c>
      <c r="AU1001" s="27" t="str">
        <f t="shared" si="254"/>
        <v>High</v>
      </c>
      <c r="AV1001" s="27" t="str">
        <f t="shared" si="255"/>
        <v>Warning</v>
      </c>
      <c r="AW1001" s="27"/>
    </row>
    <row r="1002" spans="1:49" ht="15" customHeight="1" x14ac:dyDescent="0.25">
      <c r="A1002" s="27"/>
      <c r="B1002" s="28"/>
      <c r="C1002" s="28"/>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c r="AV1002" s="27"/>
      <c r="AW1002" s="27"/>
    </row>
  </sheetData>
  <conditionalFormatting sqref="N1:N1048576">
    <cfRule type="iconSet" priority="5">
      <iconSet iconSet="3Symbols">
        <cfvo type="percent" val="0"/>
        <cfvo type="percent" val="33"/>
        <cfvo type="percent" val="67"/>
      </iconSet>
    </cfRule>
    <cfRule type="colorScale" priority="17">
      <colorScale>
        <cfvo type="min"/>
        <cfvo type="percentile" val="50"/>
        <cfvo type="max"/>
        <color rgb="FF00B050"/>
        <color rgb="FFFFFF00"/>
        <color rgb="FFFF0000"/>
      </colorScale>
    </cfRule>
    <cfRule type="colorScale" priority="18">
      <colorScale>
        <cfvo type="min"/>
        <cfvo type="max"/>
        <color theme="5" tint="0.59999389629810485"/>
        <color theme="5" tint="0.79998168889431442"/>
      </colorScale>
    </cfRule>
  </conditionalFormatting>
  <conditionalFormatting sqref="P1:P1048576">
    <cfRule type="dataBar" priority="16">
      <dataBar>
        <cfvo type="min"/>
        <cfvo type="max"/>
        <color rgb="FFFF555A"/>
      </dataBar>
      <extLst>
        <ext xmlns:x14="http://schemas.microsoft.com/office/spreadsheetml/2009/9/main" uri="{B025F937-C7B1-47D3-B67F-A62EFF666E3E}">
          <x14:id>{0C011CF9-1E73-418F-8002-829D6C013027}</x14:id>
        </ext>
      </extLst>
    </cfRule>
  </conditionalFormatting>
  <conditionalFormatting sqref="T1:T1048576">
    <cfRule type="dataBar" priority="15">
      <dataBar>
        <cfvo type="min"/>
        <cfvo type="max"/>
        <color rgb="FFFFB628"/>
      </dataBar>
      <extLst>
        <ext xmlns:x14="http://schemas.microsoft.com/office/spreadsheetml/2009/9/main" uri="{B025F937-C7B1-47D3-B67F-A62EFF666E3E}">
          <x14:id>{6A3592D8-C2DF-4B53-96C2-5697B765871F}</x14:id>
        </ext>
      </extLst>
    </cfRule>
  </conditionalFormatting>
  <conditionalFormatting sqref="U1:U1048576">
    <cfRule type="dataBar" priority="14">
      <dataBar>
        <cfvo type="min"/>
        <cfvo type="max"/>
        <color rgb="FF63C384"/>
      </dataBar>
      <extLst>
        <ext xmlns:x14="http://schemas.microsoft.com/office/spreadsheetml/2009/9/main" uri="{B025F937-C7B1-47D3-B67F-A62EFF666E3E}">
          <x14:id>{78604C4B-ED74-48E4-A441-EEDE4FA849BA}</x14:id>
        </ext>
      </extLst>
    </cfRule>
  </conditionalFormatting>
  <conditionalFormatting sqref="Z1:Z1048576">
    <cfRule type="iconSet" priority="6">
      <iconSet iconSet="3Symbols">
        <cfvo type="percent" val="0"/>
        <cfvo type="percent" val="33"/>
        <cfvo type="percent" val="67"/>
      </iconSet>
    </cfRule>
    <cfRule type="colorScale" priority="13">
      <colorScale>
        <cfvo type="min"/>
        <cfvo type="percentile" val="50"/>
        <cfvo type="max"/>
        <color theme="9" tint="-0.249977111117893"/>
        <color rgb="FFFCFCFF"/>
        <color rgb="FF00B050"/>
      </colorScale>
    </cfRule>
  </conditionalFormatting>
  <conditionalFormatting sqref="AB1:AB1048576">
    <cfRule type="iconSet" priority="9">
      <iconSet iconSet="3Symbols">
        <cfvo type="percent" val="0"/>
        <cfvo type="percent" val="33"/>
        <cfvo type="percent" val="67"/>
      </iconSet>
    </cfRule>
    <cfRule type="colorScale" priority="12">
      <colorScale>
        <cfvo type="min"/>
        <cfvo type="max"/>
        <color rgb="FFFCFCFF"/>
        <color rgb="FFFF0000"/>
      </colorScale>
    </cfRule>
  </conditionalFormatting>
  <conditionalFormatting sqref="AF1:AF1048576">
    <cfRule type="dataBar" priority="1">
      <dataBar>
        <cfvo type="min"/>
        <cfvo type="max"/>
        <color rgb="FFFFB628"/>
      </dataBar>
      <extLst>
        <ext xmlns:x14="http://schemas.microsoft.com/office/spreadsheetml/2009/9/main" uri="{B025F937-C7B1-47D3-B67F-A62EFF666E3E}">
          <x14:id>{85C6FD31-DC49-4CE2-B6E7-00913C6D2C31}</x14:id>
        </ext>
      </extLst>
    </cfRule>
  </conditionalFormatting>
  <conditionalFormatting sqref="AT1:AT1048576">
    <cfRule type="colorScale" priority="3">
      <colorScale>
        <cfvo type="min"/>
        <cfvo type="max"/>
        <color rgb="FFFCFCFF"/>
        <color rgb="FF63BE7B"/>
      </colorScale>
    </cfRule>
    <cfRule type="colorScale" priority="4">
      <colorScale>
        <cfvo type="min"/>
        <cfvo type="percentile" val="50"/>
        <cfvo type="max"/>
        <color theme="5" tint="-0.499984740745262"/>
        <color rgb="FF6ACAD4"/>
        <color rgb="FFFF0000"/>
      </colorScale>
    </cfRule>
  </conditionalFormatting>
  <conditionalFormatting sqref="AT2:AT1001">
    <cfRule type="colorScale" priority="20">
      <colorScale>
        <cfvo type="min"/>
        <cfvo type="percentile" val="50"/>
        <cfvo type="max"/>
        <color rgb="FFF8696B"/>
        <color rgb="FFFFEB84"/>
        <color rgb="FF63BE7B"/>
      </colorScale>
    </cfRule>
  </conditionalFormatting>
  <conditionalFormatting sqref="AU2:AU1001">
    <cfRule type="cellIs" dxfId="1" priority="21" operator="equal">
      <formula>"Critical"</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C011CF9-1E73-418F-8002-829D6C013027}">
            <x14:dataBar minLength="0" maxLength="100" border="1" negativeBarBorderColorSameAsPositive="0">
              <x14:cfvo type="autoMin"/>
              <x14:cfvo type="autoMax"/>
              <x14:borderColor rgb="FFFF555A"/>
              <x14:negativeFillColor rgb="FFFF0000"/>
              <x14:negativeBorderColor rgb="FFFF0000"/>
              <x14:axisColor rgb="FF000000"/>
            </x14:dataBar>
          </x14:cfRule>
          <xm:sqref>P1:P1048576</xm:sqref>
        </x14:conditionalFormatting>
        <x14:conditionalFormatting xmlns:xm="http://schemas.microsoft.com/office/excel/2006/main">
          <x14:cfRule type="dataBar" id="{6A3592D8-C2DF-4B53-96C2-5697B765871F}">
            <x14:dataBar minLength="0" maxLength="100" border="1" negativeBarBorderColorSameAsPositive="0">
              <x14:cfvo type="autoMin"/>
              <x14:cfvo type="autoMax"/>
              <x14:borderColor rgb="FFFFB628"/>
              <x14:negativeFillColor rgb="FFFF0000"/>
              <x14:negativeBorderColor rgb="FFFF0000"/>
              <x14:axisColor rgb="FF000000"/>
            </x14:dataBar>
          </x14:cfRule>
          <xm:sqref>T1:T1048576</xm:sqref>
        </x14:conditionalFormatting>
        <x14:conditionalFormatting xmlns:xm="http://schemas.microsoft.com/office/excel/2006/main">
          <x14:cfRule type="dataBar" id="{78604C4B-ED74-48E4-A441-EEDE4FA849BA}">
            <x14:dataBar minLength="0" maxLength="100" border="1" negativeBarBorderColorSameAsPositive="0">
              <x14:cfvo type="autoMin"/>
              <x14:cfvo type="autoMax"/>
              <x14:borderColor rgb="FF63C384"/>
              <x14:negativeFillColor rgb="FFFF0000"/>
              <x14:negativeBorderColor rgb="FFFF0000"/>
              <x14:axisColor rgb="FF000000"/>
            </x14:dataBar>
          </x14:cfRule>
          <xm:sqref>U1:U1048576</xm:sqref>
        </x14:conditionalFormatting>
        <x14:conditionalFormatting xmlns:xm="http://schemas.microsoft.com/office/excel/2006/main">
          <x14:cfRule type="dataBar" id="{85C6FD31-DC49-4CE2-B6E7-00913C6D2C31}">
            <x14:dataBar minLength="0" maxLength="100" gradient="0">
              <x14:cfvo type="autoMin"/>
              <x14:cfvo type="autoMax"/>
              <x14:negativeFillColor rgb="FFFF0000"/>
              <x14:axisColor rgb="FF000000"/>
            </x14:dataBar>
          </x14:cfRule>
          <xm:sqref>AF1:AF1048576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
  <sheetViews>
    <sheetView zoomScale="105" zoomScaleNormal="100" workbookViewId="0">
      <pane ySplit="2" topLeftCell="A3" activePane="bottomLeft" state="frozen"/>
      <selection pane="bottomLeft" activeCell="B19" sqref="B19"/>
    </sheetView>
  </sheetViews>
  <sheetFormatPr defaultColWidth="8.7109375" defaultRowHeight="15" customHeight="1" x14ac:dyDescent="0.25"/>
  <cols>
    <col min="1" max="1" width="30" customWidth="1"/>
    <col min="2" max="2" width="55" customWidth="1"/>
    <col min="3" max="3" width="20" customWidth="1"/>
    <col min="4" max="4" width="29" customWidth="1"/>
  </cols>
  <sheetData>
    <row r="1" spans="1:4" s="18" customFormat="1" ht="27.75" customHeight="1" thickBot="1" x14ac:dyDescent="0.35">
      <c r="A1" s="81" t="s">
        <v>1125</v>
      </c>
      <c r="B1" s="82"/>
      <c r="C1" s="82"/>
      <c r="D1" s="83"/>
    </row>
    <row r="2" spans="1:4" x14ac:dyDescent="0.25">
      <c r="A2" s="32" t="s">
        <v>1126</v>
      </c>
      <c r="B2" s="33" t="s">
        <v>1127</v>
      </c>
      <c r="C2" s="33" t="s">
        <v>1128</v>
      </c>
      <c r="D2" s="34" t="s">
        <v>1129</v>
      </c>
    </row>
    <row r="3" spans="1:4" x14ac:dyDescent="0.25">
      <c r="A3" s="35" t="s">
        <v>0</v>
      </c>
      <c r="B3" s="36" t="s">
        <v>1130</v>
      </c>
      <c r="C3" s="36" t="s">
        <v>1131</v>
      </c>
      <c r="D3" s="37" t="s">
        <v>1132</v>
      </c>
    </row>
    <row r="4" spans="1:4" x14ac:dyDescent="0.25">
      <c r="A4" s="35" t="s">
        <v>1</v>
      </c>
      <c r="B4" s="36" t="s">
        <v>1133</v>
      </c>
      <c r="C4" s="36" t="s">
        <v>1134</v>
      </c>
      <c r="D4" s="37" t="s">
        <v>1135</v>
      </c>
    </row>
    <row r="5" spans="1:4" x14ac:dyDescent="0.25">
      <c r="A5" s="35" t="s">
        <v>2</v>
      </c>
      <c r="B5" s="36" t="s">
        <v>1136</v>
      </c>
      <c r="C5" s="36" t="s">
        <v>1137</v>
      </c>
      <c r="D5" s="37" t="s">
        <v>1138</v>
      </c>
    </row>
    <row r="6" spans="1:4" x14ac:dyDescent="0.25">
      <c r="A6" s="35" t="s">
        <v>3</v>
      </c>
      <c r="B6" s="36" t="s">
        <v>1139</v>
      </c>
      <c r="C6" s="36" t="s">
        <v>1137</v>
      </c>
      <c r="D6" s="37" t="s">
        <v>1140</v>
      </c>
    </row>
    <row r="7" spans="1:4" x14ac:dyDescent="0.25">
      <c r="A7" s="35" t="s">
        <v>4</v>
      </c>
      <c r="B7" s="36" t="s">
        <v>1141</v>
      </c>
      <c r="C7" s="36" t="s">
        <v>1137</v>
      </c>
      <c r="D7" s="37" t="s">
        <v>1142</v>
      </c>
    </row>
    <row r="8" spans="1:4" x14ac:dyDescent="0.25">
      <c r="A8" s="35" t="s">
        <v>5</v>
      </c>
      <c r="B8" s="36" t="s">
        <v>1143</v>
      </c>
      <c r="C8" s="36" t="s">
        <v>1137</v>
      </c>
      <c r="D8" s="37" t="s">
        <v>1144</v>
      </c>
    </row>
    <row r="9" spans="1:4" x14ac:dyDescent="0.25">
      <c r="A9" s="35" t="s">
        <v>6</v>
      </c>
      <c r="B9" s="36" t="s">
        <v>1145</v>
      </c>
      <c r="C9" s="36" t="s">
        <v>1137</v>
      </c>
      <c r="D9" s="37" t="s">
        <v>1146</v>
      </c>
    </row>
    <row r="10" spans="1:4" x14ac:dyDescent="0.25">
      <c r="A10" s="35" t="s">
        <v>7</v>
      </c>
      <c r="B10" s="36" t="s">
        <v>1147</v>
      </c>
      <c r="C10" s="36" t="s">
        <v>1148</v>
      </c>
      <c r="D10" s="37" t="s">
        <v>1149</v>
      </c>
    </row>
    <row r="11" spans="1:4" x14ac:dyDescent="0.25">
      <c r="A11" s="35" t="s">
        <v>8</v>
      </c>
      <c r="B11" s="36" t="s">
        <v>1150</v>
      </c>
      <c r="C11" s="36" t="s">
        <v>1148</v>
      </c>
      <c r="D11" s="37" t="s">
        <v>1151</v>
      </c>
    </row>
    <row r="12" spans="1:4" x14ac:dyDescent="0.25">
      <c r="A12" s="35" t="s">
        <v>9</v>
      </c>
      <c r="B12" s="36" t="s">
        <v>1152</v>
      </c>
      <c r="C12" s="36" t="s">
        <v>1131</v>
      </c>
      <c r="D12" s="37" t="s">
        <v>1153</v>
      </c>
    </row>
    <row r="13" spans="1:4" x14ac:dyDescent="0.25">
      <c r="A13" s="35" t="s">
        <v>10</v>
      </c>
      <c r="B13" s="36" t="s">
        <v>1154</v>
      </c>
      <c r="C13" s="36" t="s">
        <v>1131</v>
      </c>
      <c r="D13" s="37" t="s">
        <v>1155</v>
      </c>
    </row>
    <row r="14" spans="1:4" x14ac:dyDescent="0.25">
      <c r="A14" s="35" t="s">
        <v>11</v>
      </c>
      <c r="B14" s="36" t="s">
        <v>1156</v>
      </c>
      <c r="C14" s="36" t="s">
        <v>1131</v>
      </c>
      <c r="D14" s="37" t="s">
        <v>1157</v>
      </c>
    </row>
    <row r="15" spans="1:4" x14ac:dyDescent="0.25">
      <c r="A15" s="35" t="s">
        <v>12</v>
      </c>
      <c r="B15" s="36" t="s">
        <v>1158</v>
      </c>
      <c r="C15" s="36" t="s">
        <v>1131</v>
      </c>
      <c r="D15" s="37" t="s">
        <v>1159</v>
      </c>
    </row>
    <row r="16" spans="1:4" x14ac:dyDescent="0.25">
      <c r="A16" s="35" t="s">
        <v>13</v>
      </c>
      <c r="B16" s="36" t="s">
        <v>1160</v>
      </c>
      <c r="C16" s="36" t="s">
        <v>1131</v>
      </c>
      <c r="D16" s="37" t="s">
        <v>1161</v>
      </c>
    </row>
    <row r="17" spans="1:4" x14ac:dyDescent="0.25">
      <c r="A17" s="35" t="s">
        <v>14</v>
      </c>
      <c r="B17" s="36" t="s">
        <v>1162</v>
      </c>
      <c r="C17" s="36" t="s">
        <v>1131</v>
      </c>
      <c r="D17" s="37" t="s">
        <v>1163</v>
      </c>
    </row>
    <row r="18" spans="1:4" x14ac:dyDescent="0.25">
      <c r="A18" s="35" t="s">
        <v>15</v>
      </c>
      <c r="B18" s="36" t="s">
        <v>1164</v>
      </c>
      <c r="C18" s="36" t="s">
        <v>1137</v>
      </c>
      <c r="D18" s="37" t="s">
        <v>1165</v>
      </c>
    </row>
    <row r="19" spans="1:4" x14ac:dyDescent="0.25">
      <c r="A19" s="35" t="s">
        <v>16</v>
      </c>
      <c r="B19" s="36" t="s">
        <v>1166</v>
      </c>
      <c r="C19" s="36" t="s">
        <v>1131</v>
      </c>
      <c r="D19" s="37" t="s">
        <v>1167</v>
      </c>
    </row>
    <row r="20" spans="1:4" x14ac:dyDescent="0.25">
      <c r="A20" s="35" t="s">
        <v>17</v>
      </c>
      <c r="B20" s="36" t="s">
        <v>1168</v>
      </c>
      <c r="C20" s="36" t="s">
        <v>1131</v>
      </c>
      <c r="D20" s="37" t="s">
        <v>1169</v>
      </c>
    </row>
    <row r="21" spans="1:4" x14ac:dyDescent="0.25">
      <c r="A21" s="35" t="s">
        <v>18</v>
      </c>
      <c r="B21" s="36" t="s">
        <v>1170</v>
      </c>
      <c r="C21" s="36" t="s">
        <v>1171</v>
      </c>
      <c r="D21" s="37" t="s">
        <v>1172</v>
      </c>
    </row>
    <row r="22" spans="1:4" x14ac:dyDescent="0.25">
      <c r="A22" s="35" t="s">
        <v>19</v>
      </c>
      <c r="B22" s="36" t="s">
        <v>1173</v>
      </c>
      <c r="C22" s="36" t="s">
        <v>1171</v>
      </c>
      <c r="D22" s="37" t="s">
        <v>1172</v>
      </c>
    </row>
    <row r="23" spans="1:4" x14ac:dyDescent="0.25">
      <c r="A23" s="35" t="s">
        <v>20</v>
      </c>
      <c r="B23" s="36" t="s">
        <v>1174</v>
      </c>
      <c r="C23" s="36" t="s">
        <v>1171</v>
      </c>
      <c r="D23" s="37" t="s">
        <v>1175</v>
      </c>
    </row>
    <row r="24" spans="1:4" x14ac:dyDescent="0.25">
      <c r="A24" s="35" t="s">
        <v>21</v>
      </c>
      <c r="B24" s="36" t="s">
        <v>1176</v>
      </c>
      <c r="C24" s="36" t="s">
        <v>1171</v>
      </c>
      <c r="D24" s="37" t="s">
        <v>1177</v>
      </c>
    </row>
    <row r="25" spans="1:4" x14ac:dyDescent="0.25">
      <c r="A25" s="35" t="s">
        <v>22</v>
      </c>
      <c r="B25" s="36" t="s">
        <v>1178</v>
      </c>
      <c r="C25" s="36" t="s">
        <v>1171</v>
      </c>
      <c r="D25" s="37" t="s">
        <v>1179</v>
      </c>
    </row>
    <row r="26" spans="1:4" x14ac:dyDescent="0.25">
      <c r="A26" s="35" t="s">
        <v>23</v>
      </c>
      <c r="B26" s="36" t="s">
        <v>1180</v>
      </c>
      <c r="C26" s="36" t="s">
        <v>1137</v>
      </c>
      <c r="D26" s="37" t="s">
        <v>1181</v>
      </c>
    </row>
    <row r="27" spans="1:4" x14ac:dyDescent="0.25">
      <c r="A27" s="35" t="s">
        <v>24</v>
      </c>
      <c r="B27" s="36" t="s">
        <v>1182</v>
      </c>
      <c r="C27" s="36" t="s">
        <v>1131</v>
      </c>
      <c r="D27" s="37" t="s">
        <v>1183</v>
      </c>
    </row>
    <row r="28" spans="1:4" x14ac:dyDescent="0.25">
      <c r="A28" s="35" t="s">
        <v>25</v>
      </c>
      <c r="B28" s="36" t="s">
        <v>1184</v>
      </c>
      <c r="C28" s="36" t="s">
        <v>1171</v>
      </c>
      <c r="D28" s="37" t="s">
        <v>1185</v>
      </c>
    </row>
    <row r="29" spans="1:4" x14ac:dyDescent="0.25">
      <c r="A29" s="35" t="s">
        <v>26</v>
      </c>
      <c r="B29" s="36" t="s">
        <v>1186</v>
      </c>
      <c r="C29" s="36" t="s">
        <v>1187</v>
      </c>
      <c r="D29" s="37" t="s">
        <v>1188</v>
      </c>
    </row>
    <row r="30" spans="1:4" x14ac:dyDescent="0.25">
      <c r="A30" s="35" t="s">
        <v>27</v>
      </c>
      <c r="B30" s="36" t="s">
        <v>1189</v>
      </c>
      <c r="C30" s="36" t="s">
        <v>1190</v>
      </c>
      <c r="D30" s="37" t="s">
        <v>1177</v>
      </c>
    </row>
    <row r="31" spans="1:4" x14ac:dyDescent="0.25">
      <c r="A31" s="35" t="s">
        <v>28</v>
      </c>
      <c r="B31" s="36" t="s">
        <v>1191</v>
      </c>
      <c r="C31" s="36" t="s">
        <v>1190</v>
      </c>
      <c r="D31" s="37" t="s">
        <v>1192</v>
      </c>
    </row>
    <row r="32" spans="1:4" x14ac:dyDescent="0.25">
      <c r="A32" s="35" t="s">
        <v>29</v>
      </c>
      <c r="B32" s="36" t="s">
        <v>1193</v>
      </c>
      <c r="C32" s="36" t="s">
        <v>1194</v>
      </c>
      <c r="D32" s="37" t="s">
        <v>1195</v>
      </c>
    </row>
    <row r="33" spans="1:4" x14ac:dyDescent="0.25">
      <c r="A33" s="35" t="s">
        <v>30</v>
      </c>
      <c r="B33" s="36" t="s">
        <v>1196</v>
      </c>
      <c r="C33" s="36" t="s">
        <v>1187</v>
      </c>
      <c r="D33" s="37" t="s">
        <v>1197</v>
      </c>
    </row>
    <row r="34" spans="1:4" x14ac:dyDescent="0.25">
      <c r="A34" s="35" t="s">
        <v>31</v>
      </c>
      <c r="B34" s="36" t="s">
        <v>1198</v>
      </c>
      <c r="C34" s="36" t="s">
        <v>1190</v>
      </c>
      <c r="D34" s="37" t="s">
        <v>1199</v>
      </c>
    </row>
    <row r="35" spans="1:4" x14ac:dyDescent="0.25">
      <c r="A35" s="35" t="s">
        <v>1200</v>
      </c>
      <c r="B35" s="36" t="s">
        <v>1201</v>
      </c>
      <c r="C35" s="36" t="s">
        <v>1202</v>
      </c>
      <c r="D35" s="37" t="s">
        <v>1203</v>
      </c>
    </row>
    <row r="36" spans="1:4" x14ac:dyDescent="0.25">
      <c r="A36" s="35" t="s">
        <v>32</v>
      </c>
      <c r="B36" s="36" t="s">
        <v>1204</v>
      </c>
      <c r="C36" s="36" t="s">
        <v>1187</v>
      </c>
      <c r="D36" s="37" t="s">
        <v>1205</v>
      </c>
    </row>
    <row r="37" spans="1:4" x14ac:dyDescent="0.25">
      <c r="A37" s="35" t="s">
        <v>33</v>
      </c>
      <c r="B37" s="36" t="s">
        <v>1206</v>
      </c>
      <c r="C37" s="36" t="s">
        <v>1187</v>
      </c>
      <c r="D37" s="37" t="s">
        <v>1207</v>
      </c>
    </row>
    <row r="38" spans="1:4" x14ac:dyDescent="0.25">
      <c r="A38" s="35" t="s">
        <v>34</v>
      </c>
      <c r="B38" s="36" t="s">
        <v>1208</v>
      </c>
      <c r="C38" s="36" t="s">
        <v>1187</v>
      </c>
      <c r="D38" s="37" t="s">
        <v>1207</v>
      </c>
    </row>
    <row r="39" spans="1:4" x14ac:dyDescent="0.25">
      <c r="A39" s="35" t="s">
        <v>35</v>
      </c>
      <c r="B39" s="36" t="s">
        <v>1209</v>
      </c>
      <c r="C39" s="36" t="s">
        <v>1187</v>
      </c>
      <c r="D39" s="37" t="s">
        <v>1205</v>
      </c>
    </row>
    <row r="40" spans="1:4" x14ac:dyDescent="0.25">
      <c r="A40" s="35" t="s">
        <v>36</v>
      </c>
      <c r="B40" s="36" t="s">
        <v>1210</v>
      </c>
      <c r="C40" s="36" t="s">
        <v>1211</v>
      </c>
      <c r="D40" s="37" t="s">
        <v>1212</v>
      </c>
    </row>
    <row r="41" spans="1:4" x14ac:dyDescent="0.25">
      <c r="A41" s="35" t="s">
        <v>37</v>
      </c>
      <c r="B41" s="36" t="s">
        <v>1213</v>
      </c>
      <c r="C41" s="36" t="s">
        <v>1211</v>
      </c>
      <c r="D41" s="37" t="s">
        <v>1212</v>
      </c>
    </row>
    <row r="42" spans="1:4" x14ac:dyDescent="0.25">
      <c r="A42" s="35" t="s">
        <v>38</v>
      </c>
      <c r="B42" s="36" t="s">
        <v>1214</v>
      </c>
      <c r="C42" s="36" t="s">
        <v>1215</v>
      </c>
      <c r="D42" s="37" t="s">
        <v>1212</v>
      </c>
    </row>
    <row r="43" spans="1:4" x14ac:dyDescent="0.25">
      <c r="A43" s="35" t="s">
        <v>39</v>
      </c>
      <c r="B43" s="36" t="s">
        <v>1216</v>
      </c>
      <c r="C43" s="36" t="s">
        <v>1215</v>
      </c>
      <c r="D43" s="37" t="s">
        <v>1212</v>
      </c>
    </row>
    <row r="44" spans="1:4" x14ac:dyDescent="0.25">
      <c r="A44" s="35" t="s">
        <v>40</v>
      </c>
      <c r="B44" s="36" t="s">
        <v>1217</v>
      </c>
      <c r="C44" s="36" t="s">
        <v>1187</v>
      </c>
      <c r="D44" s="37" t="s">
        <v>1212</v>
      </c>
    </row>
    <row r="45" spans="1:4" x14ac:dyDescent="0.25">
      <c r="A45" s="35" t="s">
        <v>41</v>
      </c>
      <c r="B45" s="36" t="s">
        <v>1209</v>
      </c>
      <c r="C45" s="36" t="s">
        <v>1187</v>
      </c>
      <c r="D45" s="37" t="s">
        <v>1207</v>
      </c>
    </row>
    <row r="46" spans="1:4" x14ac:dyDescent="0.25">
      <c r="A46" s="35" t="s">
        <v>42</v>
      </c>
      <c r="B46" s="36" t="s">
        <v>1218</v>
      </c>
      <c r="C46" s="36" t="s">
        <v>1187</v>
      </c>
      <c r="D46" s="37" t="s">
        <v>1205</v>
      </c>
    </row>
    <row r="47" spans="1:4" x14ac:dyDescent="0.25">
      <c r="A47" s="35" t="s">
        <v>43</v>
      </c>
      <c r="B47" s="36" t="s">
        <v>1219</v>
      </c>
      <c r="C47" s="36" t="s">
        <v>1220</v>
      </c>
      <c r="D47" s="37" t="s">
        <v>1207</v>
      </c>
    </row>
    <row r="48" spans="1:4" x14ac:dyDescent="0.25">
      <c r="A48" s="35" t="s">
        <v>44</v>
      </c>
      <c r="B48" s="36" t="s">
        <v>1221</v>
      </c>
      <c r="C48" s="36" t="s">
        <v>1220</v>
      </c>
      <c r="D48" s="37" t="s">
        <v>1207</v>
      </c>
    </row>
    <row r="49" spans="1:4" x14ac:dyDescent="0.25">
      <c r="A49" s="35" t="s">
        <v>45</v>
      </c>
      <c r="B49" s="36" t="s">
        <v>1222</v>
      </c>
      <c r="C49" s="36" t="s">
        <v>1137</v>
      </c>
      <c r="D49" s="37" t="s">
        <v>1207</v>
      </c>
    </row>
    <row r="50" spans="1:4" x14ac:dyDescent="0.25">
      <c r="A50" s="38" t="s">
        <v>46</v>
      </c>
      <c r="B50" s="39" t="s">
        <v>1223</v>
      </c>
      <c r="C50" s="39" t="s">
        <v>1137</v>
      </c>
      <c r="D50" s="40" t="s">
        <v>1205</v>
      </c>
    </row>
  </sheetData>
  <mergeCells count="1">
    <mergeCell ref="A1:D1"/>
  </mergeCell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8"/>
  <sheetViews>
    <sheetView zoomScale="89" zoomScaleNormal="100" workbookViewId="0">
      <selection activeCell="I12" sqref="A3:I12"/>
    </sheetView>
  </sheetViews>
  <sheetFormatPr defaultColWidth="8.7109375" defaultRowHeight="15" customHeight="1" x14ac:dyDescent="0.25"/>
  <cols>
    <col min="1" max="8" width="24" customWidth="1"/>
  </cols>
  <sheetData>
    <row r="1" spans="1:8" s="12" customFormat="1" ht="27.75" customHeight="1" x14ac:dyDescent="0.3">
      <c r="A1" s="80" t="s">
        <v>1224</v>
      </c>
      <c r="B1" s="80"/>
      <c r="C1" s="80"/>
      <c r="D1" s="80"/>
      <c r="E1" s="80"/>
      <c r="F1" s="80"/>
      <c r="G1" s="80"/>
      <c r="H1" s="80"/>
    </row>
    <row r="2" spans="1:8" s="16" customFormat="1" x14ac:dyDescent="0.25">
      <c r="A2"/>
      <c r="B2"/>
      <c r="C2"/>
      <c r="D2"/>
      <c r="E2"/>
      <c r="F2"/>
      <c r="G2"/>
      <c r="H2"/>
    </row>
    <row r="3" spans="1:8" s="12" customFormat="1" x14ac:dyDescent="0.25">
      <c r="A3" s="41" t="s">
        <v>48</v>
      </c>
      <c r="B3" s="22" t="s">
        <v>72</v>
      </c>
      <c r="C3" s="22" t="s">
        <v>50</v>
      </c>
      <c r="D3" s="22" t="s">
        <v>51</v>
      </c>
      <c r="E3" s="22" t="s">
        <v>60</v>
      </c>
      <c r="F3" s="22"/>
      <c r="G3" s="22" t="s">
        <v>1225</v>
      </c>
      <c r="H3" s="42" t="s">
        <v>1361</v>
      </c>
    </row>
    <row r="4" spans="1:8" x14ac:dyDescent="0.25">
      <c r="A4" s="35" t="s">
        <v>98</v>
      </c>
      <c r="B4" s="36" t="s">
        <v>56</v>
      </c>
      <c r="C4" s="36" t="s">
        <v>63</v>
      </c>
      <c r="D4" s="36" t="s">
        <v>79</v>
      </c>
      <c r="E4" s="36" t="s">
        <v>54</v>
      </c>
      <c r="F4" s="36"/>
      <c r="G4" s="36" t="s">
        <v>1226</v>
      </c>
      <c r="H4" s="37">
        <v>9</v>
      </c>
    </row>
    <row r="5" spans="1:8" x14ac:dyDescent="0.25">
      <c r="A5" s="35" t="s">
        <v>129</v>
      </c>
      <c r="B5" s="36" t="s">
        <v>49</v>
      </c>
      <c r="C5" s="36" t="s">
        <v>78</v>
      </c>
      <c r="D5" s="36" t="s">
        <v>124</v>
      </c>
      <c r="E5" s="36" t="s">
        <v>75</v>
      </c>
      <c r="F5" s="36"/>
      <c r="G5" s="36" t="s">
        <v>1190</v>
      </c>
      <c r="H5" s="37" t="s">
        <v>1227</v>
      </c>
    </row>
    <row r="6" spans="1:8" x14ac:dyDescent="0.25">
      <c r="A6" s="35" t="s">
        <v>61</v>
      </c>
      <c r="B6" s="36" t="s">
        <v>105</v>
      </c>
      <c r="C6" s="36"/>
      <c r="D6" s="36" t="s">
        <v>57</v>
      </c>
      <c r="E6" s="36" t="s">
        <v>104</v>
      </c>
      <c r="F6" s="36"/>
      <c r="G6" s="36"/>
      <c r="H6" s="37"/>
    </row>
    <row r="7" spans="1:8" x14ac:dyDescent="0.25">
      <c r="A7" s="35" t="s">
        <v>76</v>
      </c>
      <c r="B7" s="36" t="s">
        <v>99</v>
      </c>
      <c r="C7" s="36"/>
      <c r="D7" s="36" t="s">
        <v>68</v>
      </c>
      <c r="E7" s="36" t="s">
        <v>94</v>
      </c>
      <c r="F7" s="36"/>
      <c r="G7" s="36"/>
      <c r="H7" s="37"/>
    </row>
    <row r="8" spans="1:8" x14ac:dyDescent="0.25">
      <c r="A8" s="35"/>
      <c r="B8" s="36" t="s">
        <v>126</v>
      </c>
      <c r="C8" s="36"/>
      <c r="D8" s="36"/>
      <c r="E8" s="36" t="s">
        <v>102</v>
      </c>
      <c r="F8" s="36"/>
      <c r="G8" s="36"/>
      <c r="H8" s="37"/>
    </row>
    <row r="9" spans="1:8" x14ac:dyDescent="0.25">
      <c r="A9" s="35"/>
      <c r="B9" s="36" t="s">
        <v>167</v>
      </c>
      <c r="C9" s="36"/>
      <c r="D9" s="36"/>
      <c r="E9" s="36" t="s">
        <v>91</v>
      </c>
      <c r="F9" s="36"/>
      <c r="G9" s="36"/>
      <c r="H9" s="37"/>
    </row>
    <row r="10" spans="1:8" x14ac:dyDescent="0.25">
      <c r="A10" s="35"/>
      <c r="B10" s="36" t="s">
        <v>151</v>
      </c>
      <c r="C10" s="36"/>
      <c r="D10" s="36"/>
      <c r="E10" s="36" t="s">
        <v>82</v>
      </c>
      <c r="F10" s="36"/>
      <c r="G10" s="36"/>
      <c r="H10" s="37"/>
    </row>
    <row r="11" spans="1:8" ht="15" customHeight="1" x14ac:dyDescent="0.25">
      <c r="A11" s="38"/>
      <c r="B11" s="39" t="s">
        <v>130</v>
      </c>
      <c r="C11" s="39"/>
      <c r="D11" s="39"/>
      <c r="E11" s="39" t="s">
        <v>97</v>
      </c>
      <c r="F11" s="39"/>
      <c r="G11" s="39"/>
      <c r="H11" s="40"/>
    </row>
    <row r="13" spans="1:8" ht="18" x14ac:dyDescent="0.25">
      <c r="A13" s="17" t="s">
        <v>1357</v>
      </c>
      <c r="B13" s="8"/>
    </row>
    <row r="14" spans="1:8" x14ac:dyDescent="0.25">
      <c r="A14" s="13" t="s">
        <v>1228</v>
      </c>
      <c r="B14" s="15" t="s">
        <v>1229</v>
      </c>
    </row>
    <row r="15" spans="1:8" x14ac:dyDescent="0.25">
      <c r="A15" s="43" t="s">
        <v>1230</v>
      </c>
      <c r="B15" s="44">
        <v>120</v>
      </c>
    </row>
    <row r="16" spans="1:8" x14ac:dyDescent="0.25">
      <c r="A16" s="43" t="s">
        <v>1231</v>
      </c>
      <c r="B16" s="44">
        <v>60</v>
      </c>
    </row>
    <row r="17" spans="1:2" x14ac:dyDescent="0.25">
      <c r="A17" s="43" t="s">
        <v>1232</v>
      </c>
      <c r="B17" s="44">
        <v>85</v>
      </c>
    </row>
    <row r="18" spans="1:2" x14ac:dyDescent="0.25">
      <c r="A18" s="43" t="s">
        <v>1233</v>
      </c>
      <c r="B18" s="44">
        <v>80</v>
      </c>
    </row>
    <row r="19" spans="1:2" x14ac:dyDescent="0.25">
      <c r="A19" s="43" t="s">
        <v>1234</v>
      </c>
      <c r="B19" s="44">
        <v>4</v>
      </c>
    </row>
    <row r="20" spans="1:2" x14ac:dyDescent="0.25">
      <c r="A20" s="43" t="s">
        <v>1235</v>
      </c>
      <c r="B20" s="44">
        <v>3</v>
      </c>
    </row>
    <row r="21" spans="1:2" x14ac:dyDescent="0.25">
      <c r="A21" s="43" t="s">
        <v>1236</v>
      </c>
      <c r="B21" s="45">
        <v>0.15</v>
      </c>
    </row>
    <row r="22" spans="1:2" x14ac:dyDescent="0.25">
      <c r="A22" s="43" t="s">
        <v>1237</v>
      </c>
      <c r="B22" s="45">
        <v>0.08</v>
      </c>
    </row>
    <row r="23" spans="1:2" x14ac:dyDescent="0.25">
      <c r="A23" s="43" t="s">
        <v>1238</v>
      </c>
      <c r="B23" s="45">
        <v>0.75</v>
      </c>
    </row>
    <row r="24" spans="1:2" x14ac:dyDescent="0.25">
      <c r="A24" s="43" t="s">
        <v>1239</v>
      </c>
      <c r="B24" s="45">
        <v>0.8</v>
      </c>
    </row>
    <row r="25" spans="1:2" x14ac:dyDescent="0.25">
      <c r="A25" s="43" t="s">
        <v>1240</v>
      </c>
      <c r="B25" s="45">
        <v>0.85</v>
      </c>
    </row>
    <row r="26" spans="1:2" x14ac:dyDescent="0.25">
      <c r="A26" s="46" t="s">
        <v>1241</v>
      </c>
      <c r="B26" s="47">
        <v>30</v>
      </c>
    </row>
    <row r="27" spans="1:2" ht="15" customHeight="1" x14ac:dyDescent="0.25">
      <c r="A27" s="48"/>
      <c r="B27" s="48"/>
    </row>
    <row r="28" spans="1:2" ht="15" customHeight="1" x14ac:dyDescent="0.25">
      <c r="A28" s="48"/>
      <c r="B28" s="48"/>
    </row>
  </sheetData>
  <mergeCells count="1">
    <mergeCell ref="A1:H1"/>
  </mergeCells>
  <pageMargins left="0.75" right="0.75" top="1" bottom="1" header="0.511811023622047" footer="0.511811023622047"/>
  <pageSetup paperSize="9" orientation="portrait" horizontalDpi="300" verticalDpi="30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8"/>
  <sheetViews>
    <sheetView topLeftCell="A44" zoomScale="120" zoomScaleNormal="59" workbookViewId="0">
      <selection activeCell="D16" sqref="D16"/>
    </sheetView>
  </sheetViews>
  <sheetFormatPr defaultColWidth="8.7109375" defaultRowHeight="15" customHeight="1" x14ac:dyDescent="0.25"/>
  <cols>
    <col min="1" max="1" width="38" customWidth="1"/>
    <col min="2" max="2" width="18" customWidth="1"/>
    <col min="3" max="3" width="18.5703125" customWidth="1"/>
    <col min="4" max="5" width="18" customWidth="1"/>
    <col min="6" max="6" width="18.85546875" customWidth="1"/>
    <col min="7" max="8" width="18" customWidth="1"/>
    <col min="9" max="9" width="21.140625" customWidth="1"/>
    <col min="10" max="10" width="25.85546875" customWidth="1"/>
  </cols>
  <sheetData>
    <row r="1" spans="1:10" ht="27.75" customHeight="1" x14ac:dyDescent="0.3">
      <c r="A1" s="80" t="s">
        <v>1242</v>
      </c>
      <c r="B1" s="80"/>
      <c r="C1" s="80"/>
      <c r="D1" s="80"/>
      <c r="E1" s="80"/>
      <c r="F1" s="80"/>
      <c r="G1" s="80"/>
      <c r="H1" s="80"/>
      <c r="I1" s="80"/>
      <c r="J1" s="80"/>
    </row>
    <row r="2" spans="1:10" x14ac:dyDescent="0.25">
      <c r="A2" s="19" t="s">
        <v>1243</v>
      </c>
      <c r="B2" s="19" t="s">
        <v>1229</v>
      </c>
      <c r="C2" s="2"/>
      <c r="D2" s="2"/>
      <c r="E2" s="2"/>
      <c r="F2" s="2"/>
      <c r="G2" s="2"/>
      <c r="H2" s="2"/>
    </row>
    <row r="3" spans="1:10" x14ac:dyDescent="0.25">
      <c r="A3" s="49" t="s">
        <v>1244</v>
      </c>
      <c r="B3" s="50">
        <f>SUM('01_Manufacturing_Data'!L2:L1001)</f>
        <v>692181</v>
      </c>
      <c r="C3" s="2"/>
      <c r="D3" s="2"/>
      <c r="E3" s="2"/>
      <c r="F3" s="2"/>
      <c r="G3" s="2"/>
      <c r="H3" s="2"/>
    </row>
    <row r="4" spans="1:10" x14ac:dyDescent="0.25">
      <c r="A4" s="49" t="s">
        <v>1245</v>
      </c>
      <c r="B4" s="51">
        <f>AVERAGE('01_Manufacturing_Data'!AH2:AH1001)</f>
        <v>0.93563914613500032</v>
      </c>
      <c r="C4" s="2"/>
      <c r="D4" s="2"/>
      <c r="E4" s="2"/>
      <c r="F4" s="2"/>
      <c r="G4" s="2"/>
      <c r="H4" s="2"/>
    </row>
    <row r="5" spans="1:10" x14ac:dyDescent="0.25">
      <c r="A5" s="49" t="s">
        <v>1246</v>
      </c>
      <c r="B5" s="51">
        <f>AVERAGE('01_Manufacturing_Data'!AR2:AR1001)</f>
        <v>0.87574039046062857</v>
      </c>
      <c r="C5" s="2"/>
      <c r="D5" s="2"/>
      <c r="E5" s="2"/>
      <c r="F5" s="2"/>
      <c r="G5" s="2"/>
      <c r="H5" s="2"/>
    </row>
    <row r="6" spans="1:10" x14ac:dyDescent="0.25">
      <c r="A6" s="49" t="s">
        <v>1247</v>
      </c>
      <c r="B6" s="51">
        <f>AVERAGE('01_Manufacturing_Data'!AI2:AI1001)</f>
        <v>6.4913476247897409E-2</v>
      </c>
      <c r="C6" s="2"/>
      <c r="D6" s="2"/>
      <c r="E6" s="2"/>
      <c r="F6" s="2"/>
      <c r="G6" s="2"/>
      <c r="H6" s="2"/>
    </row>
    <row r="7" spans="1:10" x14ac:dyDescent="0.25">
      <c r="A7" s="49" t="s">
        <v>1248</v>
      </c>
      <c r="B7" s="52">
        <f>SUM('01_Manufacturing_Data'!AD2:AD1001)</f>
        <v>301043.69518619636</v>
      </c>
      <c r="C7" s="2"/>
      <c r="D7" s="2"/>
      <c r="E7" s="2"/>
      <c r="F7" s="2"/>
      <c r="G7" s="2"/>
      <c r="H7" s="2"/>
    </row>
    <row r="8" spans="1:10" x14ac:dyDescent="0.25">
      <c r="A8" s="49" t="s">
        <v>1249</v>
      </c>
      <c r="B8" s="50">
        <f>SUM('01_Manufacturing_Data'!AL2:AL1001)</f>
        <v>420.9500000000001</v>
      </c>
      <c r="C8" s="2"/>
      <c r="D8" s="2"/>
      <c r="E8" s="2"/>
      <c r="F8" s="2"/>
      <c r="G8" s="2"/>
      <c r="H8" s="2"/>
    </row>
    <row r="9" spans="1:10" x14ac:dyDescent="0.25">
      <c r="A9" s="49" t="s">
        <v>25</v>
      </c>
      <c r="B9" s="52">
        <f>SUM('01_Manufacturing_Data'!AA2:AA1001)</f>
        <v>25038055.780000001</v>
      </c>
      <c r="C9" s="2"/>
      <c r="D9" s="2"/>
      <c r="E9" s="2"/>
      <c r="F9" s="2"/>
      <c r="G9" s="2"/>
      <c r="H9" s="2"/>
    </row>
    <row r="10" spans="1:10" x14ac:dyDescent="0.25">
      <c r="A10" s="48" t="s">
        <v>31</v>
      </c>
      <c r="B10" s="53">
        <f>SUM('01_Manufacturing_Data'!AG2:AG1001)</f>
        <v>5088669.1548138112</v>
      </c>
      <c r="C10" s="2"/>
      <c r="D10" s="2"/>
      <c r="E10" s="2"/>
      <c r="F10" s="2"/>
      <c r="G10" s="2"/>
      <c r="H10" s="2"/>
    </row>
    <row r="11" spans="1:10" x14ac:dyDescent="0.25">
      <c r="A11" s="2"/>
      <c r="B11" s="2"/>
      <c r="C11" s="2"/>
      <c r="D11" s="2"/>
      <c r="E11" s="2"/>
      <c r="F11" s="2"/>
      <c r="G11" s="2"/>
      <c r="H11" s="2"/>
    </row>
    <row r="12" spans="1:10" x14ac:dyDescent="0.25">
      <c r="A12" s="2"/>
      <c r="B12" s="2"/>
      <c r="C12" s="2"/>
      <c r="D12" s="2"/>
      <c r="E12" s="2"/>
      <c r="F12" s="2"/>
      <c r="G12" s="2"/>
      <c r="H12" s="2"/>
    </row>
    <row r="13" spans="1:10" ht="18" x14ac:dyDescent="0.25">
      <c r="A13" s="1" t="s">
        <v>1250</v>
      </c>
    </row>
    <row r="14" spans="1:10" x14ac:dyDescent="0.25">
      <c r="A14" s="19" t="s">
        <v>1251</v>
      </c>
      <c r="B14" s="19" t="s">
        <v>1252</v>
      </c>
      <c r="C14" s="19" t="s">
        <v>1253</v>
      </c>
      <c r="D14" s="19" t="s">
        <v>1254</v>
      </c>
      <c r="E14" s="19" t="s">
        <v>1246</v>
      </c>
      <c r="F14" s="19" t="s">
        <v>1247</v>
      </c>
      <c r="G14" s="19" t="s">
        <v>1248</v>
      </c>
      <c r="H14" s="19" t="s">
        <v>31</v>
      </c>
    </row>
    <row r="15" spans="1:10" x14ac:dyDescent="0.25">
      <c r="A15" s="49" t="s">
        <v>48</v>
      </c>
      <c r="B15" s="49">
        <f>SUMIF('01_Manufacturing_Data'!$E$2:$E$1001,$A15,'01_Manufacturing_Data'!$L$2:$L$1001)</f>
        <v>154535</v>
      </c>
      <c r="C15" s="51">
        <f>AVERAGEIF('01_Manufacturing_Data'!$E$2:$E$1001,$A15,'01_Manufacturing_Data'!$AH$2:$AH$1001)</f>
        <v>0.96891545327907391</v>
      </c>
      <c r="D15" s="49">
        <f>SUMIF('01_Manufacturing_Data'!$E$2:$E$1001,$A15,'01_Manufacturing_Data'!$AL$2:$AL$1001)</f>
        <v>77.833333333333314</v>
      </c>
      <c r="E15" s="51">
        <f>AVERAGEIF('01_Manufacturing_Data'!$E$2:$E$1001,$A15,'01_Manufacturing_Data'!$AR$2:$AR$1001)</f>
        <v>0.92147599745749742</v>
      </c>
      <c r="F15" s="49">
        <f>AVERAGEIF('01_Manufacturing_Data'!$E$2:$E$1001,$A15,'01_Manufacturing_Data'!$AI$2:$AI$1001)</f>
        <v>4.9033037704137909E-2</v>
      </c>
      <c r="G15" s="49">
        <f>SUMIF('01_Manufacturing_Data'!$E$2:$E$1001,$A15,'01_Manufacturing_Data'!$AD$2:$AD$1001)</f>
        <v>50339.315323478564</v>
      </c>
      <c r="H15" s="49">
        <f>SUMIF('01_Manufacturing_Data'!$E$2:$E$1001,$A15,'01_Manufacturing_Data'!$AG$2:$AG$1001)</f>
        <v>1226307.1346765216</v>
      </c>
    </row>
    <row r="16" spans="1:10" x14ac:dyDescent="0.25">
      <c r="A16" s="49" t="s">
        <v>98</v>
      </c>
      <c r="B16" s="49">
        <f>SUMIF('01_Manufacturing_Data'!$E$2:$E$1001,$A16,'01_Manufacturing_Data'!$L$2:$L$1001)</f>
        <v>140662</v>
      </c>
      <c r="C16" s="51">
        <f>AVERAGEIF('01_Manufacturing_Data'!$E$2:$E$1001,$A16,'01_Manufacturing_Data'!$AH$2:$AH$1001)</f>
        <v>0.91144815142991487</v>
      </c>
      <c r="D16" s="49">
        <f>SUMIF('01_Manufacturing_Data'!$E$2:$E$1001,$A16,'01_Manufacturing_Data'!$AL$2:$AL$1001)</f>
        <v>94.633333333333354</v>
      </c>
      <c r="E16" s="51">
        <f>AVERAGEIF('01_Manufacturing_Data'!$E$2:$E$1001,$A16,'01_Manufacturing_Data'!$AR$2:$AR$1001)</f>
        <v>0.85199945168542368</v>
      </c>
      <c r="F16" s="49">
        <f>AVERAGEIF('01_Manufacturing_Data'!$E$2:$E$1001,$A16,'01_Manufacturing_Data'!$AI$2:$AI$1001)</f>
        <v>6.5437457561029394E-2</v>
      </c>
      <c r="G16" s="49">
        <f>SUMIF('01_Manufacturing_Data'!$E$2:$E$1001,$A16,'01_Manufacturing_Data'!$AD$2:$AD$1001)</f>
        <v>62030.728681044588</v>
      </c>
      <c r="H16" s="49">
        <f>SUMIF('01_Manufacturing_Data'!$E$2:$E$1001,$A16,'01_Manufacturing_Data'!$AG$2:$AG$1001)</f>
        <v>1025441.8713189563</v>
      </c>
    </row>
    <row r="17" spans="1:11" x14ac:dyDescent="0.25">
      <c r="A17" s="49" t="s">
        <v>129</v>
      </c>
      <c r="B17" s="49">
        <f>SUMIF('01_Manufacturing_Data'!$E$2:$E$1001,$A17,'01_Manufacturing_Data'!$L$2:$L$1001)</f>
        <v>124166</v>
      </c>
      <c r="C17" s="51">
        <f>AVERAGEIF('01_Manufacturing_Data'!$E$2:$E$1001,$A17,'01_Manufacturing_Data'!$AH$2:$AH$1001)</f>
        <v>0.87233304549167823</v>
      </c>
      <c r="D17" s="49">
        <f>SUMIF('01_Manufacturing_Data'!$E$2:$E$1001,$A17,'01_Manufacturing_Data'!$AL$2:$AL$1001)</f>
        <v>98.4</v>
      </c>
      <c r="E17" s="51">
        <f>AVERAGEIF('01_Manufacturing_Data'!$E$2:$E$1001,$A17,'01_Manufacturing_Data'!$AR$2:$AR$1001)</f>
        <v>0.79090572100930023</v>
      </c>
      <c r="F17" s="49">
        <f>AVERAGEIF('01_Manufacturing_Data'!$E$2:$E$1001,$A17,'01_Manufacturing_Data'!$AI$2:$AI$1001)</f>
        <v>9.373702962258032E-2</v>
      </c>
      <c r="G17" s="49">
        <f>SUMIF('01_Manufacturing_Data'!$E$2:$E$1001,$A17,'01_Manufacturing_Data'!$AD$2:$AD$1001)</f>
        <v>78358.047997539703</v>
      </c>
      <c r="H17" s="49">
        <f>SUMIF('01_Manufacturing_Data'!$E$2:$E$1001,$A17,'01_Manufacturing_Data'!$AG$2:$AG$1001)</f>
        <v>760262.80200245988</v>
      </c>
    </row>
    <row r="18" spans="1:11" x14ac:dyDescent="0.25">
      <c r="A18" s="49" t="s">
        <v>61</v>
      </c>
      <c r="B18" s="49">
        <f>SUMIF('01_Manufacturing_Data'!$E$2:$E$1001,$A18,'01_Manufacturing_Data'!$L$2:$L$1001)</f>
        <v>141477</v>
      </c>
      <c r="C18" s="51">
        <f>AVERAGEIF('01_Manufacturing_Data'!$E$2:$E$1001,$A18,'01_Manufacturing_Data'!$AH$2:$AH$1001)</f>
        <v>0.9879253370033757</v>
      </c>
      <c r="D18" s="49">
        <f>SUMIF('01_Manufacturing_Data'!$E$2:$E$1001,$A18,'01_Manufacturing_Data'!$AL$2:$AL$1001)</f>
        <v>65.84999999999998</v>
      </c>
      <c r="E18" s="51">
        <f>AVERAGEIF('01_Manufacturing_Data'!$E$2:$E$1001,$A18,'01_Manufacturing_Data'!$AR$2:$AR$1001)</f>
        <v>0.93964447762728975</v>
      </c>
      <c r="F18" s="49">
        <f>AVERAGEIF('01_Manufacturing_Data'!$E$2:$E$1001,$A18,'01_Manufacturing_Data'!$AI$2:$AI$1001)</f>
        <v>4.9022329695610094E-2</v>
      </c>
      <c r="G18" s="49">
        <f>SUMIF('01_Manufacturing_Data'!$E$2:$E$1001,$A18,'01_Manufacturing_Data'!$AD$2:$AD$1001)</f>
        <v>47228.222922771638</v>
      </c>
      <c r="H18" s="49">
        <f>SUMIF('01_Manufacturing_Data'!$E$2:$E$1001,$A18,'01_Manufacturing_Data'!$AG$2:$AG$1001)</f>
        <v>1156989.5970772288</v>
      </c>
    </row>
    <row r="19" spans="1:11" x14ac:dyDescent="0.25">
      <c r="A19" s="48" t="s">
        <v>76</v>
      </c>
      <c r="B19" s="48">
        <f>SUMIF('01_Manufacturing_Data'!$E$2:$E$1001,$A19,'01_Manufacturing_Data'!$L$2:$L$1001)</f>
        <v>131341</v>
      </c>
      <c r="C19" s="54">
        <f>AVERAGEIF('01_Manufacturing_Data'!$E$2:$E$1001,$A19,'01_Manufacturing_Data'!$AH$2:$AH$1001)</f>
        <v>0.93417367217490477</v>
      </c>
      <c r="D19" s="48">
        <f>SUMIF('01_Manufacturing_Data'!$E$2:$E$1001,$A19,'01_Manufacturing_Data'!$AL$2:$AL$1001)</f>
        <v>84.233333333333334</v>
      </c>
      <c r="E19" s="54">
        <f>AVERAGEIF('01_Manufacturing_Data'!$E$2:$E$1001,$A19,'01_Manufacturing_Data'!$AR$2:$AR$1001)</f>
        <v>0.86901792376386655</v>
      </c>
      <c r="F19" s="48">
        <f>AVERAGEIF('01_Manufacturing_Data'!$E$2:$E$1001,$A19,'01_Manufacturing_Data'!$AI$2:$AI$1001)</f>
        <v>7.0112529700057338E-2</v>
      </c>
      <c r="G19" s="48">
        <f>SUMIF('01_Manufacturing_Data'!$E$2:$E$1001,$A19,'01_Manufacturing_Data'!$AD$2:$AD$1001)</f>
        <v>63087.380261361526</v>
      </c>
      <c r="H19" s="48">
        <f>SUMIF('01_Manufacturing_Data'!$E$2:$E$1001,$A19,'01_Manufacturing_Data'!$AG$2:$AG$1001)</f>
        <v>919667.74973863899</v>
      </c>
    </row>
    <row r="20" spans="1:11" x14ac:dyDescent="0.25">
      <c r="A20" s="2"/>
      <c r="B20" s="2"/>
      <c r="C20" s="2"/>
      <c r="D20" s="2"/>
      <c r="E20" s="2"/>
      <c r="F20" s="2"/>
      <c r="G20" s="2"/>
      <c r="H20" s="2"/>
    </row>
    <row r="21" spans="1:11" x14ac:dyDescent="0.25">
      <c r="A21" s="2"/>
      <c r="B21" s="2"/>
      <c r="C21" s="2"/>
      <c r="D21" s="2"/>
      <c r="E21" s="2"/>
      <c r="F21" s="2"/>
      <c r="G21" s="2"/>
      <c r="H21" s="2"/>
    </row>
    <row r="22" spans="1:11" x14ac:dyDescent="0.25">
      <c r="A22" s="2"/>
      <c r="B22" s="2"/>
      <c r="C22" s="2"/>
      <c r="D22" s="2"/>
      <c r="E22" s="2"/>
      <c r="F22" s="2"/>
      <c r="G22" s="2"/>
      <c r="H22" s="2"/>
    </row>
    <row r="23" spans="1:11" ht="18" x14ac:dyDescent="0.25">
      <c r="A23" s="20" t="s">
        <v>1255</v>
      </c>
      <c r="B23" s="2"/>
      <c r="C23" s="2"/>
      <c r="D23" s="2"/>
      <c r="E23" s="2"/>
      <c r="F23" s="2"/>
      <c r="G23" s="2"/>
      <c r="H23" s="2"/>
    </row>
    <row r="24" spans="1:11" x14ac:dyDescent="0.25">
      <c r="A24" s="19" t="s">
        <v>1251</v>
      </c>
      <c r="B24" s="19" t="s">
        <v>1252</v>
      </c>
      <c r="C24" s="19" t="s">
        <v>1254</v>
      </c>
      <c r="D24" s="19" t="s">
        <v>1246</v>
      </c>
      <c r="E24" s="19" t="s">
        <v>1247</v>
      </c>
      <c r="F24" s="19" t="s">
        <v>1256</v>
      </c>
      <c r="G24" s="19" t="s">
        <v>1257</v>
      </c>
      <c r="H24" s="19" t="s">
        <v>1248</v>
      </c>
      <c r="I24" s="19" t="s">
        <v>1258</v>
      </c>
      <c r="J24" s="19" t="s">
        <v>1259</v>
      </c>
    </row>
    <row r="25" spans="1:11" x14ac:dyDescent="0.25">
      <c r="A25" s="49" t="s">
        <v>72</v>
      </c>
      <c r="B25" s="49">
        <f>SUMIF('01_Manufacturing_Data'!$F$2:$F$1001,$A25,'01_Manufacturing_Data'!$L$2:$L$1001)</f>
        <v>52753</v>
      </c>
      <c r="C25" s="49">
        <f>SUMIF('01_Manufacturing_Data'!$F$2:$F$1001,$A25,'01_Manufacturing_Data'!$AL$2:$AL$1001)</f>
        <v>26.283333333333335</v>
      </c>
      <c r="D25" s="51">
        <f>AVERAGEIF('01_Manufacturing_Data'!$F$2:$F$1001,$A25,'01_Manufacturing_Data'!$AR$2:$AR$1001)</f>
        <v>0.91540950433770796</v>
      </c>
      <c r="E25" s="55">
        <f>AVERAGEIF('01_Manufacturing_Data'!$F$2:$F$1001,$A25,'01_Manufacturing_Data'!$AI$2:$AI$1001)</f>
        <v>3.9920091199513945E-2</v>
      </c>
      <c r="F25" s="49">
        <f>AVERAGEIF('01_Manufacturing_Data'!$F$2:$F$1001,$A25,'01_Manufacturing_Data'!$S$2:$S$1001)</f>
        <v>52.06666666666667</v>
      </c>
      <c r="G25" s="49">
        <f>SUMIF('01_Manufacturing_Data'!$F$2:$F$1001,$A25,'01_Manufacturing_Data'!$O$2:$O$1001)</f>
        <v>609</v>
      </c>
      <c r="H25" s="49">
        <f>SUMIF('01_Manufacturing_Data'!$F$2:$F$1001,$A25,'01_Manufacturing_Data'!$AD$2:$AD$1001)</f>
        <v>14050.163855403211</v>
      </c>
      <c r="I25" s="48">
        <f>AVERAGEIF('01_Manufacturing_Data'!$F$2:$F$1001,$A25,'01_Manufacturing_Data'!$Z$2:$Z$1001)</f>
        <v>23.24</v>
      </c>
      <c r="J25" s="48">
        <f>COUNTIFS('01_Manufacturing_Data'!$F$2:$F$1001,$A25,'01_Manufacturing_Data'!$AU$2:$AU$1001,"High")</f>
        <v>14</v>
      </c>
      <c r="K25" s="48"/>
    </row>
    <row r="26" spans="1:11" x14ac:dyDescent="0.25">
      <c r="A26" s="49" t="s">
        <v>56</v>
      </c>
      <c r="B26" s="49">
        <f>SUMIF('01_Manufacturing_Data'!$F$2:$F$1001,$A26,'01_Manufacturing_Data'!$L$2:$L$1001)</f>
        <v>56403</v>
      </c>
      <c r="C26" s="49">
        <f>SUMIF('01_Manufacturing_Data'!$F$2:$F$1001,$A26,'01_Manufacturing_Data'!$AL$2:$AL$1001)</f>
        <v>29.049999999999997</v>
      </c>
      <c r="D26" s="51">
        <f>AVERAGEIF('01_Manufacturing_Data'!$F$2:$F$1001,$A26,'01_Manufacturing_Data'!$AR$2:$AR$1001)</f>
        <v>0.91167136329414178</v>
      </c>
      <c r="E26" s="55">
        <f>AVERAGEIF('01_Manufacturing_Data'!$F$2:$F$1001,$A26,'01_Manufacturing_Data'!$AI$2:$AI$1001)</f>
        <v>5.7823801612313708E-2</v>
      </c>
      <c r="F26" s="49">
        <f>AVERAGEIF('01_Manufacturing_Data'!$F$2:$F$1001,$A26,'01_Manufacturing_Data'!$S$2:$S$1001)</f>
        <v>51.525641025641029</v>
      </c>
      <c r="G26" s="49">
        <f>SUMIF('01_Manufacturing_Data'!$F$2:$F$1001,$A26,'01_Manufacturing_Data'!$O$2:$O$1001)</f>
        <v>951</v>
      </c>
      <c r="H26" s="49">
        <f>SUMIF('01_Manufacturing_Data'!$F$2:$F$1001,$A26,'01_Manufacturing_Data'!$AD$2:$AD$1001)</f>
        <v>21489.341499017923</v>
      </c>
      <c r="I26" s="48">
        <f>AVERAGEIF('01_Manufacturing_Data'!$F$2:$F$1001,$A26,'01_Manufacturing_Data'!$Z$2:$Z$1001)</f>
        <v>23.641025641025642</v>
      </c>
      <c r="J26" s="48">
        <f>COUNTIFS('01_Manufacturing_Data'!$F$2:$F$1001,$A26,'01_Manufacturing_Data'!$AU$2:$AU$1001,"High")</f>
        <v>17</v>
      </c>
      <c r="K26" s="48"/>
    </row>
    <row r="27" spans="1:11" x14ac:dyDescent="0.25">
      <c r="A27" s="49" t="s">
        <v>49</v>
      </c>
      <c r="B27" s="49">
        <f>SUMIF('01_Manufacturing_Data'!$F$2:$F$1001,$A27,'01_Manufacturing_Data'!$L$2:$L$1001)</f>
        <v>45379</v>
      </c>
      <c r="C27" s="49">
        <f>SUMIF('01_Manufacturing_Data'!$F$2:$F$1001,$A27,'01_Manufacturing_Data'!$AL$2:$AL$1001)</f>
        <v>22.499999999999996</v>
      </c>
      <c r="D27" s="51">
        <f>AVERAGEIF('01_Manufacturing_Data'!$F$2:$F$1001,$A27,'01_Manufacturing_Data'!$AR$2:$AR$1001)</f>
        <v>0.94083708394520971</v>
      </c>
      <c r="E27" s="55">
        <f>AVERAGEIF('01_Manufacturing_Data'!$F$2:$F$1001,$A27,'01_Manufacturing_Data'!$AI$2:$AI$1001)</f>
        <v>4.8997980609044069E-2</v>
      </c>
      <c r="F27" s="49">
        <f>AVERAGEIF('01_Manufacturing_Data'!$F$2:$F$1001,$A27,'01_Manufacturing_Data'!$S$2:$S$1001)</f>
        <v>52.476190476190474</v>
      </c>
      <c r="G27" s="49">
        <f>SUMIF('01_Manufacturing_Data'!$F$2:$F$1001,$A27,'01_Manufacturing_Data'!$O$2:$O$1001)</f>
        <v>644</v>
      </c>
      <c r="H27" s="49">
        <f>SUMIF('01_Manufacturing_Data'!$F$2:$F$1001,$A27,'01_Manufacturing_Data'!$AD$2:$AD$1001)</f>
        <v>14799.809969057449</v>
      </c>
      <c r="I27" s="48">
        <f>AVERAGEIF('01_Manufacturing_Data'!$F$2:$F$1001,$A27,'01_Manufacturing_Data'!$Z$2:$Z$1001)</f>
        <v>26.555555555555557</v>
      </c>
      <c r="J27" s="48">
        <f>COUNTIFS('01_Manufacturing_Data'!$F$2:$F$1001,$A27,'01_Manufacturing_Data'!$AU$2:$AU$1001,"High")</f>
        <v>13</v>
      </c>
      <c r="K27" s="48"/>
    </row>
    <row r="28" spans="1:11" x14ac:dyDescent="0.25">
      <c r="A28" s="49" t="s">
        <v>105</v>
      </c>
      <c r="B28" s="49">
        <f>SUMIF('01_Manufacturing_Data'!$F$2:$F$1001,$A28,'01_Manufacturing_Data'!$L$2:$L$1001)</f>
        <v>47334</v>
      </c>
      <c r="C28" s="49">
        <f>SUMIF('01_Manufacturing_Data'!$F$2:$F$1001,$A28,'01_Manufacturing_Data'!$AL$2:$AL$1001)</f>
        <v>29.783333333333331</v>
      </c>
      <c r="D28" s="51">
        <f>AVERAGEIF('01_Manufacturing_Data'!$F$2:$F$1001,$A28,'01_Manufacturing_Data'!$AR$2:$AR$1001)</f>
        <v>0.84793916451371298</v>
      </c>
      <c r="E28" s="55">
        <f>AVERAGEIF('01_Manufacturing_Data'!$F$2:$F$1001,$A28,'01_Manufacturing_Data'!$AI$2:$AI$1001)</f>
        <v>6.726219088095145E-2</v>
      </c>
      <c r="F28" s="49">
        <f>AVERAGEIF('01_Manufacturing_Data'!$F$2:$F$1001,$A28,'01_Manufacturing_Data'!$S$2:$S$1001)</f>
        <v>50.771428571428572</v>
      </c>
      <c r="G28" s="49">
        <f>SUMIF('01_Manufacturing_Data'!$F$2:$F$1001,$A28,'01_Manufacturing_Data'!$O$2:$O$1001)</f>
        <v>952</v>
      </c>
      <c r="H28" s="49">
        <f>SUMIF('01_Manufacturing_Data'!$F$2:$F$1001,$A28,'01_Manufacturing_Data'!$AD$2:$AD$1001)</f>
        <v>20770.636894613843</v>
      </c>
      <c r="I28" s="48">
        <f>AVERAGEIF('01_Manufacturing_Data'!$F$2:$F$1001,$A28,'01_Manufacturing_Data'!$Z$2:$Z$1001)</f>
        <v>26.357142857142858</v>
      </c>
      <c r="J28" s="48">
        <f>COUNTIFS('01_Manufacturing_Data'!$F$2:$F$1001,$A28,'01_Manufacturing_Data'!$AU$2:$AU$1001,"High")</f>
        <v>21</v>
      </c>
      <c r="K28" s="48"/>
    </row>
    <row r="29" spans="1:11" x14ac:dyDescent="0.25">
      <c r="A29" s="49" t="s">
        <v>99</v>
      </c>
      <c r="B29" s="49">
        <f>SUMIF('01_Manufacturing_Data'!$F$2:$F$1001,$A29,'01_Manufacturing_Data'!$L$2:$L$1001)</f>
        <v>46850</v>
      </c>
      <c r="C29" s="49">
        <f>SUMIF('01_Manufacturing_Data'!$F$2:$F$1001,$A29,'01_Manufacturing_Data'!$AL$2:$AL$1001)</f>
        <v>28.18333333333333</v>
      </c>
      <c r="D29" s="51">
        <f>AVERAGEIF('01_Manufacturing_Data'!$F$2:$F$1001,$A29,'01_Manufacturing_Data'!$AR$2:$AR$1001)</f>
        <v>0.87788801157646867</v>
      </c>
      <c r="E29" s="55">
        <f>AVERAGEIF('01_Manufacturing_Data'!$F$2:$F$1001,$A29,'01_Manufacturing_Data'!$AI$2:$AI$1001)</f>
        <v>4.958407556013502E-2</v>
      </c>
      <c r="F29" s="49">
        <f>AVERAGEIF('01_Manufacturing_Data'!$F$2:$F$1001,$A29,'01_Manufacturing_Data'!$S$2:$S$1001)</f>
        <v>53.736111111111114</v>
      </c>
      <c r="G29" s="49">
        <f>SUMIF('01_Manufacturing_Data'!$F$2:$F$1001,$A29,'01_Manufacturing_Data'!$O$2:$O$1001)</f>
        <v>708</v>
      </c>
      <c r="H29" s="49">
        <f>SUMIF('01_Manufacturing_Data'!$F$2:$F$1001,$A29,'01_Manufacturing_Data'!$AD$2:$AD$1001)</f>
        <v>16784.990033932732</v>
      </c>
      <c r="I29" s="48">
        <f>AVERAGEIF('01_Manufacturing_Data'!$F$2:$F$1001,$A29,'01_Manufacturing_Data'!$Z$2:$Z$1001)</f>
        <v>24.916666666666668</v>
      </c>
      <c r="J29" s="48">
        <f>COUNTIFS('01_Manufacturing_Data'!$F$2:$F$1001,$A29,'01_Manufacturing_Data'!$AU$2:$AU$1001,"High")</f>
        <v>22</v>
      </c>
      <c r="K29" s="48"/>
    </row>
    <row r="30" spans="1:11" x14ac:dyDescent="0.25">
      <c r="A30" s="49" t="s">
        <v>126</v>
      </c>
      <c r="B30" s="49">
        <f>SUMIF('01_Manufacturing_Data'!$F$2:$F$1001,$A30,'01_Manufacturing_Data'!$L$2:$L$1001)</f>
        <v>46478</v>
      </c>
      <c r="C30" s="49">
        <f>SUMIF('01_Manufacturing_Data'!$F$2:$F$1001,$A30,'01_Manufacturing_Data'!$AL$2:$AL$1001)</f>
        <v>36.666666666666664</v>
      </c>
      <c r="D30" s="51">
        <f>AVERAGEIF('01_Manufacturing_Data'!$F$2:$F$1001,$A30,'01_Manufacturing_Data'!$AR$2:$AR$1001)</f>
        <v>0.82974936421872469</v>
      </c>
      <c r="E30" s="55">
        <f>AVERAGEIF('01_Manufacturing_Data'!$F$2:$F$1001,$A30,'01_Manufacturing_Data'!$AI$2:$AI$1001)</f>
        <v>7.9715093781731569E-2</v>
      </c>
      <c r="F30" s="49">
        <f>AVERAGEIF('01_Manufacturing_Data'!$F$2:$F$1001,$A30,'01_Manufacturing_Data'!$S$2:$S$1001)</f>
        <v>53.478873239436616</v>
      </c>
      <c r="G30" s="49">
        <f>SUMIF('01_Manufacturing_Data'!$F$2:$F$1001,$A30,'01_Manufacturing_Data'!$O$2:$O$1001)</f>
        <v>1072</v>
      </c>
      <c r="H30" s="49">
        <f>SUMIF('01_Manufacturing_Data'!$F$2:$F$1001,$A30,'01_Manufacturing_Data'!$AD$2:$AD$1001)</f>
        <v>24475.101752498031</v>
      </c>
      <c r="I30" s="48">
        <f>AVERAGEIF('01_Manufacturing_Data'!$F$2:$F$1001,$A30,'01_Manufacturing_Data'!$Z$2:$Z$1001)</f>
        <v>23.197183098591548</v>
      </c>
      <c r="J30" s="48">
        <f>COUNTIFS('01_Manufacturing_Data'!$F$2:$F$1001,$A30,'01_Manufacturing_Data'!$AU$2:$AU$1001,"High")</f>
        <v>28</v>
      </c>
      <c r="K30" s="48"/>
    </row>
    <row r="31" spans="1:11" x14ac:dyDescent="0.25">
      <c r="A31" s="49" t="s">
        <v>167</v>
      </c>
      <c r="B31" s="49">
        <f>SUMIF('01_Manufacturing_Data'!$F$2:$F$1001,$A31,'01_Manufacturing_Data'!$L$2:$L$1001)</f>
        <v>38328</v>
      </c>
      <c r="C31" s="49">
        <f>SUMIF('01_Manufacturing_Data'!$F$2:$F$1001,$A31,'01_Manufacturing_Data'!$AL$2:$AL$1001)</f>
        <v>26.133333333333333</v>
      </c>
      <c r="D31" s="51">
        <f>AVERAGEIF('01_Manufacturing_Data'!$F$2:$F$1001,$A31,'01_Manufacturing_Data'!$AR$2:$AR$1001)</f>
        <v>0.81390044735839251</v>
      </c>
      <c r="E31" s="55">
        <f>AVERAGEIF('01_Manufacturing_Data'!$F$2:$F$1001,$A31,'01_Manufacturing_Data'!$AI$2:$AI$1001)</f>
        <v>8.8204969877140299E-2</v>
      </c>
      <c r="F31" s="49">
        <f>AVERAGEIF('01_Manufacturing_Data'!$F$2:$F$1001,$A31,'01_Manufacturing_Data'!$S$2:$S$1001)</f>
        <v>52.810344827586206</v>
      </c>
      <c r="G31" s="49">
        <f>SUMIF('01_Manufacturing_Data'!$F$2:$F$1001,$A31,'01_Manufacturing_Data'!$O$2:$O$1001)</f>
        <v>1014</v>
      </c>
      <c r="H31" s="49">
        <f>SUMIF('01_Manufacturing_Data'!$F$2:$F$1001,$A31,'01_Manufacturing_Data'!$AD$2:$AD$1001)</f>
        <v>23494.506781215165</v>
      </c>
      <c r="I31" s="48">
        <f>AVERAGEIF('01_Manufacturing_Data'!$F$2:$F$1001,$A31,'01_Manufacturing_Data'!$Z$2:$Z$1001)</f>
        <v>22.224137931034484</v>
      </c>
      <c r="J31" s="48">
        <f>COUNTIFS('01_Manufacturing_Data'!$F$2:$F$1001,$A31,'01_Manufacturing_Data'!$AU$2:$AU$1001,"High")</f>
        <v>27</v>
      </c>
      <c r="K31" s="48"/>
    </row>
    <row r="32" spans="1:11" x14ac:dyDescent="0.25">
      <c r="A32" s="49" t="s">
        <v>151</v>
      </c>
      <c r="B32" s="49">
        <f>SUMIF('01_Manufacturing_Data'!$F$2:$F$1001,$A32,'01_Manufacturing_Data'!$L$2:$L$1001)</f>
        <v>46212</v>
      </c>
      <c r="C32" s="49">
        <f>SUMIF('01_Manufacturing_Data'!$F$2:$F$1001,$A32,'01_Manufacturing_Data'!$AL$2:$AL$1001)</f>
        <v>32.349999999999994</v>
      </c>
      <c r="D32" s="51">
        <f>AVERAGEIF('01_Manufacturing_Data'!$F$2:$F$1001,$A32,'01_Manufacturing_Data'!$AR$2:$AR$1001)</f>
        <v>0.81692992320272317</v>
      </c>
      <c r="E32" s="55">
        <f>AVERAGEIF('01_Manufacturing_Data'!$F$2:$F$1001,$A32,'01_Manufacturing_Data'!$AI$2:$AI$1001)</f>
        <v>6.0029975813043562E-2</v>
      </c>
      <c r="F32" s="49">
        <f>AVERAGEIF('01_Manufacturing_Data'!$F$2:$F$1001,$A32,'01_Manufacturing_Data'!$S$2:$S$1001)</f>
        <v>52.056338028169016</v>
      </c>
      <c r="G32" s="49">
        <f>SUMIF('01_Manufacturing_Data'!$F$2:$F$1001,$A32,'01_Manufacturing_Data'!$O$2:$O$1001)</f>
        <v>832</v>
      </c>
      <c r="H32" s="49">
        <f>SUMIF('01_Manufacturing_Data'!$F$2:$F$1001,$A32,'01_Manufacturing_Data'!$AD$2:$AD$1001)</f>
        <v>19030.986063743603</v>
      </c>
      <c r="I32" s="48">
        <f>AVERAGEIF('01_Manufacturing_Data'!$F$2:$F$1001,$A32,'01_Manufacturing_Data'!$Z$2:$Z$1001)</f>
        <v>24.760563380281692</v>
      </c>
      <c r="J32" s="48">
        <f>COUNTIFS('01_Manufacturing_Data'!$F$2:$F$1001,$A32,'01_Manufacturing_Data'!$AU$2:$AU$1001,"High")</f>
        <v>34</v>
      </c>
      <c r="K32" s="48"/>
    </row>
    <row r="33" spans="1:11" x14ac:dyDescent="0.25">
      <c r="A33" s="49" t="s">
        <v>130</v>
      </c>
      <c r="B33" s="49">
        <f>SUMIF('01_Manufacturing_Data'!$F$2:$F$1001,$A33,'01_Manufacturing_Data'!$L$2:$L$1001)</f>
        <v>39626</v>
      </c>
      <c r="C33" s="49">
        <f>SUMIF('01_Manufacturing_Data'!$F$2:$F$1001,$A33,'01_Manufacturing_Data'!$AL$2:$AL$1001)</f>
        <v>39.916666666666657</v>
      </c>
      <c r="D33" s="51">
        <f>AVERAGEIF('01_Manufacturing_Data'!$F$2:$F$1001,$A33,'01_Manufacturing_Data'!$AR$2:$AR$1001)</f>
        <v>0.73698347551810595</v>
      </c>
      <c r="E33" s="55">
        <f>AVERAGEIF('01_Manufacturing_Data'!$F$2:$F$1001,$A33,'01_Manufacturing_Data'!$AI$2:$AI$1001)</f>
        <v>0.13973805141432005</v>
      </c>
      <c r="F33" s="49">
        <f>AVERAGEIF('01_Manufacturing_Data'!$F$2:$F$1001,$A33,'01_Manufacturing_Data'!$S$2:$S$1001)</f>
        <v>53</v>
      </c>
      <c r="G33" s="49">
        <f>SUMIF('01_Manufacturing_Data'!$F$2:$F$1001,$A33,'01_Manufacturing_Data'!$O$2:$O$1001)</f>
        <v>1639</v>
      </c>
      <c r="H33" s="49">
        <f>SUMIF('01_Manufacturing_Data'!$F$2:$F$1001,$A33,'01_Manufacturing_Data'!$AD$2:$AD$1001)</f>
        <v>35832.555152580957</v>
      </c>
      <c r="I33" s="48">
        <f>AVERAGEIF('01_Manufacturing_Data'!$F$2:$F$1001,$A33,'01_Manufacturing_Data'!$Z$2:$Z$1001)</f>
        <v>41.186440677966104</v>
      </c>
      <c r="J33" s="48">
        <f>COUNTIFS('01_Manufacturing_Data'!$F$2:$F$1001,$A33,'01_Manufacturing_Data'!$AU$2:$AU$1001,"High")</f>
        <v>59</v>
      </c>
      <c r="K33" s="48"/>
    </row>
    <row r="34" spans="1:11" x14ac:dyDescent="0.25">
      <c r="A34" s="49" t="s">
        <v>88</v>
      </c>
      <c r="B34" s="49">
        <f>SUMIF('01_Manufacturing_Data'!$F$2:$F$1001,$A34,'01_Manufacturing_Data'!$L$2:$L$1001)</f>
        <v>43898</v>
      </c>
      <c r="C34" s="49">
        <f>SUMIF('01_Manufacturing_Data'!$F$2:$F$1001,$A34,'01_Manufacturing_Data'!$AL$2:$AL$1001)</f>
        <v>17.016666666666669</v>
      </c>
      <c r="D34" s="51">
        <f>AVERAGEIF('01_Manufacturing_Data'!$F$2:$F$1001,$A34,'01_Manufacturing_Data'!$AR$2:$AR$1001)</f>
        <v>0.95947888124569525</v>
      </c>
      <c r="E34" s="55">
        <f>AVERAGEIF('01_Manufacturing_Data'!$F$2:$F$1001,$A34,'01_Manufacturing_Data'!$AI$2:$AI$1001)</f>
        <v>3.755826833672412E-2</v>
      </c>
      <c r="F34" s="49">
        <f>AVERAGEIF('01_Manufacturing_Data'!$F$2:$F$1001,$A34,'01_Manufacturing_Data'!$S$2:$S$1001)</f>
        <v>52.491525423728817</v>
      </c>
      <c r="G34" s="49">
        <f>SUMIF('01_Manufacturing_Data'!$F$2:$F$1001,$A34,'01_Manufacturing_Data'!$O$2:$O$1001)</f>
        <v>473</v>
      </c>
      <c r="H34" s="49">
        <f>SUMIF('01_Manufacturing_Data'!$F$2:$F$1001,$A34,'01_Manufacturing_Data'!$AD$2:$AD$1001)</f>
        <v>10845.25561590418</v>
      </c>
      <c r="I34" s="48">
        <f>AVERAGEIF('01_Manufacturing_Data'!$F$2:$F$1001,$A34,'01_Manufacturing_Data'!$Z$2:$Z$1001)</f>
        <v>22</v>
      </c>
      <c r="J34" s="48">
        <f>COUNTIFS('01_Manufacturing_Data'!$F$2:$F$1001,$A34,'01_Manufacturing_Data'!$AU$2:$AU$1001,"High")</f>
        <v>11</v>
      </c>
      <c r="K34" s="48"/>
    </row>
    <row r="35" spans="1:11" x14ac:dyDescent="0.25">
      <c r="A35" s="49" t="s">
        <v>62</v>
      </c>
      <c r="B35" s="49">
        <f>SUMIF('01_Manufacturing_Data'!$F$2:$F$1001,$A35,'01_Manufacturing_Data'!$L$2:$L$1001)</f>
        <v>44212</v>
      </c>
      <c r="C35" s="49">
        <f>SUMIF('01_Manufacturing_Data'!$F$2:$F$1001,$A35,'01_Manufacturing_Data'!$AL$2:$AL$1001)</f>
        <v>22.86666666666666</v>
      </c>
      <c r="D35" s="51">
        <f>AVERAGEIF('01_Manufacturing_Data'!$F$2:$F$1001,$A35,'01_Manufacturing_Data'!$AR$2:$AR$1001)</f>
        <v>0.93916038268869539</v>
      </c>
      <c r="E35" s="55">
        <f>AVERAGEIF('01_Manufacturing_Data'!$F$2:$F$1001,$A35,'01_Manufacturing_Data'!$AI$2:$AI$1001)</f>
        <v>4.9168985177685129E-2</v>
      </c>
      <c r="F35" s="49">
        <f>AVERAGEIF('01_Manufacturing_Data'!$F$2:$F$1001,$A35,'01_Manufacturing_Data'!$S$2:$S$1001)</f>
        <v>53.322580645161288</v>
      </c>
      <c r="G35" s="49">
        <f>SUMIF('01_Manufacturing_Data'!$F$2:$F$1001,$A35,'01_Manufacturing_Data'!$O$2:$O$1001)</f>
        <v>657</v>
      </c>
      <c r="H35" s="49">
        <f>SUMIF('01_Manufacturing_Data'!$F$2:$F$1001,$A35,'01_Manufacturing_Data'!$AD$2:$AD$1001)</f>
        <v>15326.373369585821</v>
      </c>
      <c r="I35" s="48">
        <f>AVERAGEIF('01_Manufacturing_Data'!$F$2:$F$1001,$A35,'01_Manufacturing_Data'!$Z$2:$Z$1001)</f>
        <v>21.483870967741936</v>
      </c>
      <c r="J35" s="48">
        <f>COUNTIFS('01_Manufacturing_Data'!$F$2:$F$1001,$A35,'01_Manufacturing_Data'!$AU$2:$AU$1001,"High")</f>
        <v>13</v>
      </c>
      <c r="K35" s="48"/>
    </row>
    <row r="36" spans="1:11" x14ac:dyDescent="0.25">
      <c r="A36" s="49" t="s">
        <v>95</v>
      </c>
      <c r="B36" s="49">
        <f>SUMIF('01_Manufacturing_Data'!$F$2:$F$1001,$A36,'01_Manufacturing_Data'!$L$2:$L$1001)</f>
        <v>53367</v>
      </c>
      <c r="C36" s="49">
        <f>SUMIF('01_Manufacturing_Data'!$F$2:$F$1001,$A36,'01_Manufacturing_Data'!$AL$2:$AL$1001)</f>
        <v>25.966666666666661</v>
      </c>
      <c r="D36" s="51">
        <f>AVERAGEIF('01_Manufacturing_Data'!$F$2:$F$1001,$A36,'01_Manufacturing_Data'!$AR$2:$AR$1001)</f>
        <v>0.92402508136300132</v>
      </c>
      <c r="E36" s="55">
        <f>AVERAGEIF('01_Manufacturing_Data'!$F$2:$F$1001,$A36,'01_Manufacturing_Data'!$AI$2:$AI$1001)</f>
        <v>5.8163247233769304E-2</v>
      </c>
      <c r="F36" s="49">
        <f>AVERAGEIF('01_Manufacturing_Data'!$F$2:$F$1001,$A36,'01_Manufacturing_Data'!$S$2:$S$1001)</f>
        <v>51.643835616438359</v>
      </c>
      <c r="G36" s="49">
        <f>SUMIF('01_Manufacturing_Data'!$F$2:$F$1001,$A36,'01_Manufacturing_Data'!$O$2:$O$1001)</f>
        <v>928</v>
      </c>
      <c r="H36" s="49">
        <f>SUMIF('01_Manufacturing_Data'!$F$2:$F$1001,$A36,'01_Manufacturing_Data'!$AD$2:$AD$1001)</f>
        <v>21056.59393728165</v>
      </c>
      <c r="I36" s="48">
        <f>AVERAGEIF('01_Manufacturing_Data'!$F$2:$F$1001,$A36,'01_Manufacturing_Data'!$Z$2:$Z$1001)</f>
        <v>22.767123287671232</v>
      </c>
      <c r="J36" s="48">
        <f>COUNTIFS('01_Manufacturing_Data'!$F$2:$F$1001,$A36,'01_Manufacturing_Data'!$AU$2:$AU$1001,"High")</f>
        <v>11</v>
      </c>
      <c r="K36" s="48"/>
    </row>
    <row r="37" spans="1:11" x14ac:dyDescent="0.25">
      <c r="A37" s="49" t="s">
        <v>77</v>
      </c>
      <c r="B37" s="49">
        <f>SUMIF('01_Manufacturing_Data'!$F$2:$F$1001,$A37,'01_Manufacturing_Data'!$L$2:$L$1001)</f>
        <v>42688</v>
      </c>
      <c r="C37" s="49">
        <f>SUMIF('01_Manufacturing_Data'!$F$2:$F$1001,$A37,'01_Manufacturing_Data'!$AL$2:$AL$1001)</f>
        <v>26.533333333333339</v>
      </c>
      <c r="D37" s="51">
        <f>AVERAGEIF('01_Manufacturing_Data'!$F$2:$F$1001,$A37,'01_Manufacturing_Data'!$AR$2:$AR$1001)</f>
        <v>0.87744689341326054</v>
      </c>
      <c r="E37" s="55">
        <f>AVERAGEIF('01_Manufacturing_Data'!$F$2:$F$1001,$A37,'01_Manufacturing_Data'!$AI$2:$AI$1001)</f>
        <v>6.7615202123703103E-2</v>
      </c>
      <c r="F37" s="49">
        <f>AVERAGEIF('01_Manufacturing_Data'!$F$2:$F$1001,$A37,'01_Manufacturing_Data'!$S$2:$S$1001)</f>
        <v>51.114754098360656</v>
      </c>
      <c r="G37" s="49">
        <f>SUMIF('01_Manufacturing_Data'!$F$2:$F$1001,$A37,'01_Manufacturing_Data'!$O$2:$O$1001)</f>
        <v>871</v>
      </c>
      <c r="H37" s="49">
        <f>SUMIF('01_Manufacturing_Data'!$F$2:$F$1001,$A37,'01_Manufacturing_Data'!$AD$2:$AD$1001)</f>
        <v>19438.27649366402</v>
      </c>
      <c r="I37" s="48">
        <f>AVERAGEIF('01_Manufacturing_Data'!$F$2:$F$1001,$A37,'01_Manufacturing_Data'!$Z$2:$Z$1001)</f>
        <v>23.459016393442624</v>
      </c>
      <c r="J37" s="48">
        <f>COUNTIFS('01_Manufacturing_Data'!$F$2:$F$1001,$A37,'01_Manufacturing_Data'!$AU$2:$AU$1001,"High")</f>
        <v>17</v>
      </c>
      <c r="K37" s="48"/>
    </row>
    <row r="38" spans="1:11" x14ac:dyDescent="0.25">
      <c r="A38" s="49" t="s">
        <v>119</v>
      </c>
      <c r="B38" s="49">
        <f>SUMIF('01_Manufacturing_Data'!$F$2:$F$1001,$A38,'01_Manufacturing_Data'!$L$2:$L$1001)</f>
        <v>40292</v>
      </c>
      <c r="C38" s="49">
        <f>SUMIF('01_Manufacturing_Data'!$F$2:$F$1001,$A38,'01_Manufacturing_Data'!$AL$2:$AL$1001)</f>
        <v>34.050000000000004</v>
      </c>
      <c r="D38" s="51">
        <f>AVERAGEIF('01_Manufacturing_Data'!$F$2:$F$1001,$A38,'01_Manufacturing_Data'!$AR$2:$AR$1001)</f>
        <v>0.82621508931937915</v>
      </c>
      <c r="E38" s="55">
        <f>AVERAGEIF('01_Manufacturing_Data'!$F$2:$F$1001,$A38,'01_Manufacturing_Data'!$AI$2:$AI$1001)</f>
        <v>9.8814590825057766E-2</v>
      </c>
      <c r="F38" s="49">
        <f>AVERAGEIF('01_Manufacturing_Data'!$F$2:$F$1001,$A38,'01_Manufacturing_Data'!$S$2:$S$1001)</f>
        <v>54.533333333333331</v>
      </c>
      <c r="G38" s="49">
        <f>SUMIF('01_Manufacturing_Data'!$F$2:$F$1001,$A38,'01_Manufacturing_Data'!$O$2:$O$1001)</f>
        <v>1207</v>
      </c>
      <c r="H38" s="49">
        <f>SUMIF('01_Manufacturing_Data'!$F$2:$F$1001,$A38,'01_Manufacturing_Data'!$AD$2:$AD$1001)</f>
        <v>28009.475793676072</v>
      </c>
      <c r="I38" s="48">
        <f>AVERAGEIF('01_Manufacturing_Data'!$F$2:$F$1001,$A38,'01_Manufacturing_Data'!$Z$2:$Z$1001)</f>
        <v>24.116666666666667</v>
      </c>
      <c r="J38" s="48">
        <f>COUNTIFS('01_Manufacturing_Data'!$F$2:$F$1001,$A38,'01_Manufacturing_Data'!$AU$2:$AU$1001,"High")</f>
        <v>29</v>
      </c>
      <c r="K38" s="48"/>
    </row>
    <row r="39" spans="1:11" x14ac:dyDescent="0.25">
      <c r="A39" s="49" t="s">
        <v>113</v>
      </c>
      <c r="B39" s="49">
        <f>SUMIF('01_Manufacturing_Data'!$F$2:$F$1001,$A39,'01_Manufacturing_Data'!$L$2:$L$1001)</f>
        <v>48361</v>
      </c>
      <c r="C39" s="49">
        <f>SUMIF('01_Manufacturing_Data'!$F$2:$F$1001,$A39,'01_Manufacturing_Data'!$AL$2:$AL$1001)</f>
        <v>23.650000000000006</v>
      </c>
      <c r="D39" s="51">
        <f>AVERAGEIF('01_Manufacturing_Data'!$F$2:$F$1001,$A39,'01_Manufacturing_Data'!$AR$2:$AR$1001)</f>
        <v>0.89922384902939967</v>
      </c>
      <c r="E39" s="55">
        <f>AVERAGEIF('01_Manufacturing_Data'!$F$2:$F$1001,$A39,'01_Manufacturing_Data'!$AI$2:$AI$1001)</f>
        <v>4.7027431386198068E-2</v>
      </c>
      <c r="F39" s="49">
        <f>AVERAGEIF('01_Manufacturing_Data'!$F$2:$F$1001,$A39,'01_Manufacturing_Data'!$S$2:$S$1001)</f>
        <v>51.014705882352942</v>
      </c>
      <c r="G39" s="49">
        <f>SUMIF('01_Manufacturing_Data'!$F$2:$F$1001,$A39,'01_Manufacturing_Data'!$O$2:$O$1001)</f>
        <v>695</v>
      </c>
      <c r="H39" s="49">
        <f>SUMIF('01_Manufacturing_Data'!$F$2:$F$1001,$A39,'01_Manufacturing_Data'!$AD$2:$AD$1001)</f>
        <v>15639.627974021503</v>
      </c>
      <c r="I39" s="48">
        <f>AVERAGEIF('01_Manufacturing_Data'!$F$2:$F$1001,$A39,'01_Manufacturing_Data'!$Z$2:$Z$1001)</f>
        <v>23.411764705882351</v>
      </c>
      <c r="J39" s="48">
        <f>COUNTIFS('01_Manufacturing_Data'!$F$2:$F$1001,$A39,'01_Manufacturing_Data'!$AU$2:$AU$1001,"High")</f>
        <v>18</v>
      </c>
      <c r="K39" s="48"/>
    </row>
    <row r="40" spans="1:11" x14ac:dyDescent="0.25">
      <c r="A40" s="49"/>
      <c r="B40" s="49"/>
      <c r="C40" s="49"/>
      <c r="D40" s="49"/>
      <c r="E40" s="49"/>
      <c r="F40" s="49"/>
      <c r="G40" s="49"/>
      <c r="H40" s="49"/>
      <c r="I40" s="48"/>
      <c r="J40" s="48"/>
      <c r="K40" s="48"/>
    </row>
    <row r="41" spans="1:11" ht="18" x14ac:dyDescent="0.25">
      <c r="A41" s="1" t="s">
        <v>1260</v>
      </c>
    </row>
    <row r="42" spans="1:11" x14ac:dyDescent="0.25">
      <c r="A42" s="21" t="s">
        <v>1251</v>
      </c>
      <c r="B42" s="21" t="s">
        <v>1252</v>
      </c>
      <c r="C42" s="21" t="s">
        <v>1253</v>
      </c>
      <c r="D42" s="21" t="s">
        <v>1254</v>
      </c>
      <c r="E42" s="21" t="s">
        <v>1246</v>
      </c>
      <c r="F42" s="21" t="s">
        <v>1247</v>
      </c>
      <c r="G42" s="21" t="s">
        <v>1248</v>
      </c>
      <c r="H42" s="21" t="s">
        <v>31</v>
      </c>
      <c r="I42" s="27"/>
    </row>
    <row r="43" spans="1:11" x14ac:dyDescent="0.25">
      <c r="A43" s="56" t="s">
        <v>63</v>
      </c>
      <c r="B43" s="56">
        <f>SUMIF('01_Manufacturing_Data'!$G$2:$G$1001,$A43,'01_Manufacturing_Data'!$L$2:$L$1001)</f>
        <v>258816</v>
      </c>
      <c r="C43" s="57">
        <f>AVERAGEIF('01_Manufacturing_Data'!$G$2:$G$1001,$A43,'01_Manufacturing_Data'!$AH$2:$AH$1001)</f>
        <v>0.93269127229714743</v>
      </c>
      <c r="D43" s="56">
        <f>SUMIF('01_Manufacturing_Data'!$G$2:$G$1001,$A43,'01_Manufacturing_Data'!$AL$2:$AL$1001)</f>
        <v>155.51666666666668</v>
      </c>
      <c r="E43" s="57">
        <f>AVERAGEIF('01_Manufacturing_Data'!$G$2:$G$1001,$A43,'01_Manufacturing_Data'!$AR$2:$AR$1001)</f>
        <v>0.87416310874590797</v>
      </c>
      <c r="F43" s="56">
        <f>AVERAGEIF('01_Manufacturing_Data'!$G$2:$G$1001,$A43,'01_Manufacturing_Data'!$AI$2:$AI$1001)</f>
        <v>6.3336565560766875E-2</v>
      </c>
      <c r="G43" s="56">
        <f>SUMIF('01_Manufacturing_Data'!$G$2:$G$1001,$A43,'01_Manufacturing_Data'!$AD$2:$AD$1001)</f>
        <v>108375.18440924204</v>
      </c>
      <c r="H43" s="56">
        <f>SUMIF('01_Manufacturing_Data'!$G$2:$G$1001,$A43,'01_Manufacturing_Data'!$AG$2:$AG$1001)</f>
        <v>1896715.3955907589</v>
      </c>
      <c r="I43" s="27"/>
    </row>
    <row r="44" spans="1:11" x14ac:dyDescent="0.25">
      <c r="A44" s="56" t="s">
        <v>50</v>
      </c>
      <c r="B44" s="56">
        <f>SUMIF('01_Manufacturing_Data'!$G$2:$G$1001,$A44,'01_Manufacturing_Data'!$L$2:$L$1001)</f>
        <v>294044</v>
      </c>
      <c r="C44" s="57">
        <f>AVERAGEIF('01_Manufacturing_Data'!$G$2:$G$1001,$A44,'01_Manufacturing_Data'!$AH$2:$AH$1001)</f>
        <v>0.98383416879675534</v>
      </c>
      <c r="D44" s="56">
        <f>SUMIF('01_Manufacturing_Data'!$G$2:$G$1001,$A44,'01_Manufacturing_Data'!$AL$2:$AL$1001)</f>
        <v>159.78333333333345</v>
      </c>
      <c r="E44" s="57">
        <f>AVERAGEIF('01_Manufacturing_Data'!$G$2:$G$1001,$A44,'01_Manufacturing_Data'!$AR$2:$AR$1001)</f>
        <v>0.92261779602457139</v>
      </c>
      <c r="F44" s="56">
        <f>AVERAGEIF('01_Manufacturing_Data'!$G$2:$G$1001,$A44,'01_Manufacturing_Data'!$AI$2:$AI$1001)</f>
        <v>6.2956409067124033E-2</v>
      </c>
      <c r="G44" s="56">
        <f>SUMIF('01_Manufacturing_Data'!$G$2:$G$1001,$A44,'01_Manufacturing_Data'!$AD$2:$AD$1001)</f>
        <v>124177.77519603369</v>
      </c>
      <c r="H44" s="56">
        <f>SUMIF('01_Manufacturing_Data'!$G$2:$G$1001,$A44,'01_Manufacturing_Data'!$AG$2:$AG$1001)</f>
        <v>2215059.784803967</v>
      </c>
      <c r="I44" s="27"/>
    </row>
    <row r="45" spans="1:11" x14ac:dyDescent="0.25">
      <c r="A45" s="27" t="s">
        <v>78</v>
      </c>
      <c r="B45" s="27">
        <f>SUMIF('01_Manufacturing_Data'!$G$2:$G$1001,$A45,'01_Manufacturing_Data'!$L$2:$L$1001)</f>
        <v>139321</v>
      </c>
      <c r="C45" s="31">
        <f>AVERAGEIF('01_Manufacturing_Data'!$G$2:$G$1001,$A45,'01_Manufacturing_Data'!$AH$2:$AH$1001)</f>
        <v>0.85315492345344279</v>
      </c>
      <c r="D45" s="27">
        <f>SUMIF('01_Manufacturing_Data'!$G$2:$G$1001,$A45,'01_Manufacturing_Data'!$AL$2:$AL$1001)</f>
        <v>105.64999999999998</v>
      </c>
      <c r="E45" s="31">
        <f>AVERAGEIF('01_Manufacturing_Data'!$G$2:$G$1001,$A45,'01_Manufacturing_Data'!$AR$2:$AR$1001)</f>
        <v>0.79338042427975797</v>
      </c>
      <c r="F45" s="27">
        <f>AVERAGEIF('01_Manufacturing_Data'!$G$2:$G$1001,$A45,'01_Manufacturing_Data'!$AI$2:$AI$1001)</f>
        <v>7.1065379058755554E-2</v>
      </c>
      <c r="G45" s="27">
        <f>SUMIF('01_Manufacturing_Data'!$G$2:$G$1001,$A45,'01_Manufacturing_Data'!$AD$2:$AD$1001)</f>
        <v>68490.735580920344</v>
      </c>
      <c r="H45" s="27">
        <f>SUMIF('01_Manufacturing_Data'!$G$2:$G$1001,$A45,'01_Manufacturing_Data'!$AG$2:$AG$1001)</f>
        <v>976893.97441908007</v>
      </c>
      <c r="I45" s="27"/>
    </row>
    <row r="46" spans="1:11" x14ac:dyDescent="0.25">
      <c r="A46" s="56"/>
      <c r="B46" s="56"/>
      <c r="C46" s="56"/>
      <c r="D46" s="56"/>
      <c r="E46" s="56"/>
      <c r="F46" s="56"/>
      <c r="G46" s="56"/>
      <c r="H46" s="56"/>
      <c r="I46" s="27"/>
    </row>
    <row r="47" spans="1:11" x14ac:dyDescent="0.25">
      <c r="A47" s="2"/>
      <c r="B47" s="2"/>
      <c r="C47" s="2"/>
      <c r="D47" s="2"/>
      <c r="E47" s="2"/>
      <c r="F47" s="2"/>
      <c r="G47" s="2"/>
      <c r="H47" s="2"/>
    </row>
    <row r="48" spans="1:11" ht="18" x14ac:dyDescent="0.25">
      <c r="A48" s="58" t="s">
        <v>1261</v>
      </c>
      <c r="B48" s="27"/>
      <c r="C48" s="27"/>
      <c r="D48" s="27"/>
      <c r="E48" s="27"/>
      <c r="F48" s="27"/>
      <c r="G48" s="27"/>
      <c r="H48" s="27"/>
      <c r="I48" s="27"/>
    </row>
    <row r="49" spans="1:9" x14ac:dyDescent="0.25">
      <c r="A49" s="21" t="s">
        <v>1251</v>
      </c>
      <c r="B49" s="21" t="s">
        <v>1252</v>
      </c>
      <c r="C49" s="21" t="s">
        <v>1247</v>
      </c>
      <c r="D49" s="21" t="s">
        <v>1262</v>
      </c>
      <c r="E49" s="21" t="s">
        <v>1257</v>
      </c>
      <c r="F49" s="21" t="s">
        <v>1248</v>
      </c>
      <c r="G49" s="21" t="s">
        <v>25</v>
      </c>
      <c r="H49" s="21" t="s">
        <v>31</v>
      </c>
      <c r="I49" s="27"/>
    </row>
    <row r="50" spans="1:9" x14ac:dyDescent="0.25">
      <c r="A50" s="56" t="s">
        <v>51</v>
      </c>
      <c r="B50" s="57">
        <f>SUMIF('01_Manufacturing_Data'!$H$2:$H$1001,$A50,'01_Manufacturing_Data'!$L$2:$L$1001)</f>
        <v>192748</v>
      </c>
      <c r="C50" s="57">
        <f>AVERAGEIF('01_Manufacturing_Data'!$H$2:$H$1001,$A50,'01_Manufacturing_Data'!$AI$2:$AI$1001)</f>
        <v>6.3211363028460241E-2</v>
      </c>
      <c r="D50" s="56">
        <f>AVERAGEIF('01_Manufacturing_Data'!$H$2:$H$1001,$A50,'01_Manufacturing_Data'!$AJ$2:$AJ$1001)</f>
        <v>1.8877206308280693E-2</v>
      </c>
      <c r="E50" s="56">
        <f>SUMIF('01_Manufacturing_Data'!$H$2:$H$1001,$A50,'01_Manufacturing_Data'!$O$2:$O$1001)</f>
        <v>3595</v>
      </c>
      <c r="F50" s="56">
        <f>SUMIF('01_Manufacturing_Data'!$H$2:$H$1001,$A50,'01_Manufacturing_Data'!$AD$2:$AD$1001)</f>
        <v>66572.843542624949</v>
      </c>
      <c r="G50" s="56">
        <f>SUMIF('01_Manufacturing_Data'!$H$2:$H$1001,$A50,'01_Manufacturing_Data'!$AA$2:$AA$1001)</f>
        <v>5774816.5200000042</v>
      </c>
      <c r="H50" s="56">
        <f>SUMIF('01_Manufacturing_Data'!$H$2:$H$1001,$A50,'01_Manufacturing_Data'!$AG$2:$AG$1001)</f>
        <v>1167679.5664573759</v>
      </c>
      <c r="I50" s="27"/>
    </row>
    <row r="51" spans="1:9" x14ac:dyDescent="0.25">
      <c r="A51" s="56" t="s">
        <v>79</v>
      </c>
      <c r="B51" s="57">
        <f>SUMIF('01_Manufacturing_Data'!$H$2:$H$1001,$A51,'01_Manufacturing_Data'!$L$2:$L$1001)</f>
        <v>155993</v>
      </c>
      <c r="C51" s="57">
        <f>AVERAGEIF('01_Manufacturing_Data'!$H$2:$H$1001,$A51,'01_Manufacturing_Data'!$AI$2:$AI$1001)</f>
        <v>6.5182211636825568E-2</v>
      </c>
      <c r="D51" s="56">
        <f>AVERAGEIF('01_Manufacturing_Data'!$H$2:$H$1001,$A51,'01_Manufacturing_Data'!$AJ$2:$AJ$1001)</f>
        <v>1.9519294755966986E-2</v>
      </c>
      <c r="E51" s="56">
        <f>SUMIF('01_Manufacturing_Data'!$H$2:$H$1001,$A51,'01_Manufacturing_Data'!$O$2:$O$1001)</f>
        <v>2984</v>
      </c>
      <c r="F51" s="56">
        <f>SUMIF('01_Manufacturing_Data'!$H$2:$H$1001,$A51,'01_Manufacturing_Data'!$AD$2:$AD$1001)</f>
        <v>65965.308589094318</v>
      </c>
      <c r="G51" s="56">
        <f>SUMIF('01_Manufacturing_Data'!$H$2:$H$1001,$A51,'01_Manufacturing_Data'!$AA$2:$AA$1001)</f>
        <v>5543057.4999999981</v>
      </c>
      <c r="H51" s="56">
        <f>SUMIF('01_Manufacturing_Data'!$H$2:$H$1001,$A51,'01_Manufacturing_Data'!$AG$2:$AG$1001)</f>
        <v>1166530.4614109059</v>
      </c>
      <c r="I51" s="27"/>
    </row>
    <row r="52" spans="1:9" x14ac:dyDescent="0.25">
      <c r="A52" s="56" t="s">
        <v>124</v>
      </c>
      <c r="B52" s="57">
        <f>SUMIF('01_Manufacturing_Data'!$H$2:$H$1001,$A52,'01_Manufacturing_Data'!$L$2:$L$1001)</f>
        <v>111015</v>
      </c>
      <c r="C52" s="57">
        <f>AVERAGEIF('01_Manufacturing_Data'!$H$2:$H$1001,$A52,'01_Manufacturing_Data'!$AI$2:$AI$1001)</f>
        <v>6.4527123127614536E-2</v>
      </c>
      <c r="D52" s="56">
        <f>AVERAGEIF('01_Manufacturing_Data'!$H$2:$H$1001,$A52,'01_Manufacturing_Data'!$AJ$2:$AJ$1001)</f>
        <v>1.9457140868955804E-2</v>
      </c>
      <c r="E52" s="56">
        <f>SUMIF('01_Manufacturing_Data'!$H$2:$H$1001,$A52,'01_Manufacturing_Data'!$O$2:$O$1001)</f>
        <v>2130</v>
      </c>
      <c r="F52" s="56">
        <f>SUMIF('01_Manufacturing_Data'!$H$2:$H$1001,$A52,'01_Manufacturing_Data'!$AD$2:$AD$1001)</f>
        <v>58145.24403620448</v>
      </c>
      <c r="G52" s="56">
        <f>SUMIF('01_Manufacturing_Data'!$H$2:$H$1001,$A52,'01_Manufacturing_Data'!$AA$2:$AA$1001)</f>
        <v>4791216.51</v>
      </c>
      <c r="H52" s="56">
        <f>SUMIF('01_Manufacturing_Data'!$H$2:$H$1001,$A52,'01_Manufacturing_Data'!$AG$2:$AG$1001)</f>
        <v>974320.32596379519</v>
      </c>
      <c r="I52" s="27"/>
    </row>
    <row r="53" spans="1:9" x14ac:dyDescent="0.25">
      <c r="A53" s="56" t="s">
        <v>57</v>
      </c>
      <c r="B53" s="57">
        <f>SUMIF('01_Manufacturing_Data'!$H$2:$H$1001,$A53,'01_Manufacturing_Data'!$L$2:$L$1001)</f>
        <v>148766</v>
      </c>
      <c r="C53" s="57">
        <f>AVERAGEIF('01_Manufacturing_Data'!$H$2:$H$1001,$A53,'01_Manufacturing_Data'!$AI$2:$AI$1001)</f>
        <v>6.4731422332998084E-2</v>
      </c>
      <c r="D53" s="56">
        <f>AVERAGEIF('01_Manufacturing_Data'!$H$2:$H$1001,$A53,'01_Manufacturing_Data'!$AJ$2:$AJ$1001)</f>
        <v>1.9766101511993733E-2</v>
      </c>
      <c r="E53" s="56">
        <f>SUMIF('01_Manufacturing_Data'!$H$2:$H$1001,$A53,'01_Manufacturing_Data'!$O$2:$O$1001)</f>
        <v>2902</v>
      </c>
      <c r="F53" s="56">
        <f>SUMIF('01_Manufacturing_Data'!$H$2:$H$1001,$A53,'01_Manufacturing_Data'!$AD$2:$AD$1001)</f>
        <v>59343.747602508891</v>
      </c>
      <c r="G53" s="56">
        <f>SUMIF('01_Manufacturing_Data'!$H$2:$H$1001,$A53,'01_Manufacturing_Data'!$AA$2:$AA$1001)</f>
        <v>4872236.6999999965</v>
      </c>
      <c r="H53" s="56">
        <f>SUMIF('01_Manufacturing_Data'!$H$2:$H$1001,$A53,'01_Manufacturing_Data'!$AG$2:$AG$1001)</f>
        <v>1003179.042397492</v>
      </c>
      <c r="I53" s="27"/>
    </row>
    <row r="54" spans="1:9" x14ac:dyDescent="0.25">
      <c r="A54" s="27" t="s">
        <v>68</v>
      </c>
      <c r="B54" s="31">
        <f>SUMIF('01_Manufacturing_Data'!$H$2:$H$1001,$A54,'01_Manufacturing_Data'!$L$2:$L$1001)</f>
        <v>83659</v>
      </c>
      <c r="C54" s="31">
        <f>AVERAGEIF('01_Manufacturing_Data'!$H$2:$H$1001,$A54,'01_Manufacturing_Data'!$AI$2:$AI$1001)</f>
        <v>6.7868298952572514E-2</v>
      </c>
      <c r="D54" s="27">
        <f>AVERAGEIF('01_Manufacturing_Data'!$H$2:$H$1001,$A54,'01_Manufacturing_Data'!$AJ$2:$AJ$1001)</f>
        <v>1.9842515213863765E-2</v>
      </c>
      <c r="E54" s="27">
        <f>SUMIF('01_Manufacturing_Data'!$H$2:$H$1001,$A54,'01_Manufacturing_Data'!$O$2:$O$1001)</f>
        <v>1641</v>
      </c>
      <c r="F54" s="27">
        <f>SUMIF('01_Manufacturing_Data'!$H$2:$H$1001,$A54,'01_Manufacturing_Data'!$AD$2:$AD$1001)</f>
        <v>51016.551415763424</v>
      </c>
      <c r="G54" s="27">
        <f>SUMIF('01_Manufacturing_Data'!$H$2:$H$1001,$A54,'01_Manufacturing_Data'!$AA$2:$AA$1001)</f>
        <v>4056728.5499999993</v>
      </c>
      <c r="H54" s="27">
        <f>SUMIF('01_Manufacturing_Data'!$H$2:$H$1001,$A54,'01_Manufacturing_Data'!$AG$2:$AG$1001)</f>
        <v>776959.75858423638</v>
      </c>
      <c r="I54" s="27"/>
    </row>
    <row r="55" spans="1:9" x14ac:dyDescent="0.25">
      <c r="A55" s="56"/>
      <c r="B55" s="56"/>
      <c r="C55" s="56"/>
      <c r="D55" s="56"/>
      <c r="E55" s="56"/>
      <c r="F55" s="56"/>
      <c r="G55" s="56"/>
      <c r="H55" s="56"/>
      <c r="I55" s="27"/>
    </row>
    <row r="56" spans="1:9" ht="18" x14ac:dyDescent="0.25">
      <c r="A56" s="59" t="s">
        <v>1263</v>
      </c>
      <c r="C56" s="2"/>
      <c r="D56" s="2"/>
      <c r="E56" s="2"/>
      <c r="F56" s="2"/>
      <c r="G56" s="2"/>
      <c r="H56" s="2"/>
    </row>
    <row r="57" spans="1:9" x14ac:dyDescent="0.25">
      <c r="A57" s="19" t="s">
        <v>1251</v>
      </c>
      <c r="B57" s="19" t="s">
        <v>1254</v>
      </c>
      <c r="C57" s="2"/>
      <c r="D57" s="2"/>
      <c r="E57" s="2"/>
      <c r="F57" s="2"/>
      <c r="G57" s="2"/>
      <c r="H57" s="2"/>
    </row>
    <row r="58" spans="1:9" x14ac:dyDescent="0.25">
      <c r="A58" s="2" t="s">
        <v>54</v>
      </c>
      <c r="B58" s="2">
        <f>SUMIF('01_Manufacturing_Data'!$Q$2:$Q$1001,$A58,'01_Manufacturing_Data'!$AL$2:$AL$1001)</f>
        <v>106.56666666666666</v>
      </c>
      <c r="C58" s="2"/>
      <c r="D58" s="2"/>
      <c r="E58" s="2"/>
      <c r="F58" s="2"/>
      <c r="G58" s="2"/>
      <c r="H58" s="2"/>
    </row>
    <row r="59" spans="1:9" x14ac:dyDescent="0.25">
      <c r="A59" s="2" t="s">
        <v>75</v>
      </c>
      <c r="B59" s="2">
        <f>SUMIF('01_Manufacturing_Data'!$Q$2:$Q$1001,$A59,'01_Manufacturing_Data'!$AL$2:$AL$1001)</f>
        <v>65.566666666666691</v>
      </c>
      <c r="C59" s="2"/>
      <c r="D59" s="2"/>
      <c r="E59" s="2"/>
      <c r="F59" s="2"/>
      <c r="G59" s="2"/>
      <c r="H59" s="2"/>
    </row>
    <row r="60" spans="1:9" x14ac:dyDescent="0.25">
      <c r="A60" s="2" t="s">
        <v>60</v>
      </c>
      <c r="B60" s="2">
        <f>SUMIF('01_Manufacturing_Data'!$Q$2:$Q$1001,$A60,'01_Manufacturing_Data'!$AL$2:$AL$1001)</f>
        <v>0</v>
      </c>
      <c r="C60" s="2"/>
      <c r="D60" s="2"/>
      <c r="E60" s="2"/>
      <c r="F60" s="2"/>
      <c r="G60" s="2"/>
      <c r="H60" s="2"/>
    </row>
    <row r="61" spans="1:9" x14ac:dyDescent="0.25">
      <c r="A61" s="2" t="s">
        <v>82</v>
      </c>
      <c r="B61" s="2">
        <f>SUMIF('01_Manufacturing_Data'!$Q$2:$Q$1001,$A61,'01_Manufacturing_Data'!$AL$2:$AL$1001)</f>
        <v>41.699999999999996</v>
      </c>
      <c r="C61" s="2"/>
      <c r="D61" s="2"/>
      <c r="E61" s="2"/>
      <c r="F61" s="2"/>
      <c r="G61" s="2"/>
      <c r="H61" s="2"/>
    </row>
    <row r="62" spans="1:9" x14ac:dyDescent="0.25">
      <c r="A62" s="2" t="s">
        <v>104</v>
      </c>
      <c r="B62" s="2">
        <f>SUMIF('01_Manufacturing_Data'!$Q$2:$Q$1001,$A62,'01_Manufacturing_Data'!$AL$2:$AL$1001)</f>
        <v>36.183333333333316</v>
      </c>
      <c r="C62" s="2"/>
      <c r="D62" s="2"/>
      <c r="E62" s="2"/>
      <c r="F62" s="2"/>
      <c r="G62" s="2"/>
      <c r="H62" s="2"/>
    </row>
    <row r="63" spans="1:9" x14ac:dyDescent="0.25">
      <c r="A63" s="2" t="s">
        <v>102</v>
      </c>
      <c r="B63" s="2">
        <f>SUMIF('01_Manufacturing_Data'!$Q$2:$Q$1001,$A63,'01_Manufacturing_Data'!$AL$2:$AL$1001)</f>
        <v>37.883333333333333</v>
      </c>
      <c r="C63" s="2"/>
      <c r="D63" s="2"/>
      <c r="E63" s="2"/>
      <c r="F63" s="2"/>
      <c r="G63" s="2"/>
      <c r="H63" s="2"/>
    </row>
    <row r="64" spans="1:9" x14ac:dyDescent="0.25">
      <c r="A64" s="2" t="s">
        <v>91</v>
      </c>
      <c r="B64" s="2">
        <f>SUMIF('01_Manufacturing_Data'!$Q$2:$Q$1001,$A64,'01_Manufacturing_Data'!$AL$2:$AL$1001)</f>
        <v>30.116666666666671</v>
      </c>
      <c r="C64" s="2"/>
      <c r="D64" s="2"/>
      <c r="E64" s="2"/>
      <c r="F64" s="2"/>
      <c r="G64" s="2"/>
      <c r="H64" s="2"/>
    </row>
    <row r="65" spans="1:8" x14ac:dyDescent="0.25">
      <c r="A65" s="2" t="s">
        <v>97</v>
      </c>
      <c r="B65" s="2">
        <f>SUMIF('01_Manufacturing_Data'!$Q$2:$Q$1001,$A65,'01_Manufacturing_Data'!$AL$2:$AL$1001)</f>
        <v>54.84999999999998</v>
      </c>
      <c r="C65" s="2"/>
      <c r="D65" s="2"/>
      <c r="E65" s="2"/>
      <c r="F65" s="2"/>
      <c r="G65" s="2"/>
      <c r="H65" s="2"/>
    </row>
    <row r="66" spans="1:8" x14ac:dyDescent="0.25">
      <c r="A66" t="s">
        <v>94</v>
      </c>
      <c r="B66">
        <f>SUMIF('01_Manufacturing_Data'!$Q$2:$Q$1001,$A66,'01_Manufacturing_Data'!$AL$2:$AL$1001)</f>
        <v>48.083333333333329</v>
      </c>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ht="18" x14ac:dyDescent="0.25">
      <c r="A69" s="1" t="s">
        <v>1264</v>
      </c>
      <c r="H69" s="2"/>
    </row>
    <row r="70" spans="1:8" x14ac:dyDescent="0.25">
      <c r="A70" s="19" t="s">
        <v>1265</v>
      </c>
      <c r="B70" s="19" t="s">
        <v>1252</v>
      </c>
      <c r="C70" s="19" t="s">
        <v>1254</v>
      </c>
      <c r="D70" s="19" t="s">
        <v>1246</v>
      </c>
      <c r="E70" s="19" t="s">
        <v>1247</v>
      </c>
      <c r="F70" s="19" t="s">
        <v>25</v>
      </c>
      <c r="G70" s="19" t="s">
        <v>31</v>
      </c>
      <c r="H70" s="2"/>
    </row>
    <row r="71" spans="1:8" x14ac:dyDescent="0.25">
      <c r="A71" s="2" t="s">
        <v>1266</v>
      </c>
      <c r="B71" s="2">
        <f>SUMPRODUCT((TEXT('01_Manufacturing_Data'!$B$2:$B$1001,"yyyy-mm")=$A71)*('01_Manufacturing_Data'!$L$2:$L$1001))</f>
        <v>123582</v>
      </c>
      <c r="C71" s="2">
        <f>SUMPRODUCT((TEXT('01_Manufacturing_Data'!$B$2:$B$1001,"yyyy-mm")=$A71)*('01_Manufacturing_Data'!$AL$2:$AL$1001))</f>
        <v>74.916666666666686</v>
      </c>
      <c r="D71" s="2">
        <f>AVERAGEIF('01_Manufacturing_Data'!$B$2:$B$1001,"&gt;="&amp;DATEVALUE($A71&amp;"-01"),'01_Manufacturing_Data'!$AT$2:$AT$1001)</f>
        <v>7.4067033348672116</v>
      </c>
      <c r="E71" s="2">
        <f>AVERAGEIF('01_Manufacturing_Data'!$B$2:$B$1001,"&gt;="&amp;DATEVALUE($A71&amp;"-01"),'01_Manufacturing_Data'!$AI$2:$AI$1001)</f>
        <v>6.4913476247897409E-2</v>
      </c>
      <c r="F71" s="2">
        <f>SUMPRODUCT((TEXT('01_Manufacturing_Data'!$B$2:$B$1001,"yyyy-mm")=$A71)*('01_Manufacturing_Data'!$AA$2:$AA$1001))</f>
        <v>4495019.4499999983</v>
      </c>
      <c r="G71" s="2">
        <f>SUMPRODUCT((TEXT('01_Manufacturing_Data'!$B$2:$B$1001,"yyyy-mm")=$A71)*('01_Manufacturing_Data'!$AG$2:$AG$1001))</f>
        <v>902331.40646003082</v>
      </c>
      <c r="H71" s="2"/>
    </row>
    <row r="72" spans="1:8" x14ac:dyDescent="0.25">
      <c r="A72" s="2" t="s">
        <v>1267</v>
      </c>
      <c r="B72" s="2">
        <f>SUMPRODUCT((TEXT('01_Manufacturing_Data'!$B$2:$B$1001,"yyyy-mm")=$A72)*('01_Manufacturing_Data'!$L$2:$L$1001))</f>
        <v>108462</v>
      </c>
      <c r="C72" s="2">
        <f>SUMPRODUCT((TEXT('01_Manufacturing_Data'!$B$2:$B$1001,"yyyy-mm")=$A72)*('01_Manufacturing_Data'!$AL$2:$AL$1001))</f>
        <v>64.216666666666654</v>
      </c>
      <c r="D72" s="2">
        <f>AVERAGEIF('01_Manufacturing_Data'!$B$2:$B$1001,"&gt;="&amp;DATEVALUE($A72&amp;"-01"),'01_Manufacturing_Data'!$AT$2:$AT$1001)</f>
        <v>7.4091825172127939</v>
      </c>
      <c r="E72" s="2">
        <f>AVERAGEIF('01_Manufacturing_Data'!$B$2:$B$1001,"&gt;="&amp;DATEVALUE($A72&amp;"-01"),'01_Manufacturing_Data'!$AI$2:$AI$1001)</f>
        <v>6.5042592282781489E-2</v>
      </c>
      <c r="F72" s="2">
        <f>SUMPRODUCT((TEXT('01_Manufacturing_Data'!$B$2:$B$1001,"yyyy-mm")=$A72)*('01_Manufacturing_Data'!$AA$2:$AA$1001))</f>
        <v>3931055.3700000015</v>
      </c>
      <c r="G72" s="2">
        <f>SUMPRODUCT((TEXT('01_Manufacturing_Data'!$B$2:$B$1001,"yyyy-mm")=$A72)*('01_Manufacturing_Data'!$AG$2:$AG$1001))</f>
        <v>795803.52180837863</v>
      </c>
      <c r="H72" s="2"/>
    </row>
    <row r="73" spans="1:8" x14ac:dyDescent="0.25">
      <c r="A73" s="2" t="s">
        <v>1268</v>
      </c>
      <c r="B73" s="2">
        <f>SUMPRODUCT((TEXT('01_Manufacturing_Data'!$B$2:$B$1001,"yyyy-mm")=$A73)*('01_Manufacturing_Data'!$L$2:$L$1001))</f>
        <v>110123</v>
      </c>
      <c r="C73" s="2">
        <f>SUMPRODUCT((TEXT('01_Manufacturing_Data'!$B$2:$B$1001,"yyyy-mm")=$A73)*('01_Manufacturing_Data'!$AL$2:$AL$1001))</f>
        <v>71.75</v>
      </c>
      <c r="D73" s="2">
        <f>AVERAGEIF('01_Manufacturing_Data'!$B$2:$B$1001,"&gt;="&amp;DATEVALUE($A73&amp;"-01"),'01_Manufacturing_Data'!$AT$2:$AT$1001)</f>
        <v>7.4191089919902184</v>
      </c>
      <c r="E73" s="2">
        <f>AVERAGEIF('01_Manufacturing_Data'!$B$2:$B$1001,"&gt;="&amp;DATEVALUE($A73&amp;"-01"),'01_Manufacturing_Data'!$AI$2:$AI$1001)</f>
        <v>6.464787666574752E-2</v>
      </c>
      <c r="F73" s="2">
        <f>SUMPRODUCT((TEXT('01_Manufacturing_Data'!$B$2:$B$1001,"yyyy-mm")=$A73)*('01_Manufacturing_Data'!$AA$2:$AA$1001))</f>
        <v>3985795.9899999993</v>
      </c>
      <c r="G73" s="2">
        <f>SUMPRODUCT((TEXT('01_Manufacturing_Data'!$B$2:$B$1001,"yyyy-mm")=$A73)*('01_Manufacturing_Data'!$AG$2:$AG$1001))</f>
        <v>820438.26658378611</v>
      </c>
      <c r="H73" s="2"/>
    </row>
    <row r="74" spans="1:8" x14ac:dyDescent="0.25">
      <c r="A74" s="2" t="s">
        <v>1269</v>
      </c>
      <c r="B74" s="2">
        <f>SUMPRODUCT((TEXT('01_Manufacturing_Data'!$B$2:$B$1001,"yyyy-mm")=$A74)*('01_Manufacturing_Data'!$L$2:$L$1001))</f>
        <v>116277</v>
      </c>
      <c r="C74" s="2">
        <f>SUMPRODUCT((TEXT('01_Manufacturing_Data'!$B$2:$B$1001,"yyyy-mm")=$A74)*('01_Manufacturing_Data'!$AL$2:$AL$1001))</f>
        <v>70.666666666666671</v>
      </c>
      <c r="D74" s="2">
        <f>AVERAGEIF('01_Manufacturing_Data'!$B$2:$B$1001,"&gt;="&amp;DATEVALUE($A74&amp;"-01"),'01_Manufacturing_Data'!$AT$2:$AT$1001)</f>
        <v>7.3880466349222349</v>
      </c>
      <c r="E74" s="2">
        <f>AVERAGEIF('01_Manufacturing_Data'!$B$2:$B$1001,"&gt;="&amp;DATEVALUE($A74&amp;"-01"),'01_Manufacturing_Data'!$AI$2:$AI$1001)</f>
        <v>6.4909110974231798E-2</v>
      </c>
      <c r="F74" s="2">
        <f>SUMPRODUCT((TEXT('01_Manufacturing_Data'!$B$2:$B$1001,"yyyy-mm")=$A74)*('01_Manufacturing_Data'!$AA$2:$AA$1001))</f>
        <v>4213581.9000000004</v>
      </c>
      <c r="G74" s="2">
        <f>SUMPRODUCT((TEXT('01_Manufacturing_Data'!$B$2:$B$1001,"yyyy-mm")=$A74)*('01_Manufacturing_Data'!$AG$2:$AG$1001))</f>
        <v>865830.1035204262</v>
      </c>
      <c r="H74" s="2"/>
    </row>
    <row r="75" spans="1:8" x14ac:dyDescent="0.25">
      <c r="A75" s="2" t="s">
        <v>1270</v>
      </c>
      <c r="B75" s="2">
        <f>SUMPRODUCT((TEXT('01_Manufacturing_Data'!$B$2:$B$1001,"yyyy-mm")=$A75)*('01_Manufacturing_Data'!$L$2:$L$1001))</f>
        <v>116924</v>
      </c>
      <c r="C75" s="2">
        <f>SUMPRODUCT((TEXT('01_Manufacturing_Data'!$B$2:$B$1001,"yyyy-mm")=$A75)*('01_Manufacturing_Data'!$AL$2:$AL$1001))</f>
        <v>70.516666666666666</v>
      </c>
      <c r="D75" s="2">
        <f>AVERAGEIF('01_Manufacturing_Data'!$B$2:$B$1001,"&gt;="&amp;DATEVALUE($A75&amp;"-01"),'01_Manufacturing_Data'!$AT$2:$AT$1001)</f>
        <v>7.3310672458585966</v>
      </c>
      <c r="E75" s="2">
        <f>AVERAGEIF('01_Manufacturing_Data'!$B$2:$B$1001,"&gt;="&amp;DATEVALUE($A75&amp;"-01"),'01_Manufacturing_Data'!$AI$2:$AI$1001)</f>
        <v>6.593512996558662E-2</v>
      </c>
      <c r="F75" s="2">
        <f>SUMPRODUCT((TEXT('01_Manufacturing_Data'!$B$2:$B$1001,"yyyy-mm")=$A75)*('01_Manufacturing_Data'!$AA$2:$AA$1001))</f>
        <v>4200843.57</v>
      </c>
      <c r="G75" s="2">
        <f>SUMPRODUCT((TEXT('01_Manufacturing_Data'!$B$2:$B$1001,"yyyy-mm")=$A75)*('01_Manufacturing_Data'!$AG$2:$AG$1001))</f>
        <v>862447.96542130783</v>
      </c>
      <c r="H75" s="2"/>
    </row>
    <row r="76" spans="1:8" x14ac:dyDescent="0.25">
      <c r="A76" t="s">
        <v>1271</v>
      </c>
      <c r="B76">
        <f>SUMPRODUCT((TEXT('01_Manufacturing_Data'!$B$2:$B$1001,"yyyy-mm")=$A76)*('01_Manufacturing_Data'!$L$2:$L$1001))</f>
        <v>116813</v>
      </c>
      <c r="C76">
        <f>SUMPRODUCT((TEXT('01_Manufacturing_Data'!$B$2:$B$1001,"yyyy-mm")=$A76)*('01_Manufacturing_Data'!$AL$2:$AL$1001))</f>
        <v>68.883333333333283</v>
      </c>
      <c r="D76">
        <f>AVERAGEIF('01_Manufacturing_Data'!$B$2:$B$1001,"&gt;="&amp;DATEVALUE($A76&amp;"-01"),'01_Manufacturing_Data'!$AT$2:$AT$1001)</f>
        <v>7.2691649963955545</v>
      </c>
      <c r="E76">
        <f>AVERAGEIF('01_Manufacturing_Data'!$B$2:$B$1001,"&gt;="&amp;DATEVALUE($A76&amp;"-01"),'01_Manufacturing_Data'!$AI$2:$AI$1001)</f>
        <v>6.3743668772700449E-2</v>
      </c>
      <c r="F76">
        <f>SUMPRODUCT((TEXT('01_Manufacturing_Data'!$B$2:$B$1001,"yyyy-mm")=$A76)*('01_Manufacturing_Data'!$AA$2:$AA$1001))</f>
        <v>4211759.4999999991</v>
      </c>
      <c r="G76">
        <f>SUMPRODUCT((TEXT('01_Manufacturing_Data'!$B$2:$B$1001,"yyyy-mm")=$A76)*('01_Manufacturing_Data'!$AG$2:$AG$1001))</f>
        <v>841817.8910198753</v>
      </c>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ht="18" x14ac:dyDescent="0.25">
      <c r="A80" s="1" t="s">
        <v>1272</v>
      </c>
      <c r="C80" s="2"/>
      <c r="D80" s="3"/>
      <c r="E80" s="2"/>
      <c r="F80" s="2"/>
      <c r="G80" s="2"/>
      <c r="H80" s="2"/>
    </row>
    <row r="81" spans="1:8" x14ac:dyDescent="0.25">
      <c r="A81" s="4" t="s">
        <v>1355</v>
      </c>
      <c r="B81" t="s">
        <v>1356</v>
      </c>
      <c r="C81" s="2"/>
      <c r="D81" s="4"/>
      <c r="F81" s="2"/>
      <c r="G81" s="2"/>
      <c r="H81" s="2"/>
    </row>
    <row r="82" spans="1:8" x14ac:dyDescent="0.25">
      <c r="A82" s="4" t="s">
        <v>1273</v>
      </c>
      <c r="B82" t="s">
        <v>61</v>
      </c>
      <c r="C82" s="2"/>
      <c r="D82" s="4"/>
      <c r="F82" s="2"/>
      <c r="G82" s="2"/>
      <c r="H82" s="2"/>
    </row>
    <row r="83" spans="1:8" x14ac:dyDescent="0.25">
      <c r="A83" s="4" t="s">
        <v>1274</v>
      </c>
      <c r="B83" t="s">
        <v>130</v>
      </c>
      <c r="C83" s="2"/>
      <c r="D83" s="4"/>
      <c r="F83" s="2"/>
      <c r="G83" s="2"/>
      <c r="H83" s="2"/>
    </row>
    <row r="84" spans="1:8" x14ac:dyDescent="0.25">
      <c r="A84" s="4" t="s">
        <v>1275</v>
      </c>
      <c r="B84" t="s">
        <v>50</v>
      </c>
      <c r="C84" s="2"/>
      <c r="D84" s="4"/>
      <c r="F84" s="2"/>
      <c r="G84" s="2"/>
      <c r="H84" s="2"/>
    </row>
    <row r="85" spans="1:8" x14ac:dyDescent="0.25">
      <c r="A85" s="4" t="s">
        <v>1276</v>
      </c>
      <c r="B85" t="s">
        <v>78</v>
      </c>
      <c r="D85" s="4"/>
    </row>
    <row r="86" spans="1:8" x14ac:dyDescent="0.25">
      <c r="A86" s="4" t="s">
        <v>1277</v>
      </c>
      <c r="B86" t="str">
        <f>INDEX(A21:A35,MATCH(MIN(D21:D35),D21:D35,0))</f>
        <v>M303</v>
      </c>
      <c r="D86" s="4"/>
    </row>
    <row r="87" spans="1:8" x14ac:dyDescent="0.25">
      <c r="A87" s="4" t="s">
        <v>1278</v>
      </c>
      <c r="B87" t="s">
        <v>54</v>
      </c>
      <c r="D87" s="4"/>
    </row>
    <row r="88" spans="1:8" x14ac:dyDescent="0.25">
      <c r="A88" s="4" t="s">
        <v>1279</v>
      </c>
      <c r="B88" t="s">
        <v>126</v>
      </c>
      <c r="D88" s="4"/>
    </row>
    <row r="89" spans="1:8" x14ac:dyDescent="0.25">
      <c r="A89" s="4" t="s">
        <v>1280</v>
      </c>
      <c r="B89" t="s">
        <v>68</v>
      </c>
      <c r="D89" s="4"/>
    </row>
    <row r="90" spans="1:8" x14ac:dyDescent="0.25">
      <c r="A90" s="4" t="s">
        <v>1281</v>
      </c>
      <c r="B90" t="str">
        <f>INDEX(A21:A35,MATCH(MAX(G21:G35),G21:G35,0))</f>
        <v>M303</v>
      </c>
      <c r="D90" s="4"/>
    </row>
    <row r="91" spans="1:8" x14ac:dyDescent="0.25">
      <c r="A91" s="4" t="s">
        <v>1282</v>
      </c>
      <c r="B91" t="s">
        <v>78</v>
      </c>
      <c r="D91" s="4"/>
      <c r="E91" s="5"/>
    </row>
    <row r="92" spans="1:8" x14ac:dyDescent="0.25">
      <c r="A92" s="4" t="s">
        <v>1363</v>
      </c>
      <c r="B92" s="5">
        <f>B3</f>
        <v>692181</v>
      </c>
      <c r="D92" s="4"/>
    </row>
    <row r="93" spans="1:8" x14ac:dyDescent="0.25">
      <c r="A93" s="4" t="s">
        <v>1283</v>
      </c>
      <c r="B93" t="s">
        <v>51</v>
      </c>
      <c r="D93" s="4"/>
    </row>
    <row r="94" spans="1:8" ht="30" x14ac:dyDescent="0.25">
      <c r="A94" s="4" t="s">
        <v>1284</v>
      </c>
      <c r="B94" t="s">
        <v>1362</v>
      </c>
    </row>
    <row r="95" spans="1:8" x14ac:dyDescent="0.25">
      <c r="A95" s="4"/>
    </row>
    <row r="96" spans="1:8" x14ac:dyDescent="0.25">
      <c r="A96" s="4"/>
      <c r="B96" s="5"/>
    </row>
    <row r="97" spans="1:1" x14ac:dyDescent="0.25">
      <c r="A97" s="4"/>
    </row>
    <row r="98" spans="1:1" ht="15" customHeight="1" x14ac:dyDescent="0.25">
      <c r="A98" s="4"/>
    </row>
  </sheetData>
  <mergeCells count="1">
    <mergeCell ref="A1:J1"/>
  </mergeCells>
  <pageMargins left="0.75" right="0.75" top="1" bottom="1" header="0.511811023622047" footer="0.511811023622047"/>
  <pageSetup paperSize="9" orientation="portrait" horizontalDpi="300" verticalDpi="300" r:id="rId1"/>
  <tableParts count="8">
    <tablePart r:id="rId2"/>
    <tablePart r:id="rId3"/>
    <tablePart r:id="rId4"/>
    <tablePart r:id="rId5"/>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5"/>
  <sheetViews>
    <sheetView tabSelected="1" zoomScale="81" zoomScaleNormal="142" workbookViewId="0">
      <selection activeCell="B10" sqref="B10"/>
    </sheetView>
  </sheetViews>
  <sheetFormatPr defaultColWidth="8.7109375" defaultRowHeight="15" customHeight="1" x14ac:dyDescent="0.25"/>
  <cols>
    <col min="1" max="1" width="48" customWidth="1"/>
    <col min="2" max="2" width="28" customWidth="1"/>
    <col min="3" max="3" width="19.85546875" customWidth="1"/>
    <col min="4" max="4" width="21.42578125" customWidth="1"/>
  </cols>
  <sheetData>
    <row r="1" spans="1:10" ht="27.75" customHeight="1" x14ac:dyDescent="0.3">
      <c r="A1" s="80" t="s">
        <v>1285</v>
      </c>
      <c r="B1" s="80"/>
      <c r="C1" s="80"/>
      <c r="D1" s="80"/>
      <c r="E1" s="80"/>
      <c r="F1" s="80"/>
      <c r="G1" s="80"/>
      <c r="H1" s="80"/>
      <c r="I1" s="80"/>
      <c r="J1" s="80"/>
    </row>
    <row r="2" spans="1:10" x14ac:dyDescent="0.25">
      <c r="A2" s="11" t="s">
        <v>1286</v>
      </c>
      <c r="B2" s="11" t="s">
        <v>1354</v>
      </c>
    </row>
    <row r="3" spans="1:10" x14ac:dyDescent="0.25">
      <c r="A3" s="60" t="s">
        <v>1364</v>
      </c>
      <c r="B3" s="60" t="s">
        <v>1369</v>
      </c>
    </row>
    <row r="4" spans="1:10" x14ac:dyDescent="0.25">
      <c r="A4" s="60" t="s">
        <v>1287</v>
      </c>
      <c r="B4" s="60" t="s">
        <v>1368</v>
      </c>
    </row>
    <row r="5" spans="1:10" x14ac:dyDescent="0.25">
      <c r="A5" s="60" t="s">
        <v>1288</v>
      </c>
      <c r="B5" s="60" t="s">
        <v>1367</v>
      </c>
    </row>
    <row r="6" spans="1:10" x14ac:dyDescent="0.25">
      <c r="A6" s="60" t="s">
        <v>1289</v>
      </c>
      <c r="B6" s="60" t="s">
        <v>1370</v>
      </c>
    </row>
    <row r="7" spans="1:10" x14ac:dyDescent="0.25">
      <c r="A7" s="60" t="s">
        <v>1290</v>
      </c>
      <c r="B7" s="60" t="s">
        <v>1371</v>
      </c>
    </row>
    <row r="8" spans="1:10" x14ac:dyDescent="0.25">
      <c r="A8" s="60" t="s">
        <v>1291</v>
      </c>
      <c r="B8" s="60" t="s">
        <v>1372</v>
      </c>
    </row>
    <row r="9" spans="1:10" x14ac:dyDescent="0.25">
      <c r="A9" s="60" t="s">
        <v>1292</v>
      </c>
      <c r="B9" s="60" t="s">
        <v>1373</v>
      </c>
    </row>
    <row r="10" spans="1:10" ht="15" customHeight="1" x14ac:dyDescent="0.25">
      <c r="B10" s="133" t="s">
        <v>1374</v>
      </c>
    </row>
    <row r="11" spans="1:10" ht="18" x14ac:dyDescent="0.25">
      <c r="A11" s="1" t="s">
        <v>1293</v>
      </c>
    </row>
    <row r="12" spans="1:10" x14ac:dyDescent="0.25">
      <c r="A12" s="48" t="s">
        <v>1294</v>
      </c>
      <c r="B12" s="48"/>
      <c r="C12" s="48"/>
    </row>
    <row r="13" spans="1:10" x14ac:dyDescent="0.25">
      <c r="A13" s="48" t="s">
        <v>1295</v>
      </c>
      <c r="B13" s="48"/>
      <c r="C13" s="48"/>
    </row>
    <row r="14" spans="1:10" x14ac:dyDescent="0.25">
      <c r="A14" s="48" t="s">
        <v>1296</v>
      </c>
      <c r="B14" s="48"/>
      <c r="C14" s="48"/>
    </row>
    <row r="15" spans="1:10" x14ac:dyDescent="0.25">
      <c r="A15" s="48" t="s">
        <v>1297</v>
      </c>
      <c r="B15" s="48"/>
      <c r="C15" s="48"/>
    </row>
    <row r="16" spans="1:10" x14ac:dyDescent="0.25">
      <c r="A16" s="48" t="s">
        <v>1298</v>
      </c>
      <c r="B16" s="48"/>
      <c r="C16" s="48"/>
    </row>
    <row r="19" spans="1:4" x14ac:dyDescent="0.25">
      <c r="A19" s="19" t="s">
        <v>1299</v>
      </c>
      <c r="B19" s="19" t="s">
        <v>1246</v>
      </c>
      <c r="C19" s="19" t="s">
        <v>1254</v>
      </c>
      <c r="D19" s="19" t="s">
        <v>1256</v>
      </c>
    </row>
    <row r="20" spans="1:4" x14ac:dyDescent="0.25">
      <c r="A20" s="48" t="str">
        <f>'04_Calculations'!A25</f>
        <v>M101</v>
      </c>
      <c r="B20" s="54">
        <f>'04_Calculations'!D25</f>
        <v>0.91540950433770796</v>
      </c>
      <c r="C20" s="48">
        <f>'04_Calculations'!C25</f>
        <v>26.283333333333335</v>
      </c>
      <c r="D20" s="61">
        <f>'04_Calculations'!E25</f>
        <v>3.9920091199513945E-2</v>
      </c>
    </row>
    <row r="21" spans="1:4" x14ac:dyDescent="0.25">
      <c r="A21" s="48" t="str">
        <f>'04_Calculations'!A26</f>
        <v>M102</v>
      </c>
      <c r="B21" s="54">
        <f>'04_Calculations'!D26</f>
        <v>0.91167136329414178</v>
      </c>
      <c r="C21" s="48">
        <f>'04_Calculations'!C26</f>
        <v>29.049999999999997</v>
      </c>
      <c r="D21" s="61">
        <f>'04_Calculations'!E26</f>
        <v>5.7823801612313708E-2</v>
      </c>
    </row>
    <row r="22" spans="1:4" x14ac:dyDescent="0.25">
      <c r="A22" s="48" t="str">
        <f>'04_Calculations'!A27</f>
        <v>M103</v>
      </c>
      <c r="B22" s="54">
        <f>'04_Calculations'!D27</f>
        <v>0.94083708394520971</v>
      </c>
      <c r="C22" s="48">
        <f>'04_Calculations'!C27</f>
        <v>22.499999999999996</v>
      </c>
      <c r="D22" s="61">
        <f>'04_Calculations'!E27</f>
        <v>4.8997980609044069E-2</v>
      </c>
    </row>
    <row r="23" spans="1:4" x14ac:dyDescent="0.25">
      <c r="A23" s="48" t="str">
        <f>'04_Calculations'!A28</f>
        <v>M201</v>
      </c>
      <c r="B23" s="54">
        <f>'04_Calculations'!D28</f>
        <v>0.84793916451371298</v>
      </c>
      <c r="C23" s="48">
        <f>'04_Calculations'!C28</f>
        <v>29.783333333333331</v>
      </c>
      <c r="D23" s="61">
        <f>'04_Calculations'!E28</f>
        <v>6.726219088095145E-2</v>
      </c>
    </row>
    <row r="24" spans="1:4" x14ac:dyDescent="0.25">
      <c r="A24" s="48" t="str">
        <f>'04_Calculations'!A29</f>
        <v>M202</v>
      </c>
      <c r="B24" s="54">
        <f>'04_Calculations'!D29</f>
        <v>0.87788801157646867</v>
      </c>
      <c r="C24" s="48">
        <f>'04_Calculations'!C29</f>
        <v>28.18333333333333</v>
      </c>
      <c r="D24" s="61">
        <f>'04_Calculations'!E29</f>
        <v>4.958407556013502E-2</v>
      </c>
    </row>
    <row r="25" spans="1:4" x14ac:dyDescent="0.25">
      <c r="A25" s="48" t="str">
        <f>'04_Calculations'!A30</f>
        <v>M203</v>
      </c>
      <c r="B25" s="54">
        <f>'04_Calculations'!D30</f>
        <v>0.82974936421872469</v>
      </c>
      <c r="C25" s="48">
        <f>'04_Calculations'!C30</f>
        <v>36.666666666666664</v>
      </c>
      <c r="D25" s="61">
        <f>'04_Calculations'!E30</f>
        <v>7.9715093781731569E-2</v>
      </c>
    </row>
    <row r="26" spans="1:4" x14ac:dyDescent="0.25">
      <c r="A26" s="48" t="str">
        <f>'04_Calculations'!A31</f>
        <v>M301</v>
      </c>
      <c r="B26" s="54">
        <f>'04_Calculations'!D31</f>
        <v>0.81390044735839251</v>
      </c>
      <c r="C26" s="48">
        <f>'04_Calculations'!C31</f>
        <v>26.133333333333333</v>
      </c>
      <c r="D26" s="61">
        <f>'04_Calculations'!E31</f>
        <v>8.8204969877140299E-2</v>
      </c>
    </row>
    <row r="27" spans="1:4" x14ac:dyDescent="0.25">
      <c r="A27" s="48" t="str">
        <f>'04_Calculations'!A32</f>
        <v>M302</v>
      </c>
      <c r="B27" s="54">
        <f>'04_Calculations'!D32</f>
        <v>0.81692992320272317</v>
      </c>
      <c r="C27" s="48">
        <f>'04_Calculations'!C32</f>
        <v>32.349999999999994</v>
      </c>
      <c r="D27" s="61">
        <f>'04_Calculations'!E32</f>
        <v>6.0029975813043562E-2</v>
      </c>
    </row>
    <row r="28" spans="1:4" x14ac:dyDescent="0.25">
      <c r="A28" s="48" t="str">
        <f>'04_Calculations'!A33</f>
        <v>M303</v>
      </c>
      <c r="B28" s="54">
        <f>'04_Calculations'!D33</f>
        <v>0.73698347551810595</v>
      </c>
      <c r="C28" s="48">
        <f>'04_Calculations'!C33</f>
        <v>39.916666666666657</v>
      </c>
      <c r="D28" s="61">
        <f>'04_Calculations'!E33</f>
        <v>0.13973805141432005</v>
      </c>
    </row>
    <row r="29" spans="1:4" x14ac:dyDescent="0.25">
      <c r="A29" s="48" t="str">
        <f>'04_Calculations'!A34</f>
        <v>M401</v>
      </c>
      <c r="B29" s="54">
        <f>'04_Calculations'!D34</f>
        <v>0.95947888124569525</v>
      </c>
      <c r="C29" s="48">
        <f>'04_Calculations'!C34</f>
        <v>17.016666666666669</v>
      </c>
      <c r="D29" s="61">
        <f>'04_Calculations'!E34</f>
        <v>3.755826833672412E-2</v>
      </c>
    </row>
    <row r="30" spans="1:4" x14ac:dyDescent="0.25">
      <c r="A30" s="48" t="str">
        <f>'04_Calculations'!A35</f>
        <v>M402</v>
      </c>
      <c r="B30" s="54">
        <f>'04_Calculations'!D35</f>
        <v>0.93916038268869539</v>
      </c>
      <c r="C30" s="48">
        <f>'04_Calculations'!C35</f>
        <v>22.86666666666666</v>
      </c>
      <c r="D30" s="61">
        <f>'04_Calculations'!E35</f>
        <v>4.9168985177685129E-2</v>
      </c>
    </row>
    <row r="31" spans="1:4" x14ac:dyDescent="0.25">
      <c r="A31" s="48" t="str">
        <f>'04_Calculations'!A36</f>
        <v>M403</v>
      </c>
      <c r="B31" s="54">
        <f>'04_Calculations'!D36</f>
        <v>0.92402508136300132</v>
      </c>
      <c r="C31" s="48">
        <f>'04_Calculations'!C36</f>
        <v>25.966666666666661</v>
      </c>
      <c r="D31" s="61">
        <f>'04_Calculations'!E36</f>
        <v>5.8163247233769304E-2</v>
      </c>
    </row>
    <row r="32" spans="1:4" x14ac:dyDescent="0.25">
      <c r="A32" s="48" t="str">
        <f>'04_Calculations'!A37</f>
        <v>M501</v>
      </c>
      <c r="B32" s="54">
        <f>'04_Calculations'!D37</f>
        <v>0.87744689341326054</v>
      </c>
      <c r="C32" s="48">
        <f>'04_Calculations'!C37</f>
        <v>26.533333333333339</v>
      </c>
      <c r="D32" s="61">
        <f>'04_Calculations'!E37</f>
        <v>6.7615202123703103E-2</v>
      </c>
    </row>
    <row r="33" spans="1:4" x14ac:dyDescent="0.25">
      <c r="A33" s="48" t="str">
        <f>'04_Calculations'!A38</f>
        <v>M502</v>
      </c>
      <c r="B33" s="54">
        <f>'04_Calculations'!D38</f>
        <v>0.82621508931937915</v>
      </c>
      <c r="C33" s="48">
        <f>'04_Calculations'!C38</f>
        <v>34.050000000000004</v>
      </c>
      <c r="D33" s="61">
        <f>'04_Calculations'!E38</f>
        <v>9.8814590825057766E-2</v>
      </c>
    </row>
    <row r="34" spans="1:4" x14ac:dyDescent="0.25">
      <c r="A34" s="48" t="str">
        <f>'04_Calculations'!A39</f>
        <v>M503</v>
      </c>
      <c r="B34" s="54">
        <f>'04_Calculations'!D39</f>
        <v>0.89922384902939967</v>
      </c>
      <c r="C34" s="48">
        <f>'04_Calculations'!C39</f>
        <v>23.650000000000006</v>
      </c>
      <c r="D34" s="61">
        <f>'04_Calculations'!E39</f>
        <v>4.7027431386198068E-2</v>
      </c>
    </row>
    <row r="35" spans="1:4" ht="15" customHeight="1" x14ac:dyDescent="0.25">
      <c r="A35" s="48"/>
      <c r="B35" s="48"/>
      <c r="C35" s="48"/>
      <c r="D35" s="48"/>
    </row>
  </sheetData>
  <mergeCells count="1">
    <mergeCell ref="A1:J1"/>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7"/>
  <sheetViews>
    <sheetView topLeftCell="A21" zoomScale="63" zoomScaleNormal="100" workbookViewId="0">
      <selection activeCell="B28" sqref="B28"/>
    </sheetView>
  </sheetViews>
  <sheetFormatPr defaultColWidth="8.7109375" defaultRowHeight="15" customHeight="1" x14ac:dyDescent="0.25"/>
  <cols>
    <col min="1" max="1" width="34" customWidth="1"/>
    <col min="2" max="2" width="28" customWidth="1"/>
    <col min="3" max="3" width="15.140625" customWidth="1"/>
    <col min="4" max="4" width="13.28515625" customWidth="1"/>
  </cols>
  <sheetData>
    <row r="1" spans="1:10" ht="27.75" customHeight="1" x14ac:dyDescent="0.3">
      <c r="A1" s="80" t="s">
        <v>1300</v>
      </c>
      <c r="B1" s="80"/>
      <c r="C1" s="80"/>
      <c r="D1" s="80"/>
      <c r="E1" s="80"/>
      <c r="F1" s="80"/>
      <c r="G1" s="80"/>
      <c r="H1" s="80"/>
      <c r="I1" s="80"/>
      <c r="J1" s="80"/>
    </row>
    <row r="2" spans="1:10" x14ac:dyDescent="0.25">
      <c r="A2" s="11" t="s">
        <v>1286</v>
      </c>
      <c r="B2" s="22" t="s">
        <v>1354</v>
      </c>
    </row>
    <row r="3" spans="1:10" x14ac:dyDescent="0.25">
      <c r="A3" s="36" t="s">
        <v>1301</v>
      </c>
      <c r="B3" s="36" t="s">
        <v>68</v>
      </c>
      <c r="C3" s="27"/>
      <c r="D3" s="27"/>
      <c r="E3" s="27"/>
    </row>
    <row r="4" spans="1:10" x14ac:dyDescent="0.25">
      <c r="A4" s="36" t="s">
        <v>1302</v>
      </c>
      <c r="B4" s="36" t="s">
        <v>130</v>
      </c>
      <c r="C4" s="27"/>
      <c r="D4" s="27"/>
      <c r="E4" s="27"/>
    </row>
    <row r="5" spans="1:10" x14ac:dyDescent="0.25">
      <c r="A5" s="36" t="s">
        <v>1303</v>
      </c>
      <c r="B5" s="36" t="s">
        <v>78</v>
      </c>
      <c r="C5" s="27"/>
      <c r="D5" s="27"/>
      <c r="E5" s="27"/>
    </row>
    <row r="6" spans="1:10" x14ac:dyDescent="0.25">
      <c r="A6" s="36" t="s">
        <v>1304</v>
      </c>
      <c r="B6" s="62">
        <v>301043.7</v>
      </c>
      <c r="C6" s="27"/>
      <c r="D6" s="27"/>
      <c r="E6" s="27"/>
    </row>
    <row r="7" spans="1:10" x14ac:dyDescent="0.25">
      <c r="A7" s="36" t="s">
        <v>1305</v>
      </c>
      <c r="B7" s="36" t="s">
        <v>51</v>
      </c>
      <c r="C7" s="27"/>
      <c r="D7" s="27"/>
      <c r="E7" s="27"/>
    </row>
    <row r="8" spans="1:10" x14ac:dyDescent="0.25">
      <c r="A8" s="36" t="s">
        <v>1306</v>
      </c>
      <c r="B8" s="36" t="s">
        <v>1365</v>
      </c>
      <c r="C8" s="27"/>
      <c r="D8" s="27"/>
      <c r="E8" s="27"/>
    </row>
    <row r="9" spans="1:10" ht="15" customHeight="1" x14ac:dyDescent="0.25">
      <c r="A9" s="27"/>
      <c r="B9" s="27"/>
      <c r="C9" s="27"/>
      <c r="D9" s="27"/>
      <c r="E9" s="27"/>
    </row>
    <row r="10" spans="1:10" ht="15" customHeight="1" x14ac:dyDescent="0.25">
      <c r="A10" s="27"/>
      <c r="B10" s="27"/>
      <c r="C10" s="27"/>
      <c r="D10" s="27"/>
      <c r="E10" s="27"/>
    </row>
    <row r="11" spans="1:10" ht="18" x14ac:dyDescent="0.25">
      <c r="A11" s="58" t="s">
        <v>1307</v>
      </c>
      <c r="B11" s="27"/>
      <c r="C11" s="27"/>
      <c r="D11" s="27"/>
      <c r="E11" s="27"/>
    </row>
    <row r="12" spans="1:10" x14ac:dyDescent="0.25">
      <c r="A12" s="27" t="s">
        <v>1308</v>
      </c>
      <c r="B12" s="27"/>
      <c r="C12" s="27"/>
      <c r="D12" s="27"/>
      <c r="E12" s="27"/>
    </row>
    <row r="13" spans="1:10" x14ac:dyDescent="0.25">
      <c r="A13" s="27" t="s">
        <v>1309</v>
      </c>
      <c r="B13" s="27"/>
      <c r="C13" s="27"/>
      <c r="D13" s="27"/>
      <c r="E13" s="27"/>
    </row>
    <row r="14" spans="1:10" x14ac:dyDescent="0.25">
      <c r="A14" s="27" t="s">
        <v>1310</v>
      </c>
      <c r="B14" s="27"/>
      <c r="C14" s="27"/>
      <c r="D14" s="27"/>
      <c r="E14" s="27"/>
    </row>
    <row r="15" spans="1:10" x14ac:dyDescent="0.25">
      <c r="A15" s="27" t="s">
        <v>1311</v>
      </c>
      <c r="B15" s="27"/>
      <c r="C15" s="27"/>
      <c r="D15" s="27"/>
      <c r="E15" s="27"/>
    </row>
    <row r="16" spans="1:10" x14ac:dyDescent="0.25">
      <c r="A16" s="27" t="s">
        <v>1312</v>
      </c>
      <c r="B16" s="27"/>
      <c r="C16" s="27"/>
      <c r="D16" s="27"/>
      <c r="E16" s="27"/>
    </row>
    <row r="17" spans="1:5" x14ac:dyDescent="0.25">
      <c r="A17" s="27" t="s">
        <v>1313</v>
      </c>
      <c r="B17" s="27"/>
      <c r="C17" s="27"/>
      <c r="D17" s="27"/>
      <c r="E17" s="27"/>
    </row>
    <row r="18" spans="1:5" ht="15" customHeight="1" x14ac:dyDescent="0.25">
      <c r="A18" s="27"/>
      <c r="B18" s="27"/>
      <c r="C18" s="27"/>
      <c r="D18" s="27"/>
      <c r="E18" s="27"/>
    </row>
    <row r="19" spans="1:5" ht="15" customHeight="1" x14ac:dyDescent="0.25">
      <c r="A19" s="27"/>
      <c r="B19" s="27"/>
      <c r="C19" s="27"/>
      <c r="D19" s="27"/>
      <c r="E19" s="27"/>
    </row>
    <row r="20" spans="1:5" x14ac:dyDescent="0.25">
      <c r="A20" s="22" t="s">
        <v>1314</v>
      </c>
      <c r="B20" s="22" t="s">
        <v>1247</v>
      </c>
      <c r="C20" s="22" t="s">
        <v>1366</v>
      </c>
      <c r="D20" s="22" t="s">
        <v>31</v>
      </c>
      <c r="E20" s="27"/>
    </row>
    <row r="21" spans="1:5" x14ac:dyDescent="0.25">
      <c r="A21" s="36" t="str">
        <f>'04_Calculations'!A50</f>
        <v>Product A</v>
      </c>
      <c r="B21" s="63">
        <f>AVERAGEIF('01_Manufacturing_Data'!$H$2:$H$1001,$A21,'01_Manufacturing_Data'!$AI$2:$AI$1001)</f>
        <v>6.3211363028460241E-2</v>
      </c>
      <c r="C21" s="36">
        <f>'04_Calculations'!E50</f>
        <v>3595</v>
      </c>
      <c r="D21" s="36">
        <f>'04_Calculations'!G50</f>
        <v>5774816.5200000042</v>
      </c>
      <c r="E21" s="27"/>
    </row>
    <row r="22" spans="1:5" x14ac:dyDescent="0.25">
      <c r="A22" s="36" t="str">
        <f>'04_Calculations'!A51</f>
        <v>Product B</v>
      </c>
      <c r="B22" s="63">
        <f>AVERAGEIF('01_Manufacturing_Data'!$H$2:$H$1001,$A22,'01_Manufacturing_Data'!$AI$2:$AI$1001)</f>
        <v>6.5182211636825568E-2</v>
      </c>
      <c r="C22" s="36">
        <f>'04_Calculations'!E51</f>
        <v>2984</v>
      </c>
      <c r="D22" s="36">
        <f>'04_Calculations'!G51</f>
        <v>5543057.4999999981</v>
      </c>
      <c r="E22" s="27"/>
    </row>
    <row r="23" spans="1:5" x14ac:dyDescent="0.25">
      <c r="A23" s="36" t="str">
        <f>'04_Calculations'!A52</f>
        <v>Product C</v>
      </c>
      <c r="B23" s="63">
        <f>AVERAGEIF('01_Manufacturing_Data'!$H$2:$H$1001,$A23,'01_Manufacturing_Data'!$AI$2:$AI$1001)</f>
        <v>6.4527123127614536E-2</v>
      </c>
      <c r="C23" s="36">
        <f>'04_Calculations'!E52</f>
        <v>2130</v>
      </c>
      <c r="D23" s="36">
        <f>'04_Calculations'!G52</f>
        <v>4791216.51</v>
      </c>
      <c r="E23" s="27"/>
    </row>
    <row r="24" spans="1:5" x14ac:dyDescent="0.25">
      <c r="A24" s="36" t="str">
        <f>'04_Calculations'!A53</f>
        <v>Product D</v>
      </c>
      <c r="B24" s="63">
        <f>AVERAGEIF('01_Manufacturing_Data'!$H$2:$H$1001,$A24,'01_Manufacturing_Data'!$AI$2:$AI$1001)</f>
        <v>6.4731422332998084E-2</v>
      </c>
      <c r="C24" s="36">
        <f>'04_Calculations'!E53</f>
        <v>2902</v>
      </c>
      <c r="D24" s="36">
        <f>'04_Calculations'!G53</f>
        <v>4872236.6999999965</v>
      </c>
      <c r="E24" s="27"/>
    </row>
    <row r="25" spans="1:5" x14ac:dyDescent="0.25">
      <c r="A25" s="36" t="str">
        <f>'04_Calculations'!A54</f>
        <v>Product E</v>
      </c>
      <c r="B25" s="63">
        <f>AVERAGEIF('01_Manufacturing_Data'!$H$2:$H$1001,$A25,'01_Manufacturing_Data'!$AI$2:$AI$1001)</f>
        <v>6.7868298952572514E-2</v>
      </c>
      <c r="C25" s="36">
        <f>'04_Calculations'!E54</f>
        <v>1641</v>
      </c>
      <c r="D25" s="36">
        <f>'04_Calculations'!G54</f>
        <v>4056728.5499999993</v>
      </c>
      <c r="E25" s="27"/>
    </row>
    <row r="26" spans="1:5" ht="15" customHeight="1" x14ac:dyDescent="0.25">
      <c r="A26" s="27"/>
      <c r="B26" s="56"/>
      <c r="C26" s="27"/>
      <c r="D26" s="27"/>
      <c r="E26" s="27"/>
    </row>
    <row r="27" spans="1:5" ht="15" customHeight="1" x14ac:dyDescent="0.25">
      <c r="A27" s="27"/>
      <c r="B27" s="27"/>
      <c r="C27" s="27"/>
      <c r="D27" s="27"/>
      <c r="E27" s="27"/>
    </row>
  </sheetData>
  <mergeCells count="1">
    <mergeCell ref="A1:J1"/>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
  <sheetViews>
    <sheetView topLeftCell="E1" zoomScaleNormal="100" workbookViewId="0">
      <selection activeCell="D12" sqref="D12"/>
    </sheetView>
  </sheetViews>
  <sheetFormatPr defaultColWidth="8.7109375" defaultRowHeight="15" customHeight="1" x14ac:dyDescent="0.25"/>
  <cols>
    <col min="1" max="1" width="16" customWidth="1"/>
    <col min="2" max="2" width="18" customWidth="1"/>
    <col min="3" max="3" width="45" customWidth="1"/>
    <col min="4" max="4" width="25" customWidth="1"/>
    <col min="5" max="5" width="55" customWidth="1"/>
    <col min="6" max="6" width="45" customWidth="1"/>
    <col min="7" max="7" width="50" customWidth="1"/>
  </cols>
  <sheetData>
    <row r="1" spans="1:7" s="7" customFormat="1" ht="27.75" customHeight="1" x14ac:dyDescent="0.3">
      <c r="A1" s="80" t="s">
        <v>1315</v>
      </c>
      <c r="B1" s="80"/>
      <c r="C1" s="80"/>
      <c r="D1" s="80"/>
      <c r="E1" s="80"/>
      <c r="F1" s="80"/>
      <c r="G1" s="80"/>
    </row>
    <row r="2" spans="1:7" s="7" customFormat="1" x14ac:dyDescent="0.25">
      <c r="A2" s="74" t="s">
        <v>1134</v>
      </c>
      <c r="B2" s="75" t="s">
        <v>1316</v>
      </c>
      <c r="C2" s="76" t="s">
        <v>1317</v>
      </c>
      <c r="D2" s="13" t="s">
        <v>1318</v>
      </c>
      <c r="E2" s="14" t="s">
        <v>1319</v>
      </c>
      <c r="F2" s="14" t="s">
        <v>1320</v>
      </c>
      <c r="G2" s="15" t="s">
        <v>1321</v>
      </c>
    </row>
    <row r="3" spans="1:7" ht="30" x14ac:dyDescent="0.25">
      <c r="A3" s="131">
        <v>46284</v>
      </c>
      <c r="B3" s="9" t="s">
        <v>1322</v>
      </c>
      <c r="C3" s="73" t="s">
        <v>1323</v>
      </c>
      <c r="D3" s="72" t="s">
        <v>1324</v>
      </c>
      <c r="E3" s="9" t="s">
        <v>1325</v>
      </c>
      <c r="F3" s="9" t="s">
        <v>1326</v>
      </c>
      <c r="G3" s="73" t="s">
        <v>1327</v>
      </c>
    </row>
    <row r="4" spans="1:7" ht="60" x14ac:dyDescent="0.25">
      <c r="A4" s="131">
        <v>46284</v>
      </c>
      <c r="B4" s="9" t="s">
        <v>1322</v>
      </c>
      <c r="C4" s="73" t="s">
        <v>1328</v>
      </c>
      <c r="D4" s="72" t="s">
        <v>1329</v>
      </c>
      <c r="E4" s="9" t="s">
        <v>1330</v>
      </c>
      <c r="F4" s="9" t="s">
        <v>1331</v>
      </c>
      <c r="G4" s="73" t="s">
        <v>1332</v>
      </c>
    </row>
    <row r="5" spans="1:7" ht="45" x14ac:dyDescent="0.25">
      <c r="A5" s="131">
        <v>46284</v>
      </c>
      <c r="B5" s="9" t="s">
        <v>1322</v>
      </c>
      <c r="C5" s="73" t="s">
        <v>1333</v>
      </c>
      <c r="D5" s="72" t="s">
        <v>1334</v>
      </c>
      <c r="E5" s="9" t="s">
        <v>1335</v>
      </c>
      <c r="F5" s="9" t="s">
        <v>1336</v>
      </c>
      <c r="G5" s="73" t="s">
        <v>1337</v>
      </c>
    </row>
    <row r="6" spans="1:7" ht="30" x14ac:dyDescent="0.25">
      <c r="A6" s="132">
        <v>46284</v>
      </c>
      <c r="B6" s="78" t="s">
        <v>1322</v>
      </c>
      <c r="C6" s="79" t="s">
        <v>1338</v>
      </c>
      <c r="D6" s="77" t="s">
        <v>1339</v>
      </c>
      <c r="E6" s="78" t="s">
        <v>1340</v>
      </c>
      <c r="F6" s="78" t="s">
        <v>1341</v>
      </c>
      <c r="G6" s="79" t="s">
        <v>1342</v>
      </c>
    </row>
  </sheetData>
  <mergeCells count="1">
    <mergeCell ref="A1:G1"/>
  </mergeCells>
  <pageMargins left="0.75" right="0.75" top="1" bottom="1" header="0.511811023622047" footer="0.511811023622047"/>
  <pageSetup paperSize="9" orientation="portrait" horizontalDpi="300" verticalDpi="30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98"/>
  <sheetViews>
    <sheetView showGridLines="0" zoomScale="43" zoomScaleNormal="78" workbookViewId="0">
      <pane ySplit="3" topLeftCell="A25" activePane="bottomLeft" state="frozen"/>
      <selection pane="bottomLeft" activeCell="A73" sqref="A73:L73"/>
    </sheetView>
  </sheetViews>
  <sheetFormatPr defaultColWidth="8.7109375" defaultRowHeight="15" customHeight="1" x14ac:dyDescent="0.25"/>
  <cols>
    <col min="1" max="1" width="24.7109375" customWidth="1"/>
    <col min="2" max="3" width="14" customWidth="1"/>
    <col min="4" max="4" width="23.5703125" customWidth="1"/>
    <col min="5" max="5" width="15.7109375" customWidth="1"/>
    <col min="6" max="7" width="14" customWidth="1"/>
    <col min="8" max="8" width="15.42578125" customWidth="1"/>
    <col min="9" max="12" width="14" customWidth="1"/>
  </cols>
  <sheetData>
    <row r="1" spans="1:12" s="12" customFormat="1" ht="27.75" customHeight="1" x14ac:dyDescent="0.3">
      <c r="A1" s="80" t="s">
        <v>1343</v>
      </c>
      <c r="B1" s="80"/>
      <c r="C1" s="80"/>
      <c r="D1" s="80"/>
      <c r="E1" s="80"/>
      <c r="F1" s="80"/>
      <c r="G1" s="80"/>
      <c r="H1" s="80"/>
      <c r="I1" s="80"/>
      <c r="J1" s="80"/>
      <c r="K1" s="80"/>
      <c r="L1" s="80"/>
    </row>
    <row r="2" spans="1:12" x14ac:dyDescent="0.25">
      <c r="A2" s="93"/>
      <c r="B2" s="94"/>
      <c r="C2" s="94"/>
      <c r="D2" s="94"/>
      <c r="E2" s="94"/>
      <c r="F2" s="94"/>
      <c r="G2" s="94"/>
      <c r="H2" s="94"/>
      <c r="I2" s="94"/>
      <c r="J2" s="94"/>
      <c r="K2" s="94"/>
      <c r="L2" s="94"/>
    </row>
    <row r="3" spans="1:12" s="12" customFormat="1" ht="15.75" thickBot="1" x14ac:dyDescent="0.3">
      <c r="A3" s="64"/>
      <c r="D3" s="64" t="s">
        <v>1253</v>
      </c>
      <c r="G3" s="65" t="s">
        <v>1246</v>
      </c>
      <c r="J3" s="65" t="s">
        <v>1247</v>
      </c>
    </row>
    <row r="4" spans="1:12" s="66" customFormat="1" x14ac:dyDescent="0.25">
      <c r="A4" s="95">
        <f>'04_Calculations'!B3</f>
        <v>692181</v>
      </c>
      <c r="B4" s="96"/>
      <c r="C4" s="97"/>
      <c r="D4" s="104">
        <f>'04_Calculations'!B4</f>
        <v>0.93563914613500032</v>
      </c>
      <c r="E4" s="105"/>
      <c r="F4" s="106"/>
      <c r="G4" s="104">
        <f>'04_Calculations'!B5</f>
        <v>0.87574039046062857</v>
      </c>
      <c r="H4" s="105"/>
      <c r="I4" s="106"/>
      <c r="J4" s="104">
        <f>'04_Calculations'!B6</f>
        <v>6.4913476247897409E-2</v>
      </c>
      <c r="K4" s="105"/>
      <c r="L4" s="106"/>
    </row>
    <row r="5" spans="1:12" s="66" customFormat="1" x14ac:dyDescent="0.25">
      <c r="A5" s="98"/>
      <c r="B5" s="99"/>
      <c r="C5" s="100"/>
      <c r="D5" s="107"/>
      <c r="E5" s="108"/>
      <c r="F5" s="109"/>
      <c r="G5" s="107"/>
      <c r="H5" s="108"/>
      <c r="I5" s="109"/>
      <c r="J5" s="107"/>
      <c r="K5" s="108"/>
      <c r="L5" s="109"/>
    </row>
    <row r="6" spans="1:12" s="66" customFormat="1" ht="15.75" thickBot="1" x14ac:dyDescent="0.3">
      <c r="A6" s="101"/>
      <c r="B6" s="102"/>
      <c r="C6" s="103"/>
      <c r="D6" s="110"/>
      <c r="E6" s="111"/>
      <c r="F6" s="112"/>
      <c r="G6" s="110"/>
      <c r="H6" s="111"/>
      <c r="I6" s="112"/>
      <c r="J6" s="110"/>
      <c r="K6" s="111"/>
      <c r="L6" s="112"/>
    </row>
    <row r="7" spans="1:12" s="7" customFormat="1" ht="15.75" thickBot="1" x14ac:dyDescent="0.3">
      <c r="A7" s="6" t="s">
        <v>1248</v>
      </c>
      <c r="D7" s="6" t="s">
        <v>1249</v>
      </c>
      <c r="G7" s="6" t="s">
        <v>25</v>
      </c>
      <c r="J7" s="6" t="s">
        <v>31</v>
      </c>
    </row>
    <row r="8" spans="1:12" s="66" customFormat="1" x14ac:dyDescent="0.25">
      <c r="A8" s="113">
        <f>'04_Calculations'!B7</f>
        <v>301043.69518619636</v>
      </c>
      <c r="B8" s="114"/>
      <c r="C8" s="115"/>
      <c r="D8" s="122">
        <f>'04_Calculations'!B8</f>
        <v>420.9500000000001</v>
      </c>
      <c r="E8" s="123"/>
      <c r="F8" s="124"/>
      <c r="G8" s="113">
        <f>'04_Calculations'!B9</f>
        <v>25038055.780000001</v>
      </c>
      <c r="H8" s="114"/>
      <c r="I8" s="115"/>
      <c r="J8" s="113">
        <f>'04_Calculations'!B10</f>
        <v>5088669.1548138112</v>
      </c>
      <c r="K8" s="114"/>
      <c r="L8" s="115"/>
    </row>
    <row r="9" spans="1:12" s="66" customFormat="1" x14ac:dyDescent="0.25">
      <c r="A9" s="116"/>
      <c r="B9" s="117"/>
      <c r="C9" s="118"/>
      <c r="D9" s="125"/>
      <c r="E9" s="126"/>
      <c r="F9" s="127"/>
      <c r="G9" s="116"/>
      <c r="H9" s="117"/>
      <c r="I9" s="118"/>
      <c r="J9" s="116"/>
      <c r="K9" s="117"/>
      <c r="L9" s="118"/>
    </row>
    <row r="10" spans="1:12" s="66" customFormat="1" ht="15.75" thickBot="1" x14ac:dyDescent="0.3">
      <c r="A10" s="119"/>
      <c r="B10" s="120"/>
      <c r="C10" s="121"/>
      <c r="D10" s="128"/>
      <c r="E10" s="129"/>
      <c r="F10" s="130"/>
      <c r="G10" s="119"/>
      <c r="H10" s="120"/>
      <c r="I10" s="121"/>
      <c r="J10" s="119"/>
      <c r="K10" s="120"/>
      <c r="L10" s="121"/>
    </row>
    <row r="12" spans="1:12" ht="15" customHeight="1" x14ac:dyDescent="0.25">
      <c r="D12" s="48"/>
      <c r="E12" s="48"/>
      <c r="F12" s="48"/>
      <c r="G12" s="48"/>
      <c r="H12" s="48"/>
      <c r="I12" s="48"/>
      <c r="J12" s="48"/>
      <c r="K12" s="48"/>
      <c r="L12" s="48"/>
    </row>
    <row r="13" spans="1:12" x14ac:dyDescent="0.25">
      <c r="A13" s="67" t="s">
        <v>1351</v>
      </c>
      <c r="B13" s="68" t="s">
        <v>1350</v>
      </c>
      <c r="D13" s="70" t="s">
        <v>1352</v>
      </c>
      <c r="E13" s="71" t="s">
        <v>1254</v>
      </c>
      <c r="F13" s="48"/>
      <c r="G13" s="70" t="s">
        <v>1353</v>
      </c>
      <c r="H13" s="71" t="s">
        <v>1247</v>
      </c>
      <c r="I13" s="48"/>
      <c r="J13" s="70" t="s">
        <v>1265</v>
      </c>
      <c r="K13" s="71" t="s">
        <v>1252</v>
      </c>
      <c r="L13" s="48"/>
    </row>
    <row r="14" spans="1:12" x14ac:dyDescent="0.25">
      <c r="A14" s="43" t="str">
        <f>'04_Calculations'!A15</f>
        <v>Line 1</v>
      </c>
      <c r="B14" s="45">
        <f>'04_Calculations'!E15</f>
        <v>0.92147599745749742</v>
      </c>
      <c r="D14" s="43" t="str">
        <f>'04_Calculations'!A25</f>
        <v>M101</v>
      </c>
      <c r="E14" s="44">
        <f>'04_Calculations'!C25</f>
        <v>26.283333333333335</v>
      </c>
      <c r="F14" s="48"/>
      <c r="G14" s="43" t="str">
        <f>'04_Calculations'!A50</f>
        <v>Product A</v>
      </c>
      <c r="H14" s="45">
        <f>'04_Calculations'!C50</f>
        <v>6.3211363028460241E-2</v>
      </c>
      <c r="I14" s="48"/>
      <c r="J14" s="43" t="str">
        <f>'04_Calculations'!A71</f>
        <v>2026-01</v>
      </c>
      <c r="K14" s="44">
        <f>'04_Calculations'!B71</f>
        <v>123582</v>
      </c>
      <c r="L14" s="48"/>
    </row>
    <row r="15" spans="1:12" x14ac:dyDescent="0.25">
      <c r="A15" s="43" t="str">
        <f>'04_Calculations'!A16</f>
        <v>Line 2</v>
      </c>
      <c r="B15" s="45">
        <f>'04_Calculations'!E16</f>
        <v>0.85199945168542368</v>
      </c>
      <c r="D15" s="43" t="str">
        <f>'04_Calculations'!A26</f>
        <v>M102</v>
      </c>
      <c r="E15" s="44">
        <f>'04_Calculations'!C26</f>
        <v>29.049999999999997</v>
      </c>
      <c r="F15" s="48"/>
      <c r="G15" s="43" t="str">
        <f>'04_Calculations'!A51</f>
        <v>Product B</v>
      </c>
      <c r="H15" s="45">
        <f>'04_Calculations'!C51</f>
        <v>6.5182211636825568E-2</v>
      </c>
      <c r="I15" s="48"/>
      <c r="J15" s="43" t="str">
        <f>'04_Calculations'!A72</f>
        <v>2026-02</v>
      </c>
      <c r="K15" s="44">
        <f>'04_Calculations'!B72</f>
        <v>108462</v>
      </c>
      <c r="L15" s="48"/>
    </row>
    <row r="16" spans="1:12" x14ac:dyDescent="0.25">
      <c r="A16" s="43" t="str">
        <f>'04_Calculations'!A17</f>
        <v>Line 3</v>
      </c>
      <c r="B16" s="45">
        <f>'04_Calculations'!E17</f>
        <v>0.79090572100930023</v>
      </c>
      <c r="D16" s="43" t="str">
        <f>'04_Calculations'!A27</f>
        <v>M103</v>
      </c>
      <c r="E16" s="44">
        <f>'04_Calculations'!C27</f>
        <v>22.499999999999996</v>
      </c>
      <c r="F16" s="48"/>
      <c r="G16" s="43" t="str">
        <f>'04_Calculations'!A52</f>
        <v>Product C</v>
      </c>
      <c r="H16" s="45">
        <f>'04_Calculations'!C52</f>
        <v>6.4527123127614536E-2</v>
      </c>
      <c r="I16" s="48"/>
      <c r="J16" s="43" t="str">
        <f>'04_Calculations'!A73</f>
        <v>2026-03</v>
      </c>
      <c r="K16" s="44">
        <f>'04_Calculations'!B73</f>
        <v>110123</v>
      </c>
      <c r="L16" s="48"/>
    </row>
    <row r="17" spans="1:12" x14ac:dyDescent="0.25">
      <c r="A17" s="43" t="str">
        <f>'04_Calculations'!A18</f>
        <v>Line 4</v>
      </c>
      <c r="B17" s="45">
        <f>'04_Calculations'!E18</f>
        <v>0.93964447762728975</v>
      </c>
      <c r="D17" s="43" t="str">
        <f>'04_Calculations'!A28</f>
        <v>M201</v>
      </c>
      <c r="E17" s="44">
        <f>'04_Calculations'!C28</f>
        <v>29.783333333333331</v>
      </c>
      <c r="F17" s="48"/>
      <c r="G17" s="43" t="str">
        <f>'04_Calculations'!A53</f>
        <v>Product D</v>
      </c>
      <c r="H17" s="45">
        <f>'04_Calculations'!C53</f>
        <v>6.4731422332998084E-2</v>
      </c>
      <c r="I17" s="48"/>
      <c r="J17" s="43" t="str">
        <f>'04_Calculations'!A74</f>
        <v>2026-04</v>
      </c>
      <c r="K17" s="44">
        <f>'04_Calculations'!B74</f>
        <v>116277</v>
      </c>
      <c r="L17" s="48"/>
    </row>
    <row r="18" spans="1:12" x14ac:dyDescent="0.25">
      <c r="A18" s="46" t="str">
        <f>'04_Calculations'!A19</f>
        <v>Line 5</v>
      </c>
      <c r="B18" s="69">
        <f>'04_Calculations'!E19</f>
        <v>0.86901792376386655</v>
      </c>
      <c r="D18" s="43" t="str">
        <f>'04_Calculations'!A29</f>
        <v>M202</v>
      </c>
      <c r="E18" s="44">
        <f>'04_Calculations'!C29</f>
        <v>28.18333333333333</v>
      </c>
      <c r="F18" s="48"/>
      <c r="G18" s="46" t="str">
        <f>'04_Calculations'!A54</f>
        <v>Product E</v>
      </c>
      <c r="H18" s="69">
        <f>'04_Calculations'!C54</f>
        <v>6.7868298952572514E-2</v>
      </c>
      <c r="I18" s="48"/>
      <c r="J18" s="43" t="str">
        <f>'04_Calculations'!A75</f>
        <v>2026-05</v>
      </c>
      <c r="K18" s="44">
        <f>'04_Calculations'!B75</f>
        <v>116924</v>
      </c>
      <c r="L18" s="48"/>
    </row>
    <row r="19" spans="1:12" x14ac:dyDescent="0.25">
      <c r="A19" s="48"/>
      <c r="B19" s="48"/>
      <c r="D19" s="43" t="str">
        <f>'04_Calculations'!A30</f>
        <v>M203</v>
      </c>
      <c r="E19" s="44">
        <f>'04_Calculations'!C30</f>
        <v>36.666666666666664</v>
      </c>
      <c r="F19" s="48"/>
      <c r="G19" s="48"/>
      <c r="H19" s="48"/>
      <c r="I19" s="48"/>
      <c r="J19" s="46" t="str">
        <f>'04_Calculations'!A76</f>
        <v>2026-06</v>
      </c>
      <c r="K19" s="47">
        <f>'04_Calculations'!B76</f>
        <v>116813</v>
      </c>
      <c r="L19" s="48"/>
    </row>
    <row r="20" spans="1:12" x14ac:dyDescent="0.25">
      <c r="D20" s="43" t="str">
        <f>'04_Calculations'!A31</f>
        <v>M301</v>
      </c>
      <c r="E20" s="44">
        <f>'04_Calculations'!C31</f>
        <v>26.133333333333333</v>
      </c>
      <c r="F20" s="48"/>
      <c r="G20" s="48"/>
      <c r="H20" s="48"/>
      <c r="I20" s="48"/>
      <c r="J20" s="48"/>
      <c r="K20" s="48"/>
      <c r="L20" s="48"/>
    </row>
    <row r="21" spans="1:12" x14ac:dyDescent="0.25">
      <c r="D21" s="43" t="str">
        <f>'04_Calculations'!A32</f>
        <v>M302</v>
      </c>
      <c r="E21" s="44">
        <f>'04_Calculations'!C32</f>
        <v>32.349999999999994</v>
      </c>
      <c r="F21" s="48"/>
      <c r="G21" s="48"/>
      <c r="H21" s="48"/>
      <c r="I21" s="48"/>
      <c r="J21" s="48"/>
      <c r="K21" s="48"/>
      <c r="L21" s="48"/>
    </row>
    <row r="22" spans="1:12" x14ac:dyDescent="0.25">
      <c r="D22" s="43" t="str">
        <f>'04_Calculations'!A33</f>
        <v>M303</v>
      </c>
      <c r="E22" s="44">
        <f>'04_Calculations'!C33</f>
        <v>39.916666666666657</v>
      </c>
      <c r="F22" s="48"/>
      <c r="G22" s="48"/>
      <c r="H22" s="48"/>
      <c r="I22" s="48"/>
      <c r="J22" s="48"/>
      <c r="K22" s="48"/>
      <c r="L22" s="48"/>
    </row>
    <row r="23" spans="1:12" x14ac:dyDescent="0.25">
      <c r="D23" s="43" t="str">
        <f>'04_Calculations'!A34</f>
        <v>M401</v>
      </c>
      <c r="E23" s="44">
        <f>'04_Calculations'!C34</f>
        <v>17.016666666666669</v>
      </c>
      <c r="F23" s="48"/>
      <c r="G23" s="48"/>
      <c r="H23" s="48"/>
      <c r="I23" s="48"/>
      <c r="J23" s="48"/>
      <c r="K23" s="48"/>
      <c r="L23" s="48"/>
    </row>
    <row r="24" spans="1:12" x14ac:dyDescent="0.25">
      <c r="D24" s="43" t="str">
        <f>'04_Calculations'!A35</f>
        <v>M402</v>
      </c>
      <c r="E24" s="44">
        <f>'04_Calculations'!C35</f>
        <v>22.86666666666666</v>
      </c>
      <c r="F24" s="48"/>
      <c r="G24" s="48"/>
      <c r="H24" s="48"/>
      <c r="I24" s="48"/>
      <c r="J24" s="48"/>
      <c r="K24" s="48"/>
      <c r="L24" s="48"/>
    </row>
    <row r="25" spans="1:12" x14ac:dyDescent="0.25">
      <c r="D25" s="43" t="str">
        <f>'04_Calculations'!A36</f>
        <v>M403</v>
      </c>
      <c r="E25" s="44">
        <f>'04_Calculations'!C36</f>
        <v>25.966666666666661</v>
      </c>
      <c r="F25" s="48"/>
      <c r="G25" s="48"/>
      <c r="H25" s="48"/>
      <c r="I25" s="48"/>
      <c r="J25" s="48"/>
      <c r="K25" s="48"/>
      <c r="L25" s="48"/>
    </row>
    <row r="26" spans="1:12" x14ac:dyDescent="0.25">
      <c r="D26" s="43" t="str">
        <f>'04_Calculations'!A37</f>
        <v>M501</v>
      </c>
      <c r="E26" s="44">
        <f>'04_Calculations'!C37</f>
        <v>26.533333333333339</v>
      </c>
      <c r="F26" s="48"/>
      <c r="G26" s="48"/>
      <c r="H26" s="48"/>
      <c r="I26" s="48"/>
      <c r="J26" s="48"/>
      <c r="K26" s="48"/>
      <c r="L26" s="48"/>
    </row>
    <row r="27" spans="1:12" x14ac:dyDescent="0.25">
      <c r="D27" s="43" t="str">
        <f>'04_Calculations'!A38</f>
        <v>M502</v>
      </c>
      <c r="E27" s="44">
        <f>'04_Calculations'!C38</f>
        <v>34.050000000000004</v>
      </c>
      <c r="F27" s="48"/>
      <c r="G27" s="48"/>
      <c r="H27" s="48"/>
      <c r="I27" s="48"/>
      <c r="J27" s="48"/>
      <c r="K27" s="48"/>
      <c r="L27" s="48"/>
    </row>
    <row r="28" spans="1:12" x14ac:dyDescent="0.25">
      <c r="D28" s="46" t="str">
        <f>'04_Calculations'!A39</f>
        <v>M503</v>
      </c>
      <c r="E28" s="47">
        <f>'04_Calculations'!C39</f>
        <v>23.650000000000006</v>
      </c>
      <c r="F28" s="48"/>
      <c r="G28" s="48"/>
      <c r="H28" s="48"/>
      <c r="I28" s="48"/>
      <c r="J28" s="48"/>
      <c r="K28" s="48"/>
      <c r="L28" s="48"/>
    </row>
    <row r="29" spans="1:12" ht="15" customHeight="1" x14ac:dyDescent="0.25">
      <c r="D29" s="48"/>
      <c r="E29" s="48"/>
      <c r="F29" s="48"/>
      <c r="G29" s="48"/>
      <c r="H29" s="48"/>
      <c r="I29" s="48"/>
      <c r="J29" s="48"/>
      <c r="K29" s="48"/>
      <c r="L29" s="48"/>
    </row>
    <row r="30" spans="1:12" ht="15" customHeight="1" x14ac:dyDescent="0.25">
      <c r="D30" s="48"/>
      <c r="E30" s="48"/>
      <c r="F30" s="48"/>
      <c r="G30" s="48"/>
      <c r="H30" s="48"/>
      <c r="I30" s="48"/>
      <c r="J30" s="48"/>
      <c r="K30" s="48"/>
      <c r="L30" s="48"/>
    </row>
    <row r="60" spans="1:12" ht="18" x14ac:dyDescent="0.25">
      <c r="A60" s="91"/>
      <c r="B60" s="92"/>
      <c r="C60" s="92"/>
      <c r="D60" s="92"/>
      <c r="E60" s="92"/>
      <c r="F60" s="92"/>
      <c r="G60" s="92"/>
      <c r="H60" s="92"/>
      <c r="I60" s="92"/>
      <c r="J60" s="92"/>
      <c r="K60" s="92"/>
      <c r="L60" s="92"/>
    </row>
    <row r="61" spans="1:12" ht="27.75" customHeight="1" x14ac:dyDescent="0.25">
      <c r="A61" s="84"/>
      <c r="B61" s="85"/>
      <c r="C61" s="85"/>
      <c r="D61" s="85"/>
      <c r="E61" s="85"/>
      <c r="F61" s="85"/>
      <c r="G61" s="85"/>
      <c r="H61" s="85"/>
      <c r="I61" s="85"/>
      <c r="J61" s="85"/>
      <c r="K61" s="85"/>
      <c r="L61" s="85"/>
    </row>
    <row r="62" spans="1:12" ht="27.75" customHeight="1" x14ac:dyDescent="0.25">
      <c r="A62" s="84"/>
      <c r="B62" s="85"/>
      <c r="C62" s="85"/>
      <c r="D62" s="85"/>
      <c r="E62" s="85"/>
      <c r="F62" s="85"/>
      <c r="G62" s="85"/>
      <c r="H62" s="85"/>
      <c r="I62" s="85"/>
      <c r="J62" s="85"/>
      <c r="K62" s="85"/>
      <c r="L62" s="85"/>
    </row>
    <row r="63" spans="1:12" ht="27.75" customHeight="1" x14ac:dyDescent="0.25">
      <c r="A63" s="84"/>
      <c r="B63" s="85"/>
      <c r="C63" s="85"/>
      <c r="D63" s="85"/>
      <c r="E63" s="85"/>
      <c r="F63" s="85"/>
      <c r="G63" s="85"/>
      <c r="H63" s="85"/>
      <c r="I63" s="85"/>
      <c r="J63" s="85"/>
      <c r="K63" s="85"/>
      <c r="L63" s="85"/>
    </row>
    <row r="64" spans="1:12" ht="27.75" customHeight="1" x14ac:dyDescent="0.25">
      <c r="A64" s="84"/>
      <c r="B64" s="85"/>
      <c r="C64" s="85"/>
      <c r="D64" s="85"/>
      <c r="E64" s="85"/>
      <c r="F64" s="85"/>
      <c r="G64" s="85"/>
      <c r="H64" s="85"/>
      <c r="I64" s="85"/>
      <c r="J64" s="85"/>
      <c r="K64" s="85"/>
      <c r="L64" s="85"/>
    </row>
    <row r="65" spans="1:12" ht="27.75" customHeight="1" x14ac:dyDescent="0.25">
      <c r="A65" s="84"/>
      <c r="B65" s="85"/>
      <c r="C65" s="85"/>
      <c r="D65" s="85"/>
      <c r="E65" s="85"/>
      <c r="F65" s="85"/>
      <c r="G65" s="85"/>
      <c r="H65" s="85"/>
      <c r="I65" s="85"/>
      <c r="J65" s="85"/>
      <c r="K65" s="85"/>
      <c r="L65" s="85"/>
    </row>
    <row r="66" spans="1:12" ht="45" customHeight="1" x14ac:dyDescent="0.25"/>
    <row r="73" spans="1:12" ht="22.5" customHeight="1" thickBot="1" x14ac:dyDescent="0.3">
      <c r="A73" s="86" t="s">
        <v>1344</v>
      </c>
      <c r="B73" s="87"/>
      <c r="C73" s="87"/>
      <c r="D73" s="87"/>
      <c r="E73" s="87"/>
      <c r="F73" s="87"/>
      <c r="G73" s="87"/>
      <c r="H73" s="87"/>
      <c r="I73" s="87"/>
      <c r="J73" s="87"/>
      <c r="K73" s="87"/>
      <c r="L73" s="87"/>
    </row>
    <row r="74" spans="1:12" ht="24.75" customHeight="1" thickBot="1" x14ac:dyDescent="0.3">
      <c r="A74" s="88" t="s">
        <v>1345</v>
      </c>
      <c r="B74" s="89"/>
      <c r="C74" s="89"/>
      <c r="D74" s="89"/>
      <c r="E74" s="89"/>
      <c r="F74" s="89"/>
      <c r="G74" s="89"/>
      <c r="H74" s="89"/>
      <c r="I74" s="89"/>
      <c r="J74" s="89"/>
      <c r="K74" s="89"/>
      <c r="L74" s="90"/>
    </row>
    <row r="75" spans="1:12" ht="28.5" customHeight="1" thickBot="1" x14ac:dyDescent="0.3">
      <c r="A75" s="88" t="s">
        <v>1346</v>
      </c>
      <c r="B75" s="89"/>
      <c r="C75" s="89"/>
      <c r="D75" s="89"/>
      <c r="E75" s="89"/>
      <c r="F75" s="89"/>
      <c r="G75" s="89"/>
      <c r="H75" s="89"/>
      <c r="I75" s="89"/>
      <c r="J75" s="89"/>
      <c r="K75" s="89"/>
      <c r="L75" s="90"/>
    </row>
    <row r="76" spans="1:12" ht="25.5" customHeight="1" thickBot="1" x14ac:dyDescent="0.3">
      <c r="A76" s="88" t="s">
        <v>1347</v>
      </c>
      <c r="B76" s="89"/>
      <c r="C76" s="89"/>
      <c r="D76" s="89"/>
      <c r="E76" s="89"/>
      <c r="F76" s="89"/>
      <c r="G76" s="89"/>
      <c r="H76" s="89"/>
      <c r="I76" s="89"/>
      <c r="J76" s="89"/>
      <c r="K76" s="89"/>
      <c r="L76" s="90"/>
    </row>
    <row r="77" spans="1:12" ht="27" customHeight="1" thickBot="1" x14ac:dyDescent="0.3">
      <c r="A77" s="88" t="s">
        <v>1348</v>
      </c>
      <c r="B77" s="89"/>
      <c r="C77" s="89"/>
      <c r="D77" s="89"/>
      <c r="E77" s="89"/>
      <c r="F77" s="89"/>
      <c r="G77" s="89"/>
      <c r="H77" s="89"/>
      <c r="I77" s="89"/>
      <c r="J77" s="89"/>
      <c r="K77" s="89"/>
      <c r="L77" s="90"/>
    </row>
    <row r="78" spans="1:12" ht="33" customHeight="1" thickBot="1" x14ac:dyDescent="0.3">
      <c r="A78" s="88" t="s">
        <v>1349</v>
      </c>
      <c r="B78" s="89"/>
      <c r="C78" s="89"/>
      <c r="D78" s="89"/>
      <c r="E78" s="89"/>
      <c r="F78" s="89"/>
      <c r="G78" s="89"/>
      <c r="H78" s="89"/>
      <c r="I78" s="89"/>
      <c r="J78" s="89"/>
      <c r="K78" s="89"/>
      <c r="L78" s="90"/>
    </row>
    <row r="93" spans="1:12" ht="15" customHeight="1" x14ac:dyDescent="0.25">
      <c r="A93" s="91"/>
      <c r="B93" s="92"/>
      <c r="C93" s="92"/>
      <c r="D93" s="92"/>
      <c r="E93" s="92"/>
      <c r="F93" s="92"/>
      <c r="G93" s="92"/>
      <c r="H93" s="92"/>
      <c r="I93" s="92"/>
      <c r="J93" s="92"/>
      <c r="K93" s="92"/>
      <c r="L93" s="92"/>
    </row>
    <row r="94" spans="1:12" ht="15" customHeight="1" x14ac:dyDescent="0.25">
      <c r="A94" s="84"/>
      <c r="B94" s="85"/>
      <c r="C94" s="85"/>
      <c r="D94" s="85"/>
      <c r="E94" s="85"/>
      <c r="F94" s="85"/>
      <c r="G94" s="85"/>
      <c r="H94" s="85"/>
      <c r="I94" s="85"/>
      <c r="J94" s="85"/>
      <c r="K94" s="85"/>
      <c r="L94" s="85"/>
    </row>
    <row r="95" spans="1:12" ht="15" customHeight="1" x14ac:dyDescent="0.25">
      <c r="A95" s="84"/>
      <c r="B95" s="85"/>
      <c r="C95" s="85"/>
      <c r="D95" s="85"/>
      <c r="E95" s="85"/>
      <c r="F95" s="85"/>
      <c r="G95" s="85"/>
      <c r="H95" s="85"/>
      <c r="I95" s="85"/>
      <c r="J95" s="85"/>
      <c r="K95" s="85"/>
      <c r="L95" s="85"/>
    </row>
    <row r="96" spans="1:12" ht="15" customHeight="1" x14ac:dyDescent="0.25">
      <c r="A96" s="84"/>
      <c r="B96" s="85"/>
      <c r="C96" s="85"/>
      <c r="D96" s="85"/>
      <c r="E96" s="85"/>
      <c r="F96" s="85"/>
      <c r="G96" s="85"/>
      <c r="H96" s="85"/>
      <c r="I96" s="85"/>
      <c r="J96" s="85"/>
      <c r="K96" s="85"/>
      <c r="L96" s="85"/>
    </row>
    <row r="97" spans="1:12" ht="15" customHeight="1" x14ac:dyDescent="0.25">
      <c r="A97" s="84"/>
      <c r="B97" s="85"/>
      <c r="C97" s="85"/>
      <c r="D97" s="85"/>
      <c r="E97" s="85"/>
      <c r="F97" s="85"/>
      <c r="G97" s="85"/>
      <c r="H97" s="85"/>
      <c r="I97" s="85"/>
      <c r="J97" s="85"/>
      <c r="K97" s="85"/>
      <c r="L97" s="85"/>
    </row>
    <row r="98" spans="1:12" ht="15" customHeight="1" x14ac:dyDescent="0.25">
      <c r="A98" s="84"/>
      <c r="B98" s="85"/>
      <c r="C98" s="85"/>
      <c r="D98" s="85"/>
      <c r="E98" s="85"/>
      <c r="F98" s="85"/>
      <c r="G98" s="85"/>
      <c r="H98" s="85"/>
      <c r="I98" s="85"/>
      <c r="J98" s="85"/>
      <c r="K98" s="85"/>
      <c r="L98" s="85"/>
    </row>
  </sheetData>
  <mergeCells count="28">
    <mergeCell ref="A61:L61"/>
    <mergeCell ref="A62:L62"/>
    <mergeCell ref="A63:L63"/>
    <mergeCell ref="A64:L64"/>
    <mergeCell ref="A65:L65"/>
    <mergeCell ref="A60:L60"/>
    <mergeCell ref="A1:L1"/>
    <mergeCell ref="A2:L2"/>
    <mergeCell ref="A4:C6"/>
    <mergeCell ref="D4:F6"/>
    <mergeCell ref="G4:I6"/>
    <mergeCell ref="J4:L6"/>
    <mergeCell ref="A8:C10"/>
    <mergeCell ref="D8:F10"/>
    <mergeCell ref="G8:I10"/>
    <mergeCell ref="J8:L10"/>
    <mergeCell ref="A98:L98"/>
    <mergeCell ref="A73:L73"/>
    <mergeCell ref="A74:L74"/>
    <mergeCell ref="A75:L75"/>
    <mergeCell ref="A76:L76"/>
    <mergeCell ref="A77:L77"/>
    <mergeCell ref="A78:L78"/>
    <mergeCell ref="A93:L93"/>
    <mergeCell ref="A94:L94"/>
    <mergeCell ref="A95:L95"/>
    <mergeCell ref="A96:L96"/>
    <mergeCell ref="A97:L97"/>
  </mergeCells>
  <pageMargins left="0.75" right="0.75" top="1" bottom="1" header="0.511811023622047" footer="0.511811023622047"/>
  <pageSetup paperSize="9" orientation="portrait" horizontalDpi="300" verticalDpi="300" r:id="rId1"/>
  <drawing r:id="rId2"/>
  <tableParts count="4">
    <tablePart r:id="rId3"/>
    <tablePart r:id="rId4"/>
    <tablePart r:id="rId5"/>
    <tablePart r:id="rId6"/>
  </tableParts>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Sheet13</vt:lpstr>
      <vt:lpstr>01_Manufacturing_Data</vt:lpstr>
      <vt:lpstr>02_Data_Dictionary</vt:lpstr>
      <vt:lpstr>03_Lookups</vt:lpstr>
      <vt:lpstr>04_Calculations</vt:lpstr>
      <vt:lpstr>05_Student1_Operations</vt:lpstr>
      <vt:lpstr>06_Student2_Quality_Cost</vt:lpstr>
      <vt:lpstr>07_AI_Usage_Log</vt:lpstr>
      <vt:lpstr>08_Management_Dashboard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Srinidhi</dc:creator>
  <cp:lastModifiedBy>Srinidhi K</cp:lastModifiedBy>
  <dcterms:modified xsi:type="dcterms:W3CDTF">2026-09-21T09:22:27Z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2026-09-18T08:59:31Z</dcterms:created>
  <dc:creator>openpyxl</dc:creator>
  <dc:description/>
  <dc:language>en-US</dc:language>
  <cp:lastModifiedBy/>
  <dcterms:modified xsi:type="dcterms:W3CDTF">2026-09-18T09:00:21Z</dcterms:modified>
  <cp:revision>0</cp:revision>
  <dc:subject/>
  <dc:title/>
</cp:coreProperties>
</file>